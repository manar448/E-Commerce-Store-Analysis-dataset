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oq\Downloads\E-Commerce-Store-Analysis-dataset\"/>
    </mc:Choice>
  </mc:AlternateContent>
  <xr:revisionPtr revIDLastSave="0" documentId="13_ncr:1_{AAC039CE-046D-415F-B0A9-B644260BF32E}" xr6:coauthVersionLast="47" xr6:coauthVersionMax="47" xr10:uidLastSave="{00000000-0000-0000-0000-000000000000}"/>
  <bookViews>
    <workbookView xWindow="-108" yWindow="-108" windowWidth="23256" windowHeight="12456" activeTab="2" xr2:uid="{BF673088-3B3C-4831-BBD9-C662F2890966}"/>
  </bookViews>
  <sheets>
    <sheet name="Details" sheetId="1" r:id="rId1"/>
    <sheet name="summarization" sheetId="2" r:id="rId2"/>
    <sheet name="Dashboard" sheetId="3" r:id="rId3"/>
  </sheets>
  <externalReferences>
    <externalReference r:id="rId4"/>
  </externalReferences>
  <definedNames>
    <definedName name="Slicer_Quantity">#N/A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2" i="1"/>
  <c r="H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K9" i="2"/>
  <c r="E17" i="2"/>
  <c r="B27" i="2"/>
</calcChain>
</file>

<file path=xl/sharedStrings.xml><?xml version="1.0" encoding="utf-8"?>
<sst xmlns="http://schemas.openxmlformats.org/spreadsheetml/2006/main" count="6456" uniqueCount="939">
  <si>
    <t>Order ID</t>
  </si>
  <si>
    <t>Amount</t>
  </si>
  <si>
    <t>Profit</t>
  </si>
  <si>
    <t>Quantity</t>
  </si>
  <si>
    <t>Category</t>
  </si>
  <si>
    <t>Sub-Category</t>
  </si>
  <si>
    <t>PaymentMode</t>
  </si>
  <si>
    <t>B-25681</t>
  </si>
  <si>
    <t>Electronics</t>
  </si>
  <si>
    <t>Electronic Games</t>
  </si>
  <si>
    <t>COD</t>
  </si>
  <si>
    <t>B-26055</t>
  </si>
  <si>
    <t>Furniture</t>
  </si>
  <si>
    <t>Chairs</t>
  </si>
  <si>
    <t>EMI</t>
  </si>
  <si>
    <t>B-25955</t>
  </si>
  <si>
    <t>Bookcases</t>
  </si>
  <si>
    <t>B-26093</t>
  </si>
  <si>
    <t>Printers</t>
  </si>
  <si>
    <t>Credit Card</t>
  </si>
  <si>
    <t>B-25602</t>
  </si>
  <si>
    <t>Phones</t>
  </si>
  <si>
    <t>B-25881</t>
  </si>
  <si>
    <t>Clothing</t>
  </si>
  <si>
    <t>Trousers</t>
  </si>
  <si>
    <t>B-25696</t>
  </si>
  <si>
    <t>Saree</t>
  </si>
  <si>
    <t>B-25687</t>
  </si>
  <si>
    <t>UPI</t>
  </si>
  <si>
    <t>B-25643</t>
  </si>
  <si>
    <t>Hankerchief</t>
  </si>
  <si>
    <t>B-25851</t>
  </si>
  <si>
    <t>Kurti</t>
  </si>
  <si>
    <t>B-25703</t>
  </si>
  <si>
    <t>B-25887</t>
  </si>
  <si>
    <t>B-25923</t>
  </si>
  <si>
    <t>B-25756</t>
  </si>
  <si>
    <t>B-25761</t>
  </si>
  <si>
    <t>B-25655</t>
  </si>
  <si>
    <t>B-25786</t>
  </si>
  <si>
    <t>B-26095</t>
  </si>
  <si>
    <t>B-25853</t>
  </si>
  <si>
    <t>B-25735</t>
  </si>
  <si>
    <t>Skirt</t>
  </si>
  <si>
    <t>B-25910</t>
  </si>
  <si>
    <t>Tables</t>
  </si>
  <si>
    <t>B-25950</t>
  </si>
  <si>
    <t>B-25744</t>
  </si>
  <si>
    <t>B-25845</t>
  </si>
  <si>
    <t>B-26001</t>
  </si>
  <si>
    <t>B-25830</t>
  </si>
  <si>
    <t>B-25842</t>
  </si>
  <si>
    <t>B-25778</t>
  </si>
  <si>
    <t>B-25686</t>
  </si>
  <si>
    <t>B-25754</t>
  </si>
  <si>
    <t>B-26048</t>
  </si>
  <si>
    <t>B-25816</t>
  </si>
  <si>
    <t>Stole</t>
  </si>
  <si>
    <t>B-26022</t>
  </si>
  <si>
    <t>B-25883</t>
  </si>
  <si>
    <t>B-26003</t>
  </si>
  <si>
    <t>B-26097</t>
  </si>
  <si>
    <t>B-25710</t>
  </si>
  <si>
    <t>Leggings</t>
  </si>
  <si>
    <t>B-25797</t>
  </si>
  <si>
    <t>B-25618</t>
  </si>
  <si>
    <t>B-25723</t>
  </si>
  <si>
    <t>B-25755</t>
  </si>
  <si>
    <t>B-25788</t>
  </si>
  <si>
    <t>B-25991</t>
  </si>
  <si>
    <t>B-25779</t>
  </si>
  <si>
    <t>B-25909</t>
  </si>
  <si>
    <t>B-25943</t>
  </si>
  <si>
    <t>Accessories</t>
  </si>
  <si>
    <t>B-25935</t>
  </si>
  <si>
    <t>B-25613</t>
  </si>
  <si>
    <t>B-25729</t>
  </si>
  <si>
    <t>B-25772</t>
  </si>
  <si>
    <t>B-25640</t>
  </si>
  <si>
    <t>B-25810</t>
  </si>
  <si>
    <t>B-25801</t>
  </si>
  <si>
    <t>T-shirt</t>
  </si>
  <si>
    <t>Debit Card</t>
  </si>
  <si>
    <t>B-26085</t>
  </si>
  <si>
    <t>B-25868</t>
  </si>
  <si>
    <t>B-25714</t>
  </si>
  <si>
    <t>B-25784</t>
  </si>
  <si>
    <t>B-25608</t>
  </si>
  <si>
    <t>B-26051</t>
  </si>
  <si>
    <t>B-25900</t>
  </si>
  <si>
    <t>B-25760</t>
  </si>
  <si>
    <t>B-25762</t>
  </si>
  <si>
    <t>B-25995</t>
  </si>
  <si>
    <t>B-25965</t>
  </si>
  <si>
    <t>B-25967</t>
  </si>
  <si>
    <t>B-25674</t>
  </si>
  <si>
    <t>B-25929</t>
  </si>
  <si>
    <t>B-25777</t>
  </si>
  <si>
    <t>B-26006</t>
  </si>
  <si>
    <t>B-25697</t>
  </si>
  <si>
    <t>B-25667</t>
  </si>
  <si>
    <t>B-25836</t>
  </si>
  <si>
    <t>B-25984</t>
  </si>
  <si>
    <t>B-25728</t>
  </si>
  <si>
    <t>B-25757</t>
  </si>
  <si>
    <t>B-25957</t>
  </si>
  <si>
    <t>B-26061</t>
  </si>
  <si>
    <t>B-25616</t>
  </si>
  <si>
    <t>B-25666</t>
  </si>
  <si>
    <t>B-25675</t>
  </si>
  <si>
    <t>B-26079</t>
  </si>
  <si>
    <t>B-25850</t>
  </si>
  <si>
    <t>B-25693</t>
  </si>
  <si>
    <t>B-25852</t>
  </si>
  <si>
    <t>B-25860</t>
  </si>
  <si>
    <t>B-25898</t>
  </si>
  <si>
    <t>B-26100</t>
  </si>
  <si>
    <t>B-25653</t>
  </si>
  <si>
    <t>B-25839</t>
  </si>
  <si>
    <t>B-25651</t>
  </si>
  <si>
    <t>B-25704</t>
  </si>
  <si>
    <t>B-25730</t>
  </si>
  <si>
    <t>B-26052</t>
  </si>
  <si>
    <t>B-25656</t>
  </si>
  <si>
    <t>B-26033</t>
  </si>
  <si>
    <t>B-25945</t>
  </si>
  <si>
    <t>B-26086</t>
  </si>
  <si>
    <t>B-25752</t>
  </si>
  <si>
    <t>B-26098</t>
  </si>
  <si>
    <t>B-26067</t>
  </si>
  <si>
    <t>B-25986</t>
  </si>
  <si>
    <t>Furnishings</t>
  </si>
  <si>
    <t>B-25953</t>
  </si>
  <si>
    <t>B-25952</t>
  </si>
  <si>
    <t>B-25903</t>
  </si>
  <si>
    <t>B-25650</t>
  </si>
  <si>
    <t>B-25970</t>
  </si>
  <si>
    <t>B-26062</t>
  </si>
  <si>
    <t>B-25632</t>
  </si>
  <si>
    <t>B-25821</t>
  </si>
  <si>
    <t>B-25878</t>
  </si>
  <si>
    <t>B-25750</t>
  </si>
  <si>
    <t>Shirt</t>
  </si>
  <si>
    <t>B-25657</t>
  </si>
  <si>
    <t>B-25787</t>
  </si>
  <si>
    <t>B-25808</t>
  </si>
  <si>
    <t>B-25885</t>
  </si>
  <si>
    <t>B-25759</t>
  </si>
  <si>
    <t>B-25747</t>
  </si>
  <si>
    <t>B-25603</t>
  </si>
  <si>
    <t>B-25691</t>
  </si>
  <si>
    <t>B-25607</t>
  </si>
  <si>
    <t>B-25708</t>
  </si>
  <si>
    <t>B-26021</t>
  </si>
  <si>
    <t>B-25831</t>
  </si>
  <si>
    <t>B-25670</t>
  </si>
  <si>
    <t>B-26029</t>
  </si>
  <si>
    <t>B-25959</t>
  </si>
  <si>
    <t>B-25676</t>
  </si>
  <si>
    <t>B-25888</t>
  </si>
  <si>
    <t>B-25911</t>
  </si>
  <si>
    <t>B-25662</t>
  </si>
  <si>
    <t>B-25847</t>
  </si>
  <si>
    <t>B-25796</t>
  </si>
  <si>
    <t>B-25993</t>
  </si>
  <si>
    <t>B-25930</t>
  </si>
  <si>
    <t>B-25785</t>
  </si>
  <si>
    <t>B-26053</t>
  </si>
  <si>
    <t>B-26019</t>
  </si>
  <si>
    <t>B-26070</t>
  </si>
  <si>
    <t>B-25870</t>
  </si>
  <si>
    <t>B-25855</t>
  </si>
  <si>
    <t>B-25803</t>
  </si>
  <si>
    <t>B-25996</t>
  </si>
  <si>
    <t>B-26078</t>
  </si>
  <si>
    <t>B-25682</t>
  </si>
  <si>
    <t>B-25749</t>
  </si>
  <si>
    <t>B-25962</t>
  </si>
  <si>
    <t>B-25899</t>
  </si>
  <si>
    <t>B-25951</t>
  </si>
  <si>
    <t>B-25828</t>
  </si>
  <si>
    <t>B-25658</t>
  </si>
  <si>
    <t>B-25698</t>
  </si>
  <si>
    <t>B-25832</t>
  </si>
  <si>
    <t>B-25886</t>
  </si>
  <si>
    <t>B-25897</t>
  </si>
  <si>
    <t>B-25873</t>
  </si>
  <si>
    <t>B-25858</t>
  </si>
  <si>
    <t>B-25867</t>
  </si>
  <si>
    <t>B-25633</t>
  </si>
  <si>
    <t>B-25609</t>
  </si>
  <si>
    <t>B-25896</t>
  </si>
  <si>
    <t>B-26000</t>
  </si>
  <si>
    <t>B-25940</t>
  </si>
  <si>
    <t>B-26087</t>
  </si>
  <si>
    <t>B-25980</t>
  </si>
  <si>
    <t>B-25877</t>
  </si>
  <si>
    <t>B-25905</t>
  </si>
  <si>
    <t>B-25818</t>
  </si>
  <si>
    <t>B-25835</t>
  </si>
  <si>
    <t>B-26081</t>
  </si>
  <si>
    <t>B-25837</t>
  </si>
  <si>
    <t>B-25893</t>
  </si>
  <si>
    <t>B-25689</t>
  </si>
  <si>
    <t>B-26028</t>
  </si>
  <si>
    <t>B-25654</t>
  </si>
  <si>
    <t>B-25720</t>
  </si>
  <si>
    <t>B-26057</t>
  </si>
  <si>
    <t>B-25798</t>
  </si>
  <si>
    <t>B-25961</t>
  </si>
  <si>
    <t>B-25701</t>
  </si>
  <si>
    <t>B-26056</t>
  </si>
  <si>
    <t>B-26016</t>
  </si>
  <si>
    <t>B-25819</t>
  </si>
  <si>
    <t>B-25848</t>
  </si>
  <si>
    <t>B-25678</t>
  </si>
  <si>
    <t>B-25925</t>
  </si>
  <si>
    <t>B-25977</t>
  </si>
  <si>
    <t>B-25648</t>
  </si>
  <si>
    <t>B-25933</t>
  </si>
  <si>
    <t>B-25942</t>
  </si>
  <si>
    <t>B-25673</t>
  </si>
  <si>
    <t>B-25791</t>
  </si>
  <si>
    <t>B-25983</t>
  </si>
  <si>
    <t>B-25743</t>
  </si>
  <si>
    <t>B-25973</t>
  </si>
  <si>
    <t>B-25895</t>
  </si>
  <si>
    <t>B-25717</t>
  </si>
  <si>
    <t>B-26064</t>
  </si>
  <si>
    <t>B-25630</t>
  </si>
  <si>
    <t>B-26050</t>
  </si>
  <si>
    <t>B-26035</t>
  </si>
  <si>
    <t>B-25966</t>
  </si>
  <si>
    <t>B-26060</t>
  </si>
  <si>
    <t>B-25854</t>
  </si>
  <si>
    <t>B-25964</t>
  </si>
  <si>
    <t>B-25628</t>
  </si>
  <si>
    <t>B-25891</t>
  </si>
  <si>
    <t>B-26089</t>
  </si>
  <si>
    <t>B-25621</t>
  </si>
  <si>
    <t>B-25727</t>
  </si>
  <si>
    <t>B-25843</t>
  </si>
  <si>
    <t>B-25741</t>
  </si>
  <si>
    <t>B-26096</t>
  </si>
  <si>
    <t>B-26007</t>
  </si>
  <si>
    <t>B-26088</t>
  </si>
  <si>
    <t>B-25664</t>
  </si>
  <si>
    <t>B-25642</t>
  </si>
  <si>
    <t>B-25987</t>
  </si>
  <si>
    <t>B-25770</t>
  </si>
  <si>
    <t>B-25840</t>
  </si>
  <si>
    <t>B-25846</t>
  </si>
  <si>
    <t>B-25745</t>
  </si>
  <si>
    <t>B-26073</t>
  </si>
  <si>
    <t>B-26030</t>
  </si>
  <si>
    <t>B-25989</t>
  </si>
  <si>
    <t>B-26009</t>
  </si>
  <si>
    <t>B-25915</t>
  </si>
  <si>
    <t>B-25645</t>
  </si>
  <si>
    <t>B-25635</t>
  </si>
  <si>
    <t>B-26038</t>
  </si>
  <si>
    <t>B-26014</t>
  </si>
  <si>
    <t>B-25751</t>
  </si>
  <si>
    <t>B-26025</t>
  </si>
  <si>
    <t>B-25981</t>
  </si>
  <si>
    <t>B-25610</t>
  </si>
  <si>
    <t>B-25733</t>
  </si>
  <si>
    <t>B-25612</t>
  </si>
  <si>
    <t>B-25700</t>
  </si>
  <si>
    <t>B-25856</t>
  </si>
  <si>
    <t>B-26026</t>
  </si>
  <si>
    <t>B-25861</t>
  </si>
  <si>
    <t>B-25799</t>
  </si>
  <si>
    <t>B-26054</t>
  </si>
  <si>
    <t>B-25660</t>
  </si>
  <si>
    <t>B-26045</t>
  </si>
  <si>
    <t>B-25781</t>
  </si>
  <si>
    <t>B-25918</t>
  </si>
  <si>
    <t>B-25971</t>
  </si>
  <si>
    <t>B-25699</t>
  </si>
  <si>
    <t>B-25776</t>
  </si>
  <si>
    <t>B-25985</t>
  </si>
  <si>
    <t>B-26063</t>
  </si>
  <si>
    <t>B-26032</t>
  </si>
  <si>
    <t>B-25767</t>
  </si>
  <si>
    <t>B-26023</t>
  </si>
  <si>
    <t>B-25809</t>
  </si>
  <si>
    <t>B-25688</t>
  </si>
  <si>
    <t>B-25753</t>
  </si>
  <si>
    <t>B-25773</t>
  </si>
  <si>
    <t>B-25661</t>
  </si>
  <si>
    <t>B-25857</t>
  </si>
  <si>
    <t>B-25999</t>
  </si>
  <si>
    <t>B-25926</t>
  </si>
  <si>
    <t>B-26076</t>
  </si>
  <si>
    <t>B-25913</t>
  </si>
  <si>
    <t>B-26020</t>
  </si>
  <si>
    <t>B-26083</t>
  </si>
  <si>
    <t>B-25625</t>
  </si>
  <si>
    <t>B-26010</t>
  </si>
  <si>
    <t>B-25979</t>
  </si>
  <si>
    <t>B-26002</t>
  </si>
  <si>
    <t>B-26084</t>
  </si>
  <si>
    <t>B-25998</t>
  </si>
  <si>
    <t>B-25872</t>
  </si>
  <si>
    <t>B-25795</t>
  </si>
  <si>
    <t>B-25902</t>
  </si>
  <si>
    <t>B-25793</t>
  </si>
  <si>
    <t>B-25652</t>
  </si>
  <si>
    <t>B-26018</t>
  </si>
  <si>
    <t>B-25823</t>
  </si>
  <si>
    <t>B-25994</t>
  </si>
  <si>
    <t>B-25863</t>
  </si>
  <si>
    <t>B-25680</t>
  </si>
  <si>
    <t>B-25737</t>
  </si>
  <si>
    <t>B-25875</t>
  </si>
  <si>
    <t>B-26031</t>
  </si>
  <si>
    <t>B-25908</t>
  </si>
  <si>
    <t>B-26041</t>
  </si>
  <si>
    <t>B-25794</t>
  </si>
  <si>
    <t>B-25615</t>
  </si>
  <si>
    <t>B-25997</t>
  </si>
  <si>
    <t>B-25990</t>
  </si>
  <si>
    <t>B-26091</t>
  </si>
  <si>
    <t>B-25604</t>
  </si>
  <si>
    <t>B-25724</t>
  </si>
  <si>
    <t>B-25748</t>
  </si>
  <si>
    <t>B-26004</t>
  </si>
  <si>
    <t>B-25954</t>
  </si>
  <si>
    <t>B-26043</t>
  </si>
  <si>
    <t>B-25838</t>
  </si>
  <si>
    <t>B-26042</t>
  </si>
  <si>
    <t>B-26008</t>
  </si>
  <si>
    <t>B-25927</t>
  </si>
  <si>
    <t>B-25948</t>
  </si>
  <si>
    <t>B-26094</t>
  </si>
  <si>
    <t>B-25623</t>
  </si>
  <si>
    <t>B-25800</t>
  </si>
  <si>
    <t>B-26039</t>
  </si>
  <si>
    <t>B-25620</t>
  </si>
  <si>
    <t>B-25721</t>
  </si>
  <si>
    <t>B-25764</t>
  </si>
  <si>
    <t>B-26066</t>
  </si>
  <si>
    <t>B-25712</t>
  </si>
  <si>
    <t>B-25738</t>
  </si>
  <si>
    <t>B-25771</t>
  </si>
  <si>
    <t>B-25601</t>
  </si>
  <si>
    <t>B-25844</t>
  </si>
  <si>
    <t>B-26065</t>
  </si>
  <si>
    <t>B-25825</t>
  </si>
  <si>
    <t>B-25765</t>
  </si>
  <si>
    <t>B-25709</t>
  </si>
  <si>
    <t>B-25684</t>
  </si>
  <si>
    <t>B-25739</t>
  </si>
  <si>
    <t>B-26082</t>
  </si>
  <si>
    <t>B-25731</t>
  </si>
  <si>
    <t>B-25719</t>
  </si>
  <si>
    <t>B-25646</t>
  </si>
  <si>
    <t>B-25874</t>
  </si>
  <si>
    <t>B-25638</t>
  </si>
  <si>
    <t>B-25882</t>
  </si>
  <si>
    <t>B-26040</t>
  </si>
  <si>
    <t>B-26037</t>
  </si>
  <si>
    <t>B-25920</t>
  </si>
  <si>
    <t>B-25960</t>
  </si>
  <si>
    <t>B-25917</t>
  </si>
  <si>
    <t>B-25972</t>
  </si>
  <si>
    <t>B-25736</t>
  </si>
  <si>
    <t>B-25742</t>
  </si>
  <si>
    <t>B-25641</t>
  </si>
  <si>
    <t>B-25958</t>
  </si>
  <si>
    <t>B-25802</t>
  </si>
  <si>
    <t>B-25834</t>
  </si>
  <si>
    <t>B-25774</t>
  </si>
  <si>
    <t>B-25904</t>
  </si>
  <si>
    <t>B-25934</t>
  </si>
  <si>
    <t>B-25912</t>
  </si>
  <si>
    <t>B-25647</t>
  </si>
  <si>
    <t>B-25901</t>
  </si>
  <si>
    <t>B-25804</t>
  </si>
  <si>
    <t>B-25734</t>
  </si>
  <si>
    <t>B-25711</t>
  </si>
  <si>
    <t>B-25864</t>
  </si>
  <si>
    <t>B-25949</t>
  </si>
  <si>
    <t>B-25805</t>
  </si>
  <si>
    <t>B-25919</t>
  </si>
  <si>
    <t>B-25889</t>
  </si>
  <si>
    <t>B-25637</t>
  </si>
  <si>
    <t>B-25783</t>
  </si>
  <si>
    <t>B-25938</t>
  </si>
  <si>
    <t>B-25820</t>
  </si>
  <si>
    <t>B-25924</t>
  </si>
  <si>
    <t>B-25814</t>
  </si>
  <si>
    <t>B-25631</t>
  </si>
  <si>
    <t>B-25956</t>
  </si>
  <si>
    <t>B-25862</t>
  </si>
  <si>
    <t>B-25606</t>
  </si>
  <si>
    <t>B-25928</t>
  </si>
  <si>
    <t>B-26005</t>
  </si>
  <si>
    <t>B-25963</t>
  </si>
  <si>
    <t>B-25683</t>
  </si>
  <si>
    <t>B-25914</t>
  </si>
  <si>
    <t>B-25869</t>
  </si>
  <si>
    <t>B-25921</t>
  </si>
  <si>
    <t>B-25849</t>
  </si>
  <si>
    <t>B-25780</t>
  </si>
  <si>
    <t>B-25892</t>
  </si>
  <si>
    <t>B-25988</t>
  </si>
  <si>
    <t>B-25939</t>
  </si>
  <si>
    <t>B-25906</t>
  </si>
  <si>
    <t>B-26017</t>
  </si>
  <si>
    <t>B-25644</t>
  </si>
  <si>
    <t>B-25679</t>
  </si>
  <si>
    <t>B-25792</t>
  </si>
  <si>
    <t>B-25946</t>
  </si>
  <si>
    <t>B-25992</t>
  </si>
  <si>
    <t>B-25659</t>
  </si>
  <si>
    <t>B-25716</t>
  </si>
  <si>
    <t>B-25725</t>
  </si>
  <si>
    <t>B-25932</t>
  </si>
  <si>
    <t>B-25789</t>
  </si>
  <si>
    <t>B-25732</t>
  </si>
  <si>
    <t>B-25871</t>
  </si>
  <si>
    <t>B-25611</t>
  </si>
  <si>
    <t>B-25833</t>
  </si>
  <si>
    <t>B-25665</t>
  </si>
  <si>
    <t>B-25694</t>
  </si>
  <si>
    <t>B-25668</t>
  </si>
  <si>
    <t>B-26024</t>
  </si>
  <si>
    <t>B-25827</t>
  </si>
  <si>
    <t>B-25713</t>
  </si>
  <si>
    <t>B-25944</t>
  </si>
  <si>
    <t>B-25695</t>
  </si>
  <si>
    <t>B-25880</t>
  </si>
  <si>
    <t>B-25941</t>
  </si>
  <si>
    <t>B-25706</t>
  </si>
  <si>
    <t>B-25969</t>
  </si>
  <si>
    <t>B-25763</t>
  </si>
  <si>
    <t>B-25740</t>
  </si>
  <si>
    <t>B-25879</t>
  </si>
  <si>
    <t>B-25614</t>
  </si>
  <si>
    <t>B-26092</t>
  </si>
  <si>
    <t>B-26011</t>
  </si>
  <si>
    <t>B-26074</t>
  </si>
  <si>
    <t>B-25976</t>
  </si>
  <si>
    <t>B-25865</t>
  </si>
  <si>
    <t>B-26049</t>
  </si>
  <si>
    <t>B-26047</t>
  </si>
  <si>
    <t>B-25766</t>
  </si>
  <si>
    <t>B-25947</t>
  </si>
  <si>
    <t>B-26069</t>
  </si>
  <si>
    <t>B-25627</t>
  </si>
  <si>
    <t>B-26027</t>
  </si>
  <si>
    <t>B-26068</t>
  </si>
  <si>
    <t>B-26080</t>
  </si>
  <si>
    <t>B-26012</t>
  </si>
  <si>
    <t>B-25824</t>
  </si>
  <si>
    <t>B-25922</t>
  </si>
  <si>
    <t>B-26099</t>
  </si>
  <si>
    <t>B-25866</t>
  </si>
  <si>
    <t>B-25775</t>
  </si>
  <si>
    <t>B-25685</t>
  </si>
  <si>
    <t>B-26090</t>
  </si>
  <si>
    <t>B-26072</t>
  </si>
  <si>
    <t>B-25916</t>
  </si>
  <si>
    <t>B-25722</t>
  </si>
  <si>
    <t>B-25746</t>
  </si>
  <si>
    <t>B-25812</t>
  </si>
  <si>
    <t>B-25605</t>
  </si>
  <si>
    <t>B-25702</t>
  </si>
  <si>
    <t>B-25626</t>
  </si>
  <si>
    <t>B-25811</t>
  </si>
  <si>
    <t>B-25876</t>
  </si>
  <si>
    <t>B-25931</t>
  </si>
  <si>
    <t>B-25663</t>
  </si>
  <si>
    <t>B-25677</t>
  </si>
  <si>
    <t>B-25617</t>
  </si>
  <si>
    <t>B-26036</t>
  </si>
  <si>
    <t>B-25978</t>
  </si>
  <si>
    <t>B-26077</t>
  </si>
  <si>
    <t>B-25790</t>
  </si>
  <si>
    <t>B-25829</t>
  </si>
  <si>
    <t>B-25705</t>
  </si>
  <si>
    <t>B-25936</t>
  </si>
  <si>
    <t>B-25782</t>
  </si>
  <si>
    <t>B-25769</t>
  </si>
  <si>
    <t>B-25718</t>
  </si>
  <si>
    <t>B-25715</t>
  </si>
  <si>
    <t>B-26075</t>
  </si>
  <si>
    <t>B-25634</t>
  </si>
  <si>
    <t>B-26015</t>
  </si>
  <si>
    <t>B-25822</t>
  </si>
  <si>
    <t>B-26034</t>
  </si>
  <si>
    <t>B-25692</t>
  </si>
  <si>
    <t>B-26046</t>
  </si>
  <si>
    <t>B-25622</t>
  </si>
  <si>
    <t>B-25690</t>
  </si>
  <si>
    <t>B-25726</t>
  </si>
  <si>
    <t>B-25907</t>
  </si>
  <si>
    <t>B-26013</t>
  </si>
  <si>
    <t>B-25975</t>
  </si>
  <si>
    <t>B-25815</t>
  </si>
  <si>
    <t>B-25619</t>
  </si>
  <si>
    <t>B-26058</t>
  </si>
  <si>
    <t>B-26044</t>
  </si>
  <si>
    <t>B-25636</t>
  </si>
  <si>
    <t>B-25649</t>
  </si>
  <si>
    <t>B-25806</t>
  </si>
  <si>
    <t>B-25826</t>
  </si>
  <si>
    <t>B-25624</t>
  </si>
  <si>
    <t>B-25974</t>
  </si>
  <si>
    <t>B-25884</t>
  </si>
  <si>
    <t>B-25672</t>
  </si>
  <si>
    <t>B-25859</t>
  </si>
  <si>
    <t>B-25817</t>
  </si>
  <si>
    <t>B-25968</t>
  </si>
  <si>
    <t>B-25671</t>
  </si>
  <si>
    <t>B-26059</t>
  </si>
  <si>
    <t>B-25669</t>
  </si>
  <si>
    <t>B-25841</t>
  </si>
  <si>
    <t>B-26071</t>
  </si>
  <si>
    <t>B-25813</t>
  </si>
  <si>
    <t>B-25890</t>
  </si>
  <si>
    <t>B-25807</t>
  </si>
  <si>
    <t>B-25937</t>
  </si>
  <si>
    <t>B-25982</t>
  </si>
  <si>
    <t>B-25639</t>
  </si>
  <si>
    <t>B-25894</t>
  </si>
  <si>
    <t>B-25768</t>
  </si>
  <si>
    <t>B-25629</t>
  </si>
  <si>
    <t>B-25758</t>
  </si>
  <si>
    <t>B-25707</t>
  </si>
  <si>
    <t>Order Date</t>
  </si>
  <si>
    <t>CustomerName</t>
  </si>
  <si>
    <t>State</t>
  </si>
  <si>
    <t>City</t>
  </si>
  <si>
    <t>1.Amount paid by each state</t>
  </si>
  <si>
    <t>Sum of Amount</t>
  </si>
  <si>
    <t>Row Labels</t>
  </si>
  <si>
    <t>Andhra Pradesh</t>
  </si>
  <si>
    <t>Bihar</t>
  </si>
  <si>
    <t>Delhi</t>
  </si>
  <si>
    <t>Goa</t>
  </si>
  <si>
    <t>Gujarat</t>
  </si>
  <si>
    <t>Haryana</t>
  </si>
  <si>
    <t>Himachal Pradesh</t>
  </si>
  <si>
    <t>Jammu and Kashmir</t>
  </si>
  <si>
    <t>Karnataka</t>
  </si>
  <si>
    <t xml:space="preserve">Kerala </t>
  </si>
  <si>
    <t>Madhya Pradesh</t>
  </si>
  <si>
    <t>Maharashtra</t>
  </si>
  <si>
    <t>Nagaland</t>
  </si>
  <si>
    <t>Punjab</t>
  </si>
  <si>
    <t>Rajasthan</t>
  </si>
  <si>
    <t>Sikkim</t>
  </si>
  <si>
    <t>Tamil Nadu</t>
  </si>
  <si>
    <t>Uttar Pradesh</t>
  </si>
  <si>
    <t>West Bengal</t>
  </si>
  <si>
    <t>Grand Total</t>
  </si>
  <si>
    <t>2.profite by month</t>
  </si>
  <si>
    <t>Sum of Profit</t>
  </si>
  <si>
    <t>Jan</t>
  </si>
  <si>
    <t>Feb</t>
  </si>
  <si>
    <t>Mar</t>
  </si>
  <si>
    <t>Apr</t>
  </si>
  <si>
    <t>May</t>
  </si>
  <si>
    <t>Jun</t>
  </si>
  <si>
    <t>Jul</t>
  </si>
  <si>
    <t>Aug</t>
  </si>
  <si>
    <t>Sep</t>
  </si>
  <si>
    <t>Oct</t>
  </si>
  <si>
    <t>Nov</t>
  </si>
  <si>
    <t>Dec</t>
  </si>
  <si>
    <t>3.amount by each customer</t>
  </si>
  <si>
    <t>Aakanksha</t>
  </si>
  <si>
    <t>Aarushi</t>
  </si>
  <si>
    <t>Aastha</t>
  </si>
  <si>
    <t>Aayush</t>
  </si>
  <si>
    <t>Aayushi</t>
  </si>
  <si>
    <t>Abhijeet</t>
  </si>
  <si>
    <t>Abhijit</t>
  </si>
  <si>
    <t>Abhishek</t>
  </si>
  <si>
    <t>Adhvaita</t>
  </si>
  <si>
    <t>Aditi</t>
  </si>
  <si>
    <t>Aditya</t>
  </si>
  <si>
    <t>Aishwarya</t>
  </si>
  <si>
    <t>Ajay</t>
  </si>
  <si>
    <t>Akancha</t>
  </si>
  <si>
    <t>Akanksha</t>
  </si>
  <si>
    <t>Akash</t>
  </si>
  <si>
    <t>Akshat</t>
  </si>
  <si>
    <t>Akshata</t>
  </si>
  <si>
    <t>Akshay</t>
  </si>
  <si>
    <t>Aman</t>
  </si>
  <si>
    <t>Ameesha</t>
  </si>
  <si>
    <t>Amisha</t>
  </si>
  <si>
    <t>Amit</t>
  </si>
  <si>
    <t>Amlan</t>
  </si>
  <si>
    <t>Amol</t>
  </si>
  <si>
    <t>Amruta</t>
  </si>
  <si>
    <t>Anand</t>
  </si>
  <si>
    <t>Ananya</t>
  </si>
  <si>
    <t>Anchal</t>
  </si>
  <si>
    <t>Aniket</t>
  </si>
  <si>
    <t>Anisha</t>
  </si>
  <si>
    <t>Anita</t>
  </si>
  <si>
    <t>Anjali</t>
  </si>
  <si>
    <t>Ankit</t>
  </si>
  <si>
    <t>Ankita</t>
  </si>
  <si>
    <t>Ankur</t>
  </si>
  <si>
    <t>Anmol</t>
  </si>
  <si>
    <t>Anubhaw</t>
  </si>
  <si>
    <t>Anudeep</t>
  </si>
  <si>
    <t>Anurag</t>
  </si>
  <si>
    <t>Aparajita</t>
  </si>
  <si>
    <t>Apoorv</t>
  </si>
  <si>
    <t>Apoorva</t>
  </si>
  <si>
    <t>Apsingekar</t>
  </si>
  <si>
    <t>Arindam</t>
  </si>
  <si>
    <t>Aromal</t>
  </si>
  <si>
    <t>Arpita</t>
  </si>
  <si>
    <t>Arsheen</t>
  </si>
  <si>
    <t>Arti</t>
  </si>
  <si>
    <t>Arun</t>
  </si>
  <si>
    <t>Aryan</t>
  </si>
  <si>
    <t>Ashmeet</t>
  </si>
  <si>
    <t>Ashmi</t>
  </si>
  <si>
    <t>Ashvini</t>
  </si>
  <si>
    <t>Ashwin</t>
  </si>
  <si>
    <t>Asish</t>
  </si>
  <si>
    <t>Atharv</t>
  </si>
  <si>
    <t>Atul</t>
  </si>
  <si>
    <t>Avish</t>
  </si>
  <si>
    <t>Avni</t>
  </si>
  <si>
    <t>Ayush</t>
  </si>
  <si>
    <t>Bathina</t>
  </si>
  <si>
    <t>Bhaggyasree</t>
  </si>
  <si>
    <t>Bharat</t>
  </si>
  <si>
    <t>Bhargav</t>
  </si>
  <si>
    <t>Bhavna</t>
  </si>
  <si>
    <t>Bhawna</t>
  </si>
  <si>
    <t>Bhishm</t>
  </si>
  <si>
    <t>Bhosale</t>
  </si>
  <si>
    <t>Bhutekar</t>
  </si>
  <si>
    <t>Brijesh</t>
  </si>
  <si>
    <t>Chandni</t>
  </si>
  <si>
    <t>Charika</t>
  </si>
  <si>
    <t>Chayanika</t>
  </si>
  <si>
    <t>Chetan</t>
  </si>
  <si>
    <t>Chikku</t>
  </si>
  <si>
    <t>Chirag</t>
  </si>
  <si>
    <t>Daksh</t>
  </si>
  <si>
    <t>Dashyam</t>
  </si>
  <si>
    <t>Deepak</t>
  </si>
  <si>
    <t>Devendra</t>
  </si>
  <si>
    <t>Dhanraj</t>
  </si>
  <si>
    <t>Dheeraj</t>
  </si>
  <si>
    <t>Dhirajendu</t>
  </si>
  <si>
    <t>Dinesh</t>
  </si>
  <si>
    <t>Dipali</t>
  </si>
  <si>
    <t>Divsha</t>
  </si>
  <si>
    <t>Divyansh</t>
  </si>
  <si>
    <t>Divyansha</t>
  </si>
  <si>
    <t>Divyeshkumar</t>
  </si>
  <si>
    <t>Divyeta</t>
  </si>
  <si>
    <t>Diwakar</t>
  </si>
  <si>
    <t>Duhita</t>
  </si>
  <si>
    <t>Ekta</t>
  </si>
  <si>
    <t>Farah</t>
  </si>
  <si>
    <t>Gaurav</t>
  </si>
  <si>
    <t>Geetanjali</t>
  </si>
  <si>
    <t>Ginny</t>
  </si>
  <si>
    <t>Girase</t>
  </si>
  <si>
    <t>Gopal</t>
  </si>
  <si>
    <t>Gunjal</t>
  </si>
  <si>
    <t>Gunjan</t>
  </si>
  <si>
    <t>Harivansh</t>
  </si>
  <si>
    <t>Harsh</t>
  </si>
  <si>
    <t>Harshita</t>
  </si>
  <si>
    <t>Hazel</t>
  </si>
  <si>
    <t>Hemangi</t>
  </si>
  <si>
    <t>Hemant</t>
  </si>
  <si>
    <t>Hitesh</t>
  </si>
  <si>
    <t>Hitika</t>
  </si>
  <si>
    <t>Hrisheekesh</t>
  </si>
  <si>
    <t>Inderpreet</t>
  </si>
  <si>
    <t>Ishit</t>
  </si>
  <si>
    <t>Ishpreet</t>
  </si>
  <si>
    <t>Jahan</t>
  </si>
  <si>
    <t>Jaideep</t>
  </si>
  <si>
    <t>Jay</t>
  </si>
  <si>
    <t>Jayanti</t>
  </si>
  <si>
    <t>Jaydeep</t>
  </si>
  <si>
    <t>Jesal</t>
  </si>
  <si>
    <t>Jesslyn</t>
  </si>
  <si>
    <t>Jitesh</t>
  </si>
  <si>
    <t>K</t>
  </si>
  <si>
    <t>Kajal</t>
  </si>
  <si>
    <t>Kalyani</t>
  </si>
  <si>
    <t>Kanak</t>
  </si>
  <si>
    <t>Karandeep</t>
  </si>
  <si>
    <t>Kartik</t>
  </si>
  <si>
    <t>Kartikay</t>
  </si>
  <si>
    <t>Kasheen</t>
  </si>
  <si>
    <t>Kiran</t>
  </si>
  <si>
    <t>Kirti</t>
  </si>
  <si>
    <t>Kishwar</t>
  </si>
  <si>
    <t>Komal</t>
  </si>
  <si>
    <t>Krishna</t>
  </si>
  <si>
    <t>Kritika</t>
  </si>
  <si>
    <t>Krutika</t>
  </si>
  <si>
    <t>Kshitij</t>
  </si>
  <si>
    <t>Kushal</t>
  </si>
  <si>
    <t>Lalita</t>
  </si>
  <si>
    <t>Lisha</t>
  </si>
  <si>
    <t>Madan Mohan</t>
  </si>
  <si>
    <t>Madhav</t>
  </si>
  <si>
    <t>Madhulika</t>
  </si>
  <si>
    <t>Mahima</t>
  </si>
  <si>
    <t>Maithilee</t>
  </si>
  <si>
    <t>Mane</t>
  </si>
  <si>
    <t>Manibalan</t>
  </si>
  <si>
    <t>Manish</t>
  </si>
  <si>
    <t>Manisha</t>
  </si>
  <si>
    <t>Manjiri</t>
  </si>
  <si>
    <t>Manju</t>
  </si>
  <si>
    <t>Manshul</t>
  </si>
  <si>
    <t>Mansi</t>
  </si>
  <si>
    <t>Masurkar</t>
  </si>
  <si>
    <t>Mayank</t>
  </si>
  <si>
    <t>Megha</t>
  </si>
  <si>
    <t>Meghana</t>
  </si>
  <si>
    <t>Mhatre</t>
  </si>
  <si>
    <t>Mitali</t>
  </si>
  <si>
    <t>Mohan</t>
  </si>
  <si>
    <t>Monica</t>
  </si>
  <si>
    <t>Monisha</t>
  </si>
  <si>
    <t>Monu</t>
  </si>
  <si>
    <t>Moumita</t>
  </si>
  <si>
    <t>Mousam</t>
  </si>
  <si>
    <t>Mrinal</t>
  </si>
  <si>
    <t>Mrunal</t>
  </si>
  <si>
    <t>Mugdha</t>
  </si>
  <si>
    <t>Mukesh</t>
  </si>
  <si>
    <t>Mukund</t>
  </si>
  <si>
    <t>Muskan</t>
  </si>
  <si>
    <t>Namrata</t>
  </si>
  <si>
    <t>Nandita</t>
  </si>
  <si>
    <t>Navdeep</t>
  </si>
  <si>
    <t>Neha</t>
  </si>
  <si>
    <t>Nida</t>
  </si>
  <si>
    <t>Nidhi</t>
  </si>
  <si>
    <t>Nikhil</t>
  </si>
  <si>
    <t>Nikita</t>
  </si>
  <si>
    <t>Nirja</t>
  </si>
  <si>
    <t>Nishant</t>
  </si>
  <si>
    <t>Nishi</t>
  </si>
  <si>
    <t>Nitant</t>
  </si>
  <si>
    <t>Noopur</t>
  </si>
  <si>
    <t>Noshiba</t>
  </si>
  <si>
    <t>Nripraj</t>
  </si>
  <si>
    <t>Omkar</t>
  </si>
  <si>
    <t>Oshin</t>
  </si>
  <si>
    <t>Palak</t>
  </si>
  <si>
    <t>Parakh</t>
  </si>
  <si>
    <t>Paridhi</t>
  </si>
  <si>
    <t>Parin</t>
  </si>
  <si>
    <t>Parishi</t>
  </si>
  <si>
    <t>Parna</t>
  </si>
  <si>
    <t>Parnavi</t>
  </si>
  <si>
    <t>Paromita</t>
  </si>
  <si>
    <t>Parth</t>
  </si>
  <si>
    <t>Patil</t>
  </si>
  <si>
    <t>Pearl</t>
  </si>
  <si>
    <t>Phalguni</t>
  </si>
  <si>
    <t>Pinky</t>
  </si>
  <si>
    <t>Piyali</t>
  </si>
  <si>
    <t>Piyam</t>
  </si>
  <si>
    <t>Pooja</t>
  </si>
  <si>
    <t>Pournamasi</t>
  </si>
  <si>
    <t>Pradeep</t>
  </si>
  <si>
    <t>Prajakta</t>
  </si>
  <si>
    <t>Pranav</t>
  </si>
  <si>
    <t>Praneet</t>
  </si>
  <si>
    <t>Pranjali</t>
  </si>
  <si>
    <t>Prashant</t>
  </si>
  <si>
    <t>Pratiksha</t>
  </si>
  <si>
    <t>Pratyusmita</t>
  </si>
  <si>
    <t>Preksha</t>
  </si>
  <si>
    <t>Priyanka</t>
  </si>
  <si>
    <t>Priyanshu</t>
  </si>
  <si>
    <t>Rachna</t>
  </si>
  <si>
    <t>Rahul</t>
  </si>
  <si>
    <t>Raksha</t>
  </si>
  <si>
    <t>Ramesh</t>
  </si>
  <si>
    <t>Rane</t>
  </si>
  <si>
    <t>Rashmi</t>
  </si>
  <si>
    <t>Rhea</t>
  </si>
  <si>
    <t>Rishabh</t>
  </si>
  <si>
    <t>Ritu</t>
  </si>
  <si>
    <t>Riya</t>
  </si>
  <si>
    <t>Rohan</t>
  </si>
  <si>
    <t>Rohit</t>
  </si>
  <si>
    <t>Rutuja</t>
  </si>
  <si>
    <t>Sabah</t>
  </si>
  <si>
    <t>Sagar</t>
  </si>
  <si>
    <t>Sahil</t>
  </si>
  <si>
    <t>Sajal</t>
  </si>
  <si>
    <t>Sakshi</t>
  </si>
  <si>
    <t>Saloni</t>
  </si>
  <si>
    <t>Samiksha</t>
  </si>
  <si>
    <t>Sandeep</t>
  </si>
  <si>
    <t>Sandra</t>
  </si>
  <si>
    <t>Sanjana</t>
  </si>
  <si>
    <t>Sanjay</t>
  </si>
  <si>
    <t>Sanjna</t>
  </si>
  <si>
    <t>Sanjova</t>
  </si>
  <si>
    <t>Sanskriti</t>
  </si>
  <si>
    <t>Saptadeep</t>
  </si>
  <si>
    <t>Sarita</t>
  </si>
  <si>
    <t>Sathya</t>
  </si>
  <si>
    <t>Sauptik</t>
  </si>
  <si>
    <t>Saurabh</t>
  </si>
  <si>
    <t>Savi</t>
  </si>
  <si>
    <t>Shaily</t>
  </si>
  <si>
    <t>Shantanu</t>
  </si>
  <si>
    <t>Sharda</t>
  </si>
  <si>
    <t>Shardul</t>
  </si>
  <si>
    <t>Shatayu</t>
  </si>
  <si>
    <t>Sheetal</t>
  </si>
  <si>
    <t>Shefali</t>
  </si>
  <si>
    <t>Shikhar</t>
  </si>
  <si>
    <t>Shishu</t>
  </si>
  <si>
    <t>Shiva</t>
  </si>
  <si>
    <t>Shivam</t>
  </si>
  <si>
    <t>Shivangi</t>
  </si>
  <si>
    <t>Shivani</t>
  </si>
  <si>
    <t>Shivanshu</t>
  </si>
  <si>
    <t>Shourya</t>
  </si>
  <si>
    <t>Shreya</t>
  </si>
  <si>
    <t>Shreyoshe</t>
  </si>
  <si>
    <t>Shreyshi</t>
  </si>
  <si>
    <t>Shrichand</t>
  </si>
  <si>
    <t>Shruti</t>
  </si>
  <si>
    <t>Shubham</t>
  </si>
  <si>
    <t>Shubhi</t>
  </si>
  <si>
    <t>Shweta</t>
  </si>
  <si>
    <t>Shyam</t>
  </si>
  <si>
    <t>Siddharth</t>
  </si>
  <si>
    <t>Sidharth</t>
  </si>
  <si>
    <t>Smriti</t>
  </si>
  <si>
    <t>Sneha</t>
  </si>
  <si>
    <t>Snehal</t>
  </si>
  <si>
    <t>Snel</t>
  </si>
  <si>
    <t>Sonakshi</t>
  </si>
  <si>
    <t>Sonal</t>
  </si>
  <si>
    <t>Soodesh</t>
  </si>
  <si>
    <t>Soumya</t>
  </si>
  <si>
    <t>Soumyabrata</t>
  </si>
  <si>
    <t>Srishti</t>
  </si>
  <si>
    <t>Stuti</t>
  </si>
  <si>
    <t>Subhashree</t>
  </si>
  <si>
    <t>Subhasmita</t>
  </si>
  <si>
    <t>Sudevi</t>
  </si>
  <si>
    <t>Sudheer</t>
  </si>
  <si>
    <t>Sudhir</t>
  </si>
  <si>
    <t>Suhani</t>
  </si>
  <si>
    <t>Sujay</t>
  </si>
  <si>
    <t>Sukant</t>
  </si>
  <si>
    <t>Sukrith</t>
  </si>
  <si>
    <t>Sukruta</t>
  </si>
  <si>
    <t>Suman</t>
  </si>
  <si>
    <t>Sumeet</t>
  </si>
  <si>
    <t>Surabhi</t>
  </si>
  <si>
    <t>Suraj</t>
  </si>
  <si>
    <t>Surbhi</t>
  </si>
  <si>
    <t>Swapnil</t>
  </si>
  <si>
    <t>Swati</t>
  </si>
  <si>
    <t>Sweta</t>
  </si>
  <si>
    <t>Swetha</t>
  </si>
  <si>
    <t>Swetlana</t>
  </si>
  <si>
    <t>Syed</t>
  </si>
  <si>
    <t>Tanushree</t>
  </si>
  <si>
    <t>Tanvi</t>
  </si>
  <si>
    <t>Teena</t>
  </si>
  <si>
    <t>Tejas</t>
  </si>
  <si>
    <t>Tejeswini</t>
  </si>
  <si>
    <t>Trupti</t>
  </si>
  <si>
    <t>Tulika</t>
  </si>
  <si>
    <t>Turumella</t>
  </si>
  <si>
    <t>Tushina</t>
  </si>
  <si>
    <t>Utkarsh</t>
  </si>
  <si>
    <t>Utsav</t>
  </si>
  <si>
    <t>Uudhav</t>
  </si>
  <si>
    <t>Vaibhav</t>
  </si>
  <si>
    <t>Vaibhavi</t>
  </si>
  <si>
    <t>Vandana</t>
  </si>
  <si>
    <t>Vijay</t>
  </si>
  <si>
    <t>Vikash</t>
  </si>
  <si>
    <t>Vineet</t>
  </si>
  <si>
    <t>Vini</t>
  </si>
  <si>
    <t>Vipul</t>
  </si>
  <si>
    <t>Vishakha</t>
  </si>
  <si>
    <t>Vivek</t>
  </si>
  <si>
    <t>Vrinda</t>
  </si>
  <si>
    <t>Wale</t>
  </si>
  <si>
    <t>Yaanvi</t>
  </si>
  <si>
    <t>Yash</t>
  </si>
  <si>
    <t>Yogesh</t>
  </si>
  <si>
    <t>Yohann</t>
  </si>
  <si>
    <t>4.quantity by each method</t>
  </si>
  <si>
    <t>Sum of Quantity</t>
  </si>
  <si>
    <t>5.orders by city</t>
  </si>
  <si>
    <t>Ahmedabad</t>
  </si>
  <si>
    <t>Pune</t>
  </si>
  <si>
    <t>Bhopal</t>
  </si>
  <si>
    <t>Jaipur</t>
  </si>
  <si>
    <t>Kolkata</t>
  </si>
  <si>
    <t>Bangalore</t>
  </si>
  <si>
    <t>Kashmir</t>
  </si>
  <si>
    <t>Chennai</t>
  </si>
  <si>
    <t>Lucknow</t>
  </si>
  <si>
    <t>Patna</t>
  </si>
  <si>
    <t>Thiruvananthapuram</t>
  </si>
  <si>
    <t>Chandigarh</t>
  </si>
  <si>
    <t>Simla</t>
  </si>
  <si>
    <t>Gangtok</t>
  </si>
  <si>
    <t>Kohima</t>
  </si>
  <si>
    <t>Hyderabad</t>
  </si>
  <si>
    <t>Mumbai</t>
  </si>
  <si>
    <t>Indore</t>
  </si>
  <si>
    <t>Mathura</t>
  </si>
  <si>
    <t>Surat</t>
  </si>
  <si>
    <t>Udaipur</t>
  </si>
  <si>
    <t>Prayagraj</t>
  </si>
  <si>
    <t>Amritsar</t>
  </si>
  <si>
    <t>Count of Order ID</t>
  </si>
  <si>
    <t>6.quantity by cate</t>
  </si>
  <si>
    <t>7.profit by subcate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</si>
</sst>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summarization!$B$2</c:f>
              <c:strCache>
                <c:ptCount val="1"/>
                <c:pt idx="0">
                  <c:v>Total</c:v>
                </c:pt>
              </c:strCache>
            </c:strRef>
          </c:tx>
          <c:spPr>
            <a:solidFill>
              <a:schemeClr val="accent1"/>
            </a:solidFill>
            <a:ln>
              <a:noFill/>
            </a:ln>
            <a:effectLst/>
          </c:spPr>
          <c:invertIfNegative val="0"/>
          <c:cat>
            <c:strRef>
              <c:f>summarization!$A$3:$A$22</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 </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summarization!$B$3:$B$22</c:f>
              <c:numCache>
                <c:formatCode>General</c:formatCode>
                <c:ptCount val="19"/>
                <c:pt idx="0">
                  <c:v>13256</c:v>
                </c:pt>
                <c:pt idx="1">
                  <c:v>13417</c:v>
                </c:pt>
                <c:pt idx="2">
                  <c:v>22957</c:v>
                </c:pt>
                <c:pt idx="3">
                  <c:v>6705</c:v>
                </c:pt>
                <c:pt idx="4">
                  <c:v>21371</c:v>
                </c:pt>
                <c:pt idx="5">
                  <c:v>8863</c:v>
                </c:pt>
                <c:pt idx="6">
                  <c:v>8666</c:v>
                </c:pt>
                <c:pt idx="7">
                  <c:v>10829</c:v>
                </c:pt>
                <c:pt idx="8">
                  <c:v>12520</c:v>
                </c:pt>
                <c:pt idx="9">
                  <c:v>13871</c:v>
                </c:pt>
                <c:pt idx="10">
                  <c:v>87463</c:v>
                </c:pt>
                <c:pt idx="11">
                  <c:v>102498</c:v>
                </c:pt>
                <c:pt idx="12">
                  <c:v>11993</c:v>
                </c:pt>
                <c:pt idx="13">
                  <c:v>16786</c:v>
                </c:pt>
                <c:pt idx="14">
                  <c:v>22334</c:v>
                </c:pt>
                <c:pt idx="15">
                  <c:v>5276</c:v>
                </c:pt>
                <c:pt idx="16">
                  <c:v>6276</c:v>
                </c:pt>
                <c:pt idx="17">
                  <c:v>38362</c:v>
                </c:pt>
                <c:pt idx="18">
                  <c:v>14328</c:v>
                </c:pt>
              </c:numCache>
            </c:numRef>
          </c:val>
          <c:extLst>
            <c:ext xmlns:c16="http://schemas.microsoft.com/office/drawing/2014/chart" uri="{C3380CC4-5D6E-409C-BE32-E72D297353CC}">
              <c16:uniqueId val="{00000000-1998-42A5-B177-3CD7B192C174}"/>
            </c:ext>
          </c:extLst>
        </c:ser>
        <c:dLbls>
          <c:showLegendKey val="0"/>
          <c:showVal val="0"/>
          <c:showCatName val="0"/>
          <c:showSerName val="0"/>
          <c:showPercent val="0"/>
          <c:showBubbleSize val="0"/>
        </c:dLbls>
        <c:gapWidth val="219"/>
        <c:axId val="734545296"/>
        <c:axId val="734545656"/>
      </c:barChart>
      <c:catAx>
        <c:axId val="73454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45656"/>
        <c:crosses val="autoZero"/>
        <c:auto val="1"/>
        <c:lblAlgn val="ctr"/>
        <c:lblOffset val="100"/>
        <c:noMultiLvlLbl val="0"/>
      </c:catAx>
      <c:valAx>
        <c:axId val="734545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4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summarization!$E$2</c:f>
              <c:strCache>
                <c:ptCount val="1"/>
                <c:pt idx="0">
                  <c:v>Total</c:v>
                </c:pt>
              </c:strCache>
            </c:strRef>
          </c:tx>
          <c:spPr>
            <a:ln w="28575" cap="rnd">
              <a:solidFill>
                <a:schemeClr val="accent1"/>
              </a:solidFill>
              <a:round/>
            </a:ln>
            <a:effectLst/>
          </c:spPr>
          <c:marker>
            <c:symbol val="none"/>
          </c:marker>
          <c:cat>
            <c:strRef>
              <c:f>summarization!$D$3:$D$15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summarization!$E$3:$E$15</c:f>
              <c:numCache>
                <c:formatCode>General</c:formatCode>
                <c:ptCount val="12"/>
                <c:pt idx="0">
                  <c:v>9684</c:v>
                </c:pt>
                <c:pt idx="1">
                  <c:v>8465</c:v>
                </c:pt>
                <c:pt idx="2">
                  <c:v>7793</c:v>
                </c:pt>
                <c:pt idx="3">
                  <c:v>4192</c:v>
                </c:pt>
                <c:pt idx="4">
                  <c:v>-3730</c:v>
                </c:pt>
                <c:pt idx="5">
                  <c:v>420</c:v>
                </c:pt>
                <c:pt idx="6">
                  <c:v>-2138</c:v>
                </c:pt>
                <c:pt idx="7">
                  <c:v>2068</c:v>
                </c:pt>
                <c:pt idx="8">
                  <c:v>-1399</c:v>
                </c:pt>
                <c:pt idx="9">
                  <c:v>2959</c:v>
                </c:pt>
                <c:pt idx="10">
                  <c:v>10253</c:v>
                </c:pt>
                <c:pt idx="11">
                  <c:v>-1604</c:v>
                </c:pt>
              </c:numCache>
            </c:numRef>
          </c:val>
          <c:smooth val="0"/>
          <c:extLst>
            <c:ext xmlns:c16="http://schemas.microsoft.com/office/drawing/2014/chart" uri="{C3380CC4-5D6E-409C-BE32-E72D297353CC}">
              <c16:uniqueId val="{00000000-B582-4459-B710-ED9FCBF7EE93}"/>
            </c:ext>
          </c:extLst>
        </c:ser>
        <c:dLbls>
          <c:showLegendKey val="0"/>
          <c:showVal val="0"/>
          <c:showCatName val="0"/>
          <c:showSerName val="0"/>
          <c:showPercent val="0"/>
          <c:showBubbleSize val="0"/>
        </c:dLbls>
        <c:smooth val="0"/>
        <c:axId val="765258440"/>
        <c:axId val="765253400"/>
      </c:lineChart>
      <c:catAx>
        <c:axId val="765258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253400"/>
        <c:crosses val="autoZero"/>
        <c:auto val="1"/>
        <c:lblAlgn val="ctr"/>
        <c:lblOffset val="100"/>
        <c:noMultiLvlLbl val="0"/>
      </c:catAx>
      <c:valAx>
        <c:axId val="765253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258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AmountBy Customer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summarization!$H$2</c:f>
              <c:strCache>
                <c:ptCount val="1"/>
                <c:pt idx="0">
                  <c:v>Total</c:v>
                </c:pt>
              </c:strCache>
            </c:strRef>
          </c:tx>
          <c:spPr>
            <a:solidFill>
              <a:schemeClr val="accent1"/>
            </a:solidFill>
            <a:ln>
              <a:noFill/>
            </a:ln>
            <a:effectLst/>
          </c:spPr>
          <c:invertIfNegative val="0"/>
          <c:cat>
            <c:strRef>
              <c:f>summarization!$G$3:$G$339</c:f>
              <c:strCache>
                <c:ptCount val="336"/>
                <c:pt idx="0">
                  <c:v>Aakanksha</c:v>
                </c:pt>
                <c:pt idx="1">
                  <c:v>Aarushi</c:v>
                </c:pt>
                <c:pt idx="2">
                  <c:v>Aastha</c:v>
                </c:pt>
                <c:pt idx="3">
                  <c:v>Aayush</c:v>
                </c:pt>
                <c:pt idx="4">
                  <c:v>Aayushi</c:v>
                </c:pt>
                <c:pt idx="5">
                  <c:v>Abhijeet</c:v>
                </c:pt>
                <c:pt idx="6">
                  <c:v>Abhijit</c:v>
                </c:pt>
                <c:pt idx="7">
                  <c:v>Abhishek</c:v>
                </c:pt>
                <c:pt idx="8">
                  <c:v>Adhvaita</c:v>
                </c:pt>
                <c:pt idx="9">
                  <c:v>Aditi</c:v>
                </c:pt>
                <c:pt idx="10">
                  <c:v>Aditya</c:v>
                </c:pt>
                <c:pt idx="11">
                  <c:v>Aishwarya</c:v>
                </c:pt>
                <c:pt idx="12">
                  <c:v>Ajay</c:v>
                </c:pt>
                <c:pt idx="13">
                  <c:v>Akancha</c:v>
                </c:pt>
                <c:pt idx="14">
                  <c:v>Akanksha</c:v>
                </c:pt>
                <c:pt idx="15">
                  <c:v>Akash</c:v>
                </c:pt>
                <c:pt idx="16">
                  <c:v>Akshat</c:v>
                </c:pt>
                <c:pt idx="17">
                  <c:v>Akshata</c:v>
                </c:pt>
                <c:pt idx="18">
                  <c:v>Akshay</c:v>
                </c:pt>
                <c:pt idx="19">
                  <c:v>Aman</c:v>
                </c:pt>
                <c:pt idx="20">
                  <c:v>Ameesha</c:v>
                </c:pt>
                <c:pt idx="21">
                  <c:v>Amisha</c:v>
                </c:pt>
                <c:pt idx="22">
                  <c:v>Amit</c:v>
                </c:pt>
                <c:pt idx="23">
                  <c:v>Amlan</c:v>
                </c:pt>
                <c:pt idx="24">
                  <c:v>Amol</c:v>
                </c:pt>
                <c:pt idx="25">
                  <c:v>Amruta</c:v>
                </c:pt>
                <c:pt idx="26">
                  <c:v>Anand</c:v>
                </c:pt>
                <c:pt idx="27">
                  <c:v>Ananya</c:v>
                </c:pt>
                <c:pt idx="28">
                  <c:v>Anchal</c:v>
                </c:pt>
                <c:pt idx="29">
                  <c:v>Aniket</c:v>
                </c:pt>
                <c:pt idx="30">
                  <c:v>Anisha</c:v>
                </c:pt>
                <c:pt idx="31">
                  <c:v>Anita</c:v>
                </c:pt>
                <c:pt idx="32">
                  <c:v>Anjali</c:v>
                </c:pt>
                <c:pt idx="33">
                  <c:v>Ankit</c:v>
                </c:pt>
                <c:pt idx="34">
                  <c:v>Ankita</c:v>
                </c:pt>
                <c:pt idx="35">
                  <c:v>Ankur</c:v>
                </c:pt>
                <c:pt idx="36">
                  <c:v>Anmol</c:v>
                </c:pt>
                <c:pt idx="37">
                  <c:v>Anubhaw</c:v>
                </c:pt>
                <c:pt idx="38">
                  <c:v>Anudeep</c:v>
                </c:pt>
                <c:pt idx="39">
                  <c:v>Anurag</c:v>
                </c:pt>
                <c:pt idx="40">
                  <c:v>Aparajita</c:v>
                </c:pt>
                <c:pt idx="41">
                  <c:v>Apoorv</c:v>
                </c:pt>
                <c:pt idx="42">
                  <c:v>Apoorva</c:v>
                </c:pt>
                <c:pt idx="43">
                  <c:v>Apsingekar</c:v>
                </c:pt>
                <c:pt idx="44">
                  <c:v>Arindam</c:v>
                </c:pt>
                <c:pt idx="45">
                  <c:v>Aromal</c:v>
                </c:pt>
                <c:pt idx="46">
                  <c:v>Arpita</c:v>
                </c:pt>
                <c:pt idx="47">
                  <c:v>Arsheen</c:v>
                </c:pt>
                <c:pt idx="48">
                  <c:v>Arti</c:v>
                </c:pt>
                <c:pt idx="49">
                  <c:v>Arun</c:v>
                </c:pt>
                <c:pt idx="50">
                  <c:v>Aryan</c:v>
                </c:pt>
                <c:pt idx="51">
                  <c:v>Ashmeet</c:v>
                </c:pt>
                <c:pt idx="52">
                  <c:v>Ashmi</c:v>
                </c:pt>
                <c:pt idx="53">
                  <c:v>Ashvini</c:v>
                </c:pt>
                <c:pt idx="54">
                  <c:v>Ashwin</c:v>
                </c:pt>
                <c:pt idx="55">
                  <c:v>Asish</c:v>
                </c:pt>
                <c:pt idx="56">
                  <c:v>Atharv</c:v>
                </c:pt>
                <c:pt idx="57">
                  <c:v>Atul</c:v>
                </c:pt>
                <c:pt idx="58">
                  <c:v>Avish</c:v>
                </c:pt>
                <c:pt idx="59">
                  <c:v>Avni</c:v>
                </c:pt>
                <c:pt idx="60">
                  <c:v>Ayush</c:v>
                </c:pt>
                <c:pt idx="61">
                  <c:v>Bathina</c:v>
                </c:pt>
                <c:pt idx="62">
                  <c:v>Bhaggyasree</c:v>
                </c:pt>
                <c:pt idx="63">
                  <c:v>Bharat</c:v>
                </c:pt>
                <c:pt idx="64">
                  <c:v>Bhargav</c:v>
                </c:pt>
                <c:pt idx="65">
                  <c:v>Bhavna</c:v>
                </c:pt>
                <c:pt idx="66">
                  <c:v>Bhawna</c:v>
                </c:pt>
                <c:pt idx="67">
                  <c:v>Bhishm</c:v>
                </c:pt>
                <c:pt idx="68">
                  <c:v>Bhosale</c:v>
                </c:pt>
                <c:pt idx="69">
                  <c:v>Bhutekar</c:v>
                </c:pt>
                <c:pt idx="70">
                  <c:v>Brijesh</c:v>
                </c:pt>
                <c:pt idx="71">
                  <c:v>Chandni</c:v>
                </c:pt>
                <c:pt idx="72">
                  <c:v>Charika</c:v>
                </c:pt>
                <c:pt idx="73">
                  <c:v>Chayanika</c:v>
                </c:pt>
                <c:pt idx="74">
                  <c:v>Chetan</c:v>
                </c:pt>
                <c:pt idx="75">
                  <c:v>Chikku</c:v>
                </c:pt>
                <c:pt idx="76">
                  <c:v>Chirag</c:v>
                </c:pt>
                <c:pt idx="77">
                  <c:v>Daksh</c:v>
                </c:pt>
                <c:pt idx="78">
                  <c:v>Dashyam</c:v>
                </c:pt>
                <c:pt idx="79">
                  <c:v>Deepak</c:v>
                </c:pt>
                <c:pt idx="80">
                  <c:v>Devendra</c:v>
                </c:pt>
                <c:pt idx="81">
                  <c:v>Dhanraj</c:v>
                </c:pt>
                <c:pt idx="82">
                  <c:v>Dheeraj</c:v>
                </c:pt>
                <c:pt idx="83">
                  <c:v>Dhirajendu</c:v>
                </c:pt>
                <c:pt idx="84">
                  <c:v>Dinesh</c:v>
                </c:pt>
                <c:pt idx="85">
                  <c:v>Dipali</c:v>
                </c:pt>
                <c:pt idx="86">
                  <c:v>Divsha</c:v>
                </c:pt>
                <c:pt idx="87">
                  <c:v>Divyansh</c:v>
                </c:pt>
                <c:pt idx="88">
                  <c:v>Divyansha</c:v>
                </c:pt>
                <c:pt idx="89">
                  <c:v>Divyeshkumar</c:v>
                </c:pt>
                <c:pt idx="90">
                  <c:v>Divyeta</c:v>
                </c:pt>
                <c:pt idx="91">
                  <c:v>Diwakar</c:v>
                </c:pt>
                <c:pt idx="92">
                  <c:v>Duhita</c:v>
                </c:pt>
                <c:pt idx="93">
                  <c:v>Ekta</c:v>
                </c:pt>
                <c:pt idx="94">
                  <c:v>Farah</c:v>
                </c:pt>
                <c:pt idx="95">
                  <c:v>Gaurav</c:v>
                </c:pt>
                <c:pt idx="96">
                  <c:v>Geetanjali</c:v>
                </c:pt>
                <c:pt idx="97">
                  <c:v>Ginny</c:v>
                </c:pt>
                <c:pt idx="98">
                  <c:v>Girase</c:v>
                </c:pt>
                <c:pt idx="99">
                  <c:v>Gopal</c:v>
                </c:pt>
                <c:pt idx="100">
                  <c:v>Gunjal</c:v>
                </c:pt>
                <c:pt idx="101">
                  <c:v>Gunjan</c:v>
                </c:pt>
                <c:pt idx="102">
                  <c:v>Harivansh</c:v>
                </c:pt>
                <c:pt idx="103">
                  <c:v>Harsh</c:v>
                </c:pt>
                <c:pt idx="104">
                  <c:v>Harshita</c:v>
                </c:pt>
                <c:pt idx="105">
                  <c:v>Hazel</c:v>
                </c:pt>
                <c:pt idx="106">
                  <c:v>Hemangi</c:v>
                </c:pt>
                <c:pt idx="107">
                  <c:v>Hemant</c:v>
                </c:pt>
                <c:pt idx="108">
                  <c:v>Hitesh</c:v>
                </c:pt>
                <c:pt idx="109">
                  <c:v>Hitika</c:v>
                </c:pt>
                <c:pt idx="110">
                  <c:v>Hrisheekesh</c:v>
                </c:pt>
                <c:pt idx="111">
                  <c:v>Inderpreet</c:v>
                </c:pt>
                <c:pt idx="112">
                  <c:v>Ishit</c:v>
                </c:pt>
                <c:pt idx="113">
                  <c:v>Ishpreet</c:v>
                </c:pt>
                <c:pt idx="114">
                  <c:v>Jahan</c:v>
                </c:pt>
                <c:pt idx="115">
                  <c:v>Jaideep</c:v>
                </c:pt>
                <c:pt idx="116">
                  <c:v>Jay</c:v>
                </c:pt>
                <c:pt idx="117">
                  <c:v>Jayanti</c:v>
                </c:pt>
                <c:pt idx="118">
                  <c:v>Jaydeep</c:v>
                </c:pt>
                <c:pt idx="119">
                  <c:v>Jesal</c:v>
                </c:pt>
                <c:pt idx="120">
                  <c:v>Jesslyn</c:v>
                </c:pt>
                <c:pt idx="121">
                  <c:v>Jitesh</c:v>
                </c:pt>
                <c:pt idx="122">
                  <c:v>K</c:v>
                </c:pt>
                <c:pt idx="123">
                  <c:v>Kajal</c:v>
                </c:pt>
                <c:pt idx="124">
                  <c:v>Kalyani</c:v>
                </c:pt>
                <c:pt idx="125">
                  <c:v>Kanak</c:v>
                </c:pt>
                <c:pt idx="126">
                  <c:v>Karandeep</c:v>
                </c:pt>
                <c:pt idx="127">
                  <c:v>Kartik</c:v>
                </c:pt>
                <c:pt idx="128">
                  <c:v>Kartikay</c:v>
                </c:pt>
                <c:pt idx="129">
                  <c:v>Kasheen</c:v>
                </c:pt>
                <c:pt idx="130">
                  <c:v>Kiran</c:v>
                </c:pt>
                <c:pt idx="131">
                  <c:v>Kirti</c:v>
                </c:pt>
                <c:pt idx="132">
                  <c:v>Kishwar</c:v>
                </c:pt>
                <c:pt idx="133">
                  <c:v>Komal</c:v>
                </c:pt>
                <c:pt idx="134">
                  <c:v>Krishna</c:v>
                </c:pt>
                <c:pt idx="135">
                  <c:v>Kritika</c:v>
                </c:pt>
                <c:pt idx="136">
                  <c:v>Krutika</c:v>
                </c:pt>
                <c:pt idx="137">
                  <c:v>Kshitij</c:v>
                </c:pt>
                <c:pt idx="138">
                  <c:v>Kushal</c:v>
                </c:pt>
                <c:pt idx="139">
                  <c:v>Lalita</c:v>
                </c:pt>
                <c:pt idx="140">
                  <c:v>Lisha</c:v>
                </c:pt>
                <c:pt idx="141">
                  <c:v>Madan Mohan</c:v>
                </c:pt>
                <c:pt idx="142">
                  <c:v>Madhav</c:v>
                </c:pt>
                <c:pt idx="143">
                  <c:v>Madhulika</c:v>
                </c:pt>
                <c:pt idx="144">
                  <c:v>Mahima</c:v>
                </c:pt>
                <c:pt idx="145">
                  <c:v>Maithilee</c:v>
                </c:pt>
                <c:pt idx="146">
                  <c:v>Mane</c:v>
                </c:pt>
                <c:pt idx="147">
                  <c:v>Manibalan</c:v>
                </c:pt>
                <c:pt idx="148">
                  <c:v>Manish</c:v>
                </c:pt>
                <c:pt idx="149">
                  <c:v>Manisha</c:v>
                </c:pt>
                <c:pt idx="150">
                  <c:v>Manjiri</c:v>
                </c:pt>
                <c:pt idx="151">
                  <c:v>Manju</c:v>
                </c:pt>
                <c:pt idx="152">
                  <c:v>Manshul</c:v>
                </c:pt>
                <c:pt idx="153">
                  <c:v>Mansi</c:v>
                </c:pt>
                <c:pt idx="154">
                  <c:v>Masurkar</c:v>
                </c:pt>
                <c:pt idx="155">
                  <c:v>Mayank</c:v>
                </c:pt>
                <c:pt idx="156">
                  <c:v>Megha</c:v>
                </c:pt>
                <c:pt idx="157">
                  <c:v>Meghana</c:v>
                </c:pt>
                <c:pt idx="158">
                  <c:v>Mhatre</c:v>
                </c:pt>
                <c:pt idx="159">
                  <c:v>Mitali</c:v>
                </c:pt>
                <c:pt idx="160">
                  <c:v>Mohan</c:v>
                </c:pt>
                <c:pt idx="161">
                  <c:v>Monica</c:v>
                </c:pt>
                <c:pt idx="162">
                  <c:v>Monisha</c:v>
                </c:pt>
                <c:pt idx="163">
                  <c:v>Monu</c:v>
                </c:pt>
                <c:pt idx="164">
                  <c:v>Moumita</c:v>
                </c:pt>
                <c:pt idx="165">
                  <c:v>Mousam</c:v>
                </c:pt>
                <c:pt idx="166">
                  <c:v>Mrinal</c:v>
                </c:pt>
                <c:pt idx="167">
                  <c:v>Mrunal</c:v>
                </c:pt>
                <c:pt idx="168">
                  <c:v>Mugdha</c:v>
                </c:pt>
                <c:pt idx="169">
                  <c:v>Mukesh</c:v>
                </c:pt>
                <c:pt idx="170">
                  <c:v>Mukund</c:v>
                </c:pt>
                <c:pt idx="171">
                  <c:v>Muskan</c:v>
                </c:pt>
                <c:pt idx="172">
                  <c:v>Namrata</c:v>
                </c:pt>
                <c:pt idx="173">
                  <c:v>Nandita</c:v>
                </c:pt>
                <c:pt idx="174">
                  <c:v>Navdeep</c:v>
                </c:pt>
                <c:pt idx="175">
                  <c:v>Neha</c:v>
                </c:pt>
                <c:pt idx="176">
                  <c:v>Nida</c:v>
                </c:pt>
                <c:pt idx="177">
                  <c:v>Nidhi</c:v>
                </c:pt>
                <c:pt idx="178">
                  <c:v>Nikhil</c:v>
                </c:pt>
                <c:pt idx="179">
                  <c:v>Nikita</c:v>
                </c:pt>
                <c:pt idx="180">
                  <c:v>Nirja</c:v>
                </c:pt>
                <c:pt idx="181">
                  <c:v>Nishant</c:v>
                </c:pt>
                <c:pt idx="182">
                  <c:v>Nishi</c:v>
                </c:pt>
                <c:pt idx="183">
                  <c:v>Nitant</c:v>
                </c:pt>
                <c:pt idx="184">
                  <c:v>Noopur</c:v>
                </c:pt>
                <c:pt idx="185">
                  <c:v>Noshiba</c:v>
                </c:pt>
                <c:pt idx="186">
                  <c:v>Nripraj</c:v>
                </c:pt>
                <c:pt idx="187">
                  <c:v>Omkar</c:v>
                </c:pt>
                <c:pt idx="188">
                  <c:v>Oshin</c:v>
                </c:pt>
                <c:pt idx="189">
                  <c:v>Palak</c:v>
                </c:pt>
                <c:pt idx="190">
                  <c:v>Parakh</c:v>
                </c:pt>
                <c:pt idx="191">
                  <c:v>Paridhi</c:v>
                </c:pt>
                <c:pt idx="192">
                  <c:v>Parin</c:v>
                </c:pt>
                <c:pt idx="193">
                  <c:v>Parishi</c:v>
                </c:pt>
                <c:pt idx="194">
                  <c:v>Parna</c:v>
                </c:pt>
                <c:pt idx="195">
                  <c:v>Parnavi</c:v>
                </c:pt>
                <c:pt idx="196">
                  <c:v>Paromita</c:v>
                </c:pt>
                <c:pt idx="197">
                  <c:v>Parth</c:v>
                </c:pt>
                <c:pt idx="198">
                  <c:v>Patil</c:v>
                </c:pt>
                <c:pt idx="199">
                  <c:v>Pearl</c:v>
                </c:pt>
                <c:pt idx="200">
                  <c:v>Phalguni</c:v>
                </c:pt>
                <c:pt idx="201">
                  <c:v>Pinky</c:v>
                </c:pt>
                <c:pt idx="202">
                  <c:v>Piyali</c:v>
                </c:pt>
                <c:pt idx="203">
                  <c:v>Piyam</c:v>
                </c:pt>
                <c:pt idx="204">
                  <c:v>Pooja</c:v>
                </c:pt>
                <c:pt idx="205">
                  <c:v>Pournamasi</c:v>
                </c:pt>
                <c:pt idx="206">
                  <c:v>Pradeep</c:v>
                </c:pt>
                <c:pt idx="207">
                  <c:v>Prajakta</c:v>
                </c:pt>
                <c:pt idx="208">
                  <c:v>Pranav</c:v>
                </c:pt>
                <c:pt idx="209">
                  <c:v>Praneet</c:v>
                </c:pt>
                <c:pt idx="210">
                  <c:v>Pranjali</c:v>
                </c:pt>
                <c:pt idx="211">
                  <c:v>Prashant</c:v>
                </c:pt>
                <c:pt idx="212">
                  <c:v>Pratiksha</c:v>
                </c:pt>
                <c:pt idx="213">
                  <c:v>Pratyusmita</c:v>
                </c:pt>
                <c:pt idx="214">
                  <c:v>Preksha</c:v>
                </c:pt>
                <c:pt idx="215">
                  <c:v>Priyanka</c:v>
                </c:pt>
                <c:pt idx="216">
                  <c:v>Priyanshu</c:v>
                </c:pt>
                <c:pt idx="217">
                  <c:v>Rachna</c:v>
                </c:pt>
                <c:pt idx="218">
                  <c:v>Rahul</c:v>
                </c:pt>
                <c:pt idx="219">
                  <c:v>Raksha</c:v>
                </c:pt>
                <c:pt idx="220">
                  <c:v>Ramesh</c:v>
                </c:pt>
                <c:pt idx="221">
                  <c:v>Rane</c:v>
                </c:pt>
                <c:pt idx="222">
                  <c:v>Rashmi</c:v>
                </c:pt>
                <c:pt idx="223">
                  <c:v>Rhea</c:v>
                </c:pt>
                <c:pt idx="224">
                  <c:v>Rishabh</c:v>
                </c:pt>
                <c:pt idx="225">
                  <c:v>Ritu</c:v>
                </c:pt>
                <c:pt idx="226">
                  <c:v>Riya</c:v>
                </c:pt>
                <c:pt idx="227">
                  <c:v>Rohan</c:v>
                </c:pt>
                <c:pt idx="228">
                  <c:v>Rohit</c:v>
                </c:pt>
                <c:pt idx="229">
                  <c:v>Rutuja</c:v>
                </c:pt>
                <c:pt idx="230">
                  <c:v>Sabah</c:v>
                </c:pt>
                <c:pt idx="231">
                  <c:v>Sagar</c:v>
                </c:pt>
                <c:pt idx="232">
                  <c:v>Sahil</c:v>
                </c:pt>
                <c:pt idx="233">
                  <c:v>Sajal</c:v>
                </c:pt>
                <c:pt idx="234">
                  <c:v>Sakshi</c:v>
                </c:pt>
                <c:pt idx="235">
                  <c:v>Saloni</c:v>
                </c:pt>
                <c:pt idx="236">
                  <c:v>Samiksha</c:v>
                </c:pt>
                <c:pt idx="237">
                  <c:v>Sandeep</c:v>
                </c:pt>
                <c:pt idx="238">
                  <c:v>Sandra</c:v>
                </c:pt>
                <c:pt idx="239">
                  <c:v>Sanjana</c:v>
                </c:pt>
                <c:pt idx="240">
                  <c:v>Sanjay</c:v>
                </c:pt>
                <c:pt idx="241">
                  <c:v>Sanjna</c:v>
                </c:pt>
                <c:pt idx="242">
                  <c:v>Sanjova</c:v>
                </c:pt>
                <c:pt idx="243">
                  <c:v>Sanskriti</c:v>
                </c:pt>
                <c:pt idx="244">
                  <c:v>Saptadeep</c:v>
                </c:pt>
                <c:pt idx="245">
                  <c:v>Sarita</c:v>
                </c:pt>
                <c:pt idx="246">
                  <c:v>Sathya</c:v>
                </c:pt>
                <c:pt idx="247">
                  <c:v>Sauptik</c:v>
                </c:pt>
                <c:pt idx="248">
                  <c:v>Saurabh</c:v>
                </c:pt>
                <c:pt idx="249">
                  <c:v>Savi</c:v>
                </c:pt>
                <c:pt idx="250">
                  <c:v>Shaily</c:v>
                </c:pt>
                <c:pt idx="251">
                  <c:v>Shantanu</c:v>
                </c:pt>
                <c:pt idx="252">
                  <c:v>Sharda</c:v>
                </c:pt>
                <c:pt idx="253">
                  <c:v>Shardul</c:v>
                </c:pt>
                <c:pt idx="254">
                  <c:v>Shatayu</c:v>
                </c:pt>
                <c:pt idx="255">
                  <c:v>Sheetal</c:v>
                </c:pt>
                <c:pt idx="256">
                  <c:v>Shefali</c:v>
                </c:pt>
                <c:pt idx="257">
                  <c:v>Shikhar</c:v>
                </c:pt>
                <c:pt idx="258">
                  <c:v>Shishu</c:v>
                </c:pt>
                <c:pt idx="259">
                  <c:v>Shiva</c:v>
                </c:pt>
                <c:pt idx="260">
                  <c:v>Shivam</c:v>
                </c:pt>
                <c:pt idx="261">
                  <c:v>Shivangi</c:v>
                </c:pt>
                <c:pt idx="262">
                  <c:v>Shivani</c:v>
                </c:pt>
                <c:pt idx="263">
                  <c:v>Shivanshu</c:v>
                </c:pt>
                <c:pt idx="264">
                  <c:v>Shourya</c:v>
                </c:pt>
                <c:pt idx="265">
                  <c:v>Shreya</c:v>
                </c:pt>
                <c:pt idx="266">
                  <c:v>Shreyoshe</c:v>
                </c:pt>
                <c:pt idx="267">
                  <c:v>Shreyshi</c:v>
                </c:pt>
                <c:pt idx="268">
                  <c:v>Shrichand</c:v>
                </c:pt>
                <c:pt idx="269">
                  <c:v>Shruti</c:v>
                </c:pt>
                <c:pt idx="270">
                  <c:v>Shubham</c:v>
                </c:pt>
                <c:pt idx="271">
                  <c:v>Shubhi</c:v>
                </c:pt>
                <c:pt idx="272">
                  <c:v>Shweta</c:v>
                </c:pt>
                <c:pt idx="273">
                  <c:v>Shyam</c:v>
                </c:pt>
                <c:pt idx="274">
                  <c:v>Siddharth</c:v>
                </c:pt>
                <c:pt idx="275">
                  <c:v>Sidharth</c:v>
                </c:pt>
                <c:pt idx="276">
                  <c:v>Smriti</c:v>
                </c:pt>
                <c:pt idx="277">
                  <c:v>Sneha</c:v>
                </c:pt>
                <c:pt idx="278">
                  <c:v>Snehal</c:v>
                </c:pt>
                <c:pt idx="279">
                  <c:v>Snel</c:v>
                </c:pt>
                <c:pt idx="280">
                  <c:v>Sonakshi</c:v>
                </c:pt>
                <c:pt idx="281">
                  <c:v>Sonal</c:v>
                </c:pt>
                <c:pt idx="282">
                  <c:v>Soodesh</c:v>
                </c:pt>
                <c:pt idx="283">
                  <c:v>Soumya</c:v>
                </c:pt>
                <c:pt idx="284">
                  <c:v>Soumyabrata</c:v>
                </c:pt>
                <c:pt idx="285">
                  <c:v>Srishti</c:v>
                </c:pt>
                <c:pt idx="286">
                  <c:v>Stuti</c:v>
                </c:pt>
                <c:pt idx="287">
                  <c:v>Subhashree</c:v>
                </c:pt>
                <c:pt idx="288">
                  <c:v>Subhasmita</c:v>
                </c:pt>
                <c:pt idx="289">
                  <c:v>Sudevi</c:v>
                </c:pt>
                <c:pt idx="290">
                  <c:v>Sudheer</c:v>
                </c:pt>
                <c:pt idx="291">
                  <c:v>Sudhir</c:v>
                </c:pt>
                <c:pt idx="292">
                  <c:v>Suhani</c:v>
                </c:pt>
                <c:pt idx="293">
                  <c:v>Sujay</c:v>
                </c:pt>
                <c:pt idx="294">
                  <c:v>Sukant</c:v>
                </c:pt>
                <c:pt idx="295">
                  <c:v>Sukrith</c:v>
                </c:pt>
                <c:pt idx="296">
                  <c:v>Sukruta</c:v>
                </c:pt>
                <c:pt idx="297">
                  <c:v>Suman</c:v>
                </c:pt>
                <c:pt idx="298">
                  <c:v>Sumeet</c:v>
                </c:pt>
                <c:pt idx="299">
                  <c:v>Surabhi</c:v>
                </c:pt>
                <c:pt idx="300">
                  <c:v>Suraj</c:v>
                </c:pt>
                <c:pt idx="301">
                  <c:v>Surbhi</c:v>
                </c:pt>
                <c:pt idx="302">
                  <c:v>Swapnil</c:v>
                </c:pt>
                <c:pt idx="303">
                  <c:v>Swati</c:v>
                </c:pt>
                <c:pt idx="304">
                  <c:v>Sweta</c:v>
                </c:pt>
                <c:pt idx="305">
                  <c:v>Swetha</c:v>
                </c:pt>
                <c:pt idx="306">
                  <c:v>Swetlana</c:v>
                </c:pt>
                <c:pt idx="307">
                  <c:v>Syed</c:v>
                </c:pt>
                <c:pt idx="308">
                  <c:v>Tanushree</c:v>
                </c:pt>
                <c:pt idx="309">
                  <c:v>Tanvi</c:v>
                </c:pt>
                <c:pt idx="310">
                  <c:v>Teena</c:v>
                </c:pt>
                <c:pt idx="311">
                  <c:v>Tejas</c:v>
                </c:pt>
                <c:pt idx="312">
                  <c:v>Tejeswini</c:v>
                </c:pt>
                <c:pt idx="313">
                  <c:v>Trupti</c:v>
                </c:pt>
                <c:pt idx="314">
                  <c:v>Tulika</c:v>
                </c:pt>
                <c:pt idx="315">
                  <c:v>Turumella</c:v>
                </c:pt>
                <c:pt idx="316">
                  <c:v>Tushina</c:v>
                </c:pt>
                <c:pt idx="317">
                  <c:v>Utkarsh</c:v>
                </c:pt>
                <c:pt idx="318">
                  <c:v>Utsav</c:v>
                </c:pt>
                <c:pt idx="319">
                  <c:v>Uudhav</c:v>
                </c:pt>
                <c:pt idx="320">
                  <c:v>Vaibhav</c:v>
                </c:pt>
                <c:pt idx="321">
                  <c:v>Vaibhavi</c:v>
                </c:pt>
                <c:pt idx="322">
                  <c:v>Vandana</c:v>
                </c:pt>
                <c:pt idx="323">
                  <c:v>Vijay</c:v>
                </c:pt>
                <c:pt idx="324">
                  <c:v>Vikash</c:v>
                </c:pt>
                <c:pt idx="325">
                  <c:v>Vineet</c:v>
                </c:pt>
                <c:pt idx="326">
                  <c:v>Vini</c:v>
                </c:pt>
                <c:pt idx="327">
                  <c:v>Vipul</c:v>
                </c:pt>
                <c:pt idx="328">
                  <c:v>Vishakha</c:v>
                </c:pt>
                <c:pt idx="329">
                  <c:v>Vivek</c:v>
                </c:pt>
                <c:pt idx="330">
                  <c:v>Vrinda</c:v>
                </c:pt>
                <c:pt idx="331">
                  <c:v>Wale</c:v>
                </c:pt>
                <c:pt idx="332">
                  <c:v>Yaanvi</c:v>
                </c:pt>
                <c:pt idx="333">
                  <c:v>Yash</c:v>
                </c:pt>
                <c:pt idx="334">
                  <c:v>Yogesh</c:v>
                </c:pt>
                <c:pt idx="335">
                  <c:v>Yohann</c:v>
                </c:pt>
              </c:strCache>
            </c:strRef>
          </c:cat>
          <c:val>
            <c:numRef>
              <c:f>summarization!$H$3:$H$339</c:f>
              <c:numCache>
                <c:formatCode>General</c:formatCode>
                <c:ptCount val="336"/>
                <c:pt idx="0">
                  <c:v>74</c:v>
                </c:pt>
                <c:pt idx="1">
                  <c:v>4701</c:v>
                </c:pt>
                <c:pt idx="2">
                  <c:v>3276</c:v>
                </c:pt>
                <c:pt idx="3">
                  <c:v>556</c:v>
                </c:pt>
                <c:pt idx="4">
                  <c:v>689</c:v>
                </c:pt>
                <c:pt idx="5">
                  <c:v>5691</c:v>
                </c:pt>
                <c:pt idx="6">
                  <c:v>78</c:v>
                </c:pt>
                <c:pt idx="7">
                  <c:v>5597</c:v>
                </c:pt>
                <c:pt idx="8">
                  <c:v>193</c:v>
                </c:pt>
                <c:pt idx="9">
                  <c:v>1521</c:v>
                </c:pt>
                <c:pt idx="10">
                  <c:v>703</c:v>
                </c:pt>
                <c:pt idx="11">
                  <c:v>939</c:v>
                </c:pt>
                <c:pt idx="12">
                  <c:v>1922</c:v>
                </c:pt>
                <c:pt idx="13">
                  <c:v>806</c:v>
                </c:pt>
                <c:pt idx="14">
                  <c:v>27</c:v>
                </c:pt>
                <c:pt idx="15">
                  <c:v>131</c:v>
                </c:pt>
                <c:pt idx="16">
                  <c:v>31</c:v>
                </c:pt>
                <c:pt idx="17">
                  <c:v>52</c:v>
                </c:pt>
                <c:pt idx="18">
                  <c:v>1367</c:v>
                </c:pt>
                <c:pt idx="19">
                  <c:v>1630</c:v>
                </c:pt>
                <c:pt idx="20">
                  <c:v>2148</c:v>
                </c:pt>
                <c:pt idx="21">
                  <c:v>909</c:v>
                </c:pt>
                <c:pt idx="22">
                  <c:v>1934</c:v>
                </c:pt>
                <c:pt idx="23">
                  <c:v>1210</c:v>
                </c:pt>
                <c:pt idx="24">
                  <c:v>2262</c:v>
                </c:pt>
                <c:pt idx="25">
                  <c:v>1318</c:v>
                </c:pt>
                <c:pt idx="26">
                  <c:v>1514</c:v>
                </c:pt>
                <c:pt idx="27">
                  <c:v>16</c:v>
                </c:pt>
                <c:pt idx="28">
                  <c:v>369</c:v>
                </c:pt>
                <c:pt idx="29">
                  <c:v>907</c:v>
                </c:pt>
                <c:pt idx="30">
                  <c:v>193</c:v>
                </c:pt>
                <c:pt idx="31">
                  <c:v>561</c:v>
                </c:pt>
                <c:pt idx="32">
                  <c:v>3537</c:v>
                </c:pt>
                <c:pt idx="33">
                  <c:v>1647</c:v>
                </c:pt>
                <c:pt idx="34">
                  <c:v>437</c:v>
                </c:pt>
                <c:pt idx="35">
                  <c:v>1063</c:v>
                </c:pt>
                <c:pt idx="36">
                  <c:v>50</c:v>
                </c:pt>
                <c:pt idx="37">
                  <c:v>16</c:v>
                </c:pt>
                <c:pt idx="38">
                  <c:v>1441</c:v>
                </c:pt>
                <c:pt idx="39">
                  <c:v>4395</c:v>
                </c:pt>
                <c:pt idx="40">
                  <c:v>465</c:v>
                </c:pt>
                <c:pt idx="41">
                  <c:v>108</c:v>
                </c:pt>
                <c:pt idx="42">
                  <c:v>345</c:v>
                </c:pt>
                <c:pt idx="43">
                  <c:v>478</c:v>
                </c:pt>
                <c:pt idx="44">
                  <c:v>34</c:v>
                </c:pt>
                <c:pt idx="45">
                  <c:v>166</c:v>
                </c:pt>
                <c:pt idx="46">
                  <c:v>1301</c:v>
                </c:pt>
                <c:pt idx="47">
                  <c:v>418</c:v>
                </c:pt>
                <c:pt idx="48">
                  <c:v>1298</c:v>
                </c:pt>
                <c:pt idx="49">
                  <c:v>85</c:v>
                </c:pt>
                <c:pt idx="50">
                  <c:v>149</c:v>
                </c:pt>
                <c:pt idx="51">
                  <c:v>459</c:v>
                </c:pt>
                <c:pt idx="52">
                  <c:v>172</c:v>
                </c:pt>
                <c:pt idx="53">
                  <c:v>22</c:v>
                </c:pt>
                <c:pt idx="54">
                  <c:v>11</c:v>
                </c:pt>
                <c:pt idx="55">
                  <c:v>965</c:v>
                </c:pt>
                <c:pt idx="56">
                  <c:v>2584</c:v>
                </c:pt>
                <c:pt idx="57">
                  <c:v>1034</c:v>
                </c:pt>
                <c:pt idx="58">
                  <c:v>993</c:v>
                </c:pt>
                <c:pt idx="59">
                  <c:v>76</c:v>
                </c:pt>
                <c:pt idx="60">
                  <c:v>3511</c:v>
                </c:pt>
                <c:pt idx="61">
                  <c:v>425</c:v>
                </c:pt>
                <c:pt idx="62">
                  <c:v>715</c:v>
                </c:pt>
                <c:pt idx="63">
                  <c:v>1579</c:v>
                </c:pt>
                <c:pt idx="64">
                  <c:v>152</c:v>
                </c:pt>
                <c:pt idx="65">
                  <c:v>307</c:v>
                </c:pt>
                <c:pt idx="66">
                  <c:v>3599</c:v>
                </c:pt>
                <c:pt idx="67">
                  <c:v>4907</c:v>
                </c:pt>
                <c:pt idx="68">
                  <c:v>282</c:v>
                </c:pt>
                <c:pt idx="69">
                  <c:v>71</c:v>
                </c:pt>
                <c:pt idx="70">
                  <c:v>761</c:v>
                </c:pt>
                <c:pt idx="71">
                  <c:v>2390</c:v>
                </c:pt>
                <c:pt idx="72">
                  <c:v>768</c:v>
                </c:pt>
                <c:pt idx="73">
                  <c:v>166</c:v>
                </c:pt>
                <c:pt idx="74">
                  <c:v>497</c:v>
                </c:pt>
                <c:pt idx="75">
                  <c:v>724</c:v>
                </c:pt>
                <c:pt idx="76">
                  <c:v>3192</c:v>
                </c:pt>
                <c:pt idx="77">
                  <c:v>133</c:v>
                </c:pt>
                <c:pt idx="78">
                  <c:v>1430</c:v>
                </c:pt>
                <c:pt idx="79">
                  <c:v>1013</c:v>
                </c:pt>
                <c:pt idx="80">
                  <c:v>373</c:v>
                </c:pt>
                <c:pt idx="81">
                  <c:v>632</c:v>
                </c:pt>
                <c:pt idx="82">
                  <c:v>119</c:v>
                </c:pt>
                <c:pt idx="83">
                  <c:v>96</c:v>
                </c:pt>
                <c:pt idx="84">
                  <c:v>12</c:v>
                </c:pt>
                <c:pt idx="85">
                  <c:v>57</c:v>
                </c:pt>
                <c:pt idx="86">
                  <c:v>968</c:v>
                </c:pt>
                <c:pt idx="87">
                  <c:v>367</c:v>
                </c:pt>
                <c:pt idx="88">
                  <c:v>465</c:v>
                </c:pt>
                <c:pt idx="89">
                  <c:v>248</c:v>
                </c:pt>
                <c:pt idx="90">
                  <c:v>1757</c:v>
                </c:pt>
                <c:pt idx="91">
                  <c:v>2342</c:v>
                </c:pt>
                <c:pt idx="92">
                  <c:v>50</c:v>
                </c:pt>
                <c:pt idx="93">
                  <c:v>694</c:v>
                </c:pt>
                <c:pt idx="94">
                  <c:v>4675</c:v>
                </c:pt>
                <c:pt idx="95">
                  <c:v>3529</c:v>
                </c:pt>
                <c:pt idx="96">
                  <c:v>103</c:v>
                </c:pt>
                <c:pt idx="97">
                  <c:v>381</c:v>
                </c:pt>
                <c:pt idx="98">
                  <c:v>1678</c:v>
                </c:pt>
                <c:pt idx="99">
                  <c:v>4836</c:v>
                </c:pt>
                <c:pt idx="100">
                  <c:v>118</c:v>
                </c:pt>
                <c:pt idx="101">
                  <c:v>31</c:v>
                </c:pt>
                <c:pt idx="102">
                  <c:v>9902</c:v>
                </c:pt>
                <c:pt idx="103">
                  <c:v>1593</c:v>
                </c:pt>
                <c:pt idx="104">
                  <c:v>504</c:v>
                </c:pt>
                <c:pt idx="105">
                  <c:v>944</c:v>
                </c:pt>
                <c:pt idx="106">
                  <c:v>13</c:v>
                </c:pt>
                <c:pt idx="107">
                  <c:v>1643</c:v>
                </c:pt>
                <c:pt idx="108">
                  <c:v>3548</c:v>
                </c:pt>
                <c:pt idx="109">
                  <c:v>1160</c:v>
                </c:pt>
                <c:pt idx="110">
                  <c:v>911</c:v>
                </c:pt>
                <c:pt idx="111">
                  <c:v>48</c:v>
                </c:pt>
                <c:pt idx="112">
                  <c:v>188</c:v>
                </c:pt>
                <c:pt idx="113">
                  <c:v>3003</c:v>
                </c:pt>
                <c:pt idx="114">
                  <c:v>3007</c:v>
                </c:pt>
                <c:pt idx="115">
                  <c:v>177</c:v>
                </c:pt>
                <c:pt idx="116">
                  <c:v>3574</c:v>
                </c:pt>
                <c:pt idx="117">
                  <c:v>100</c:v>
                </c:pt>
                <c:pt idx="118">
                  <c:v>30</c:v>
                </c:pt>
                <c:pt idx="119">
                  <c:v>1782</c:v>
                </c:pt>
                <c:pt idx="120">
                  <c:v>115</c:v>
                </c:pt>
                <c:pt idx="121">
                  <c:v>1414</c:v>
                </c:pt>
                <c:pt idx="122">
                  <c:v>336</c:v>
                </c:pt>
                <c:pt idx="123">
                  <c:v>889</c:v>
                </c:pt>
                <c:pt idx="124">
                  <c:v>484</c:v>
                </c:pt>
                <c:pt idx="125">
                  <c:v>699</c:v>
                </c:pt>
                <c:pt idx="126">
                  <c:v>244</c:v>
                </c:pt>
                <c:pt idx="127">
                  <c:v>2308</c:v>
                </c:pt>
                <c:pt idx="128">
                  <c:v>890</c:v>
                </c:pt>
                <c:pt idx="129">
                  <c:v>958</c:v>
                </c:pt>
                <c:pt idx="130">
                  <c:v>490</c:v>
                </c:pt>
                <c:pt idx="131">
                  <c:v>3216</c:v>
                </c:pt>
                <c:pt idx="132">
                  <c:v>1013</c:v>
                </c:pt>
                <c:pt idx="133">
                  <c:v>531</c:v>
                </c:pt>
                <c:pt idx="134">
                  <c:v>145</c:v>
                </c:pt>
                <c:pt idx="135">
                  <c:v>124</c:v>
                </c:pt>
                <c:pt idx="136">
                  <c:v>3112</c:v>
                </c:pt>
                <c:pt idx="137">
                  <c:v>259</c:v>
                </c:pt>
                <c:pt idx="138">
                  <c:v>1383</c:v>
                </c:pt>
                <c:pt idx="139">
                  <c:v>5809</c:v>
                </c:pt>
                <c:pt idx="140">
                  <c:v>1729</c:v>
                </c:pt>
                <c:pt idx="141">
                  <c:v>7766</c:v>
                </c:pt>
                <c:pt idx="142">
                  <c:v>9365</c:v>
                </c:pt>
                <c:pt idx="143">
                  <c:v>1549</c:v>
                </c:pt>
                <c:pt idx="144">
                  <c:v>2223</c:v>
                </c:pt>
                <c:pt idx="145">
                  <c:v>174</c:v>
                </c:pt>
                <c:pt idx="146">
                  <c:v>391</c:v>
                </c:pt>
                <c:pt idx="147">
                  <c:v>189</c:v>
                </c:pt>
                <c:pt idx="148">
                  <c:v>55</c:v>
                </c:pt>
                <c:pt idx="149">
                  <c:v>662</c:v>
                </c:pt>
                <c:pt idx="150">
                  <c:v>387</c:v>
                </c:pt>
                <c:pt idx="151">
                  <c:v>2084</c:v>
                </c:pt>
                <c:pt idx="152">
                  <c:v>844</c:v>
                </c:pt>
                <c:pt idx="153">
                  <c:v>291</c:v>
                </c:pt>
                <c:pt idx="154">
                  <c:v>121</c:v>
                </c:pt>
                <c:pt idx="155">
                  <c:v>1629</c:v>
                </c:pt>
                <c:pt idx="156">
                  <c:v>1057</c:v>
                </c:pt>
                <c:pt idx="157">
                  <c:v>139</c:v>
                </c:pt>
                <c:pt idx="158">
                  <c:v>1133</c:v>
                </c:pt>
                <c:pt idx="159">
                  <c:v>1076</c:v>
                </c:pt>
                <c:pt idx="160">
                  <c:v>3673</c:v>
                </c:pt>
                <c:pt idx="161">
                  <c:v>1397</c:v>
                </c:pt>
                <c:pt idx="162">
                  <c:v>587</c:v>
                </c:pt>
                <c:pt idx="163">
                  <c:v>1246</c:v>
                </c:pt>
                <c:pt idx="164">
                  <c:v>234</c:v>
                </c:pt>
                <c:pt idx="165">
                  <c:v>47</c:v>
                </c:pt>
                <c:pt idx="166">
                  <c:v>1895</c:v>
                </c:pt>
                <c:pt idx="167">
                  <c:v>582</c:v>
                </c:pt>
                <c:pt idx="168">
                  <c:v>71</c:v>
                </c:pt>
                <c:pt idx="169">
                  <c:v>2101</c:v>
                </c:pt>
                <c:pt idx="170">
                  <c:v>152</c:v>
                </c:pt>
                <c:pt idx="171">
                  <c:v>2268</c:v>
                </c:pt>
                <c:pt idx="172">
                  <c:v>30</c:v>
                </c:pt>
                <c:pt idx="173">
                  <c:v>309</c:v>
                </c:pt>
                <c:pt idx="174">
                  <c:v>482</c:v>
                </c:pt>
                <c:pt idx="175">
                  <c:v>3350</c:v>
                </c:pt>
                <c:pt idx="176">
                  <c:v>1201</c:v>
                </c:pt>
                <c:pt idx="177">
                  <c:v>1329</c:v>
                </c:pt>
                <c:pt idx="178">
                  <c:v>61</c:v>
                </c:pt>
                <c:pt idx="179">
                  <c:v>902</c:v>
                </c:pt>
                <c:pt idx="180">
                  <c:v>79</c:v>
                </c:pt>
                <c:pt idx="181">
                  <c:v>1136</c:v>
                </c:pt>
                <c:pt idx="182">
                  <c:v>669</c:v>
                </c:pt>
                <c:pt idx="183">
                  <c:v>420</c:v>
                </c:pt>
                <c:pt idx="184">
                  <c:v>1607</c:v>
                </c:pt>
                <c:pt idx="185">
                  <c:v>58</c:v>
                </c:pt>
                <c:pt idx="186">
                  <c:v>1619</c:v>
                </c:pt>
                <c:pt idx="187">
                  <c:v>196</c:v>
                </c:pt>
                <c:pt idx="188">
                  <c:v>1904</c:v>
                </c:pt>
                <c:pt idx="189">
                  <c:v>263</c:v>
                </c:pt>
                <c:pt idx="190">
                  <c:v>86</c:v>
                </c:pt>
                <c:pt idx="191">
                  <c:v>3651</c:v>
                </c:pt>
                <c:pt idx="192">
                  <c:v>1404</c:v>
                </c:pt>
                <c:pt idx="193">
                  <c:v>4741</c:v>
                </c:pt>
                <c:pt idx="194">
                  <c:v>975</c:v>
                </c:pt>
                <c:pt idx="195">
                  <c:v>87</c:v>
                </c:pt>
                <c:pt idx="196">
                  <c:v>811</c:v>
                </c:pt>
                <c:pt idx="197">
                  <c:v>5161</c:v>
                </c:pt>
                <c:pt idx="198">
                  <c:v>220</c:v>
                </c:pt>
                <c:pt idx="199">
                  <c:v>233</c:v>
                </c:pt>
                <c:pt idx="200">
                  <c:v>40</c:v>
                </c:pt>
                <c:pt idx="201">
                  <c:v>3160</c:v>
                </c:pt>
                <c:pt idx="202">
                  <c:v>610</c:v>
                </c:pt>
                <c:pt idx="203">
                  <c:v>193</c:v>
                </c:pt>
                <c:pt idx="204">
                  <c:v>3416</c:v>
                </c:pt>
                <c:pt idx="205">
                  <c:v>2286</c:v>
                </c:pt>
                <c:pt idx="206">
                  <c:v>179</c:v>
                </c:pt>
                <c:pt idx="207">
                  <c:v>148</c:v>
                </c:pt>
                <c:pt idx="208">
                  <c:v>1493</c:v>
                </c:pt>
                <c:pt idx="209">
                  <c:v>743</c:v>
                </c:pt>
                <c:pt idx="210">
                  <c:v>1250</c:v>
                </c:pt>
                <c:pt idx="211">
                  <c:v>1165</c:v>
                </c:pt>
                <c:pt idx="212">
                  <c:v>53</c:v>
                </c:pt>
                <c:pt idx="213">
                  <c:v>1570</c:v>
                </c:pt>
                <c:pt idx="214">
                  <c:v>102</c:v>
                </c:pt>
                <c:pt idx="215">
                  <c:v>5762</c:v>
                </c:pt>
                <c:pt idx="216">
                  <c:v>1392</c:v>
                </c:pt>
                <c:pt idx="217">
                  <c:v>47</c:v>
                </c:pt>
                <c:pt idx="218">
                  <c:v>105</c:v>
                </c:pt>
                <c:pt idx="219">
                  <c:v>158</c:v>
                </c:pt>
                <c:pt idx="220">
                  <c:v>471</c:v>
                </c:pt>
                <c:pt idx="221">
                  <c:v>105</c:v>
                </c:pt>
                <c:pt idx="222">
                  <c:v>170</c:v>
                </c:pt>
                <c:pt idx="223">
                  <c:v>1544</c:v>
                </c:pt>
                <c:pt idx="224">
                  <c:v>2002</c:v>
                </c:pt>
                <c:pt idx="225">
                  <c:v>265</c:v>
                </c:pt>
                <c:pt idx="226">
                  <c:v>228</c:v>
                </c:pt>
                <c:pt idx="227">
                  <c:v>4901</c:v>
                </c:pt>
                <c:pt idx="228">
                  <c:v>15</c:v>
                </c:pt>
                <c:pt idx="229">
                  <c:v>1511</c:v>
                </c:pt>
                <c:pt idx="230">
                  <c:v>1384</c:v>
                </c:pt>
                <c:pt idx="231">
                  <c:v>439</c:v>
                </c:pt>
                <c:pt idx="232">
                  <c:v>1490</c:v>
                </c:pt>
                <c:pt idx="233">
                  <c:v>42</c:v>
                </c:pt>
                <c:pt idx="234">
                  <c:v>1171</c:v>
                </c:pt>
                <c:pt idx="235">
                  <c:v>17</c:v>
                </c:pt>
                <c:pt idx="236">
                  <c:v>134</c:v>
                </c:pt>
                <c:pt idx="237">
                  <c:v>265</c:v>
                </c:pt>
                <c:pt idx="238">
                  <c:v>325</c:v>
                </c:pt>
                <c:pt idx="239">
                  <c:v>2450</c:v>
                </c:pt>
                <c:pt idx="240">
                  <c:v>517</c:v>
                </c:pt>
                <c:pt idx="241">
                  <c:v>826</c:v>
                </c:pt>
                <c:pt idx="242">
                  <c:v>1259</c:v>
                </c:pt>
                <c:pt idx="243">
                  <c:v>203</c:v>
                </c:pt>
                <c:pt idx="244">
                  <c:v>404</c:v>
                </c:pt>
                <c:pt idx="245">
                  <c:v>5449</c:v>
                </c:pt>
                <c:pt idx="246">
                  <c:v>388</c:v>
                </c:pt>
                <c:pt idx="247">
                  <c:v>3287</c:v>
                </c:pt>
                <c:pt idx="248">
                  <c:v>203</c:v>
                </c:pt>
                <c:pt idx="249">
                  <c:v>1361</c:v>
                </c:pt>
                <c:pt idx="250">
                  <c:v>1777</c:v>
                </c:pt>
                <c:pt idx="251">
                  <c:v>315</c:v>
                </c:pt>
                <c:pt idx="252">
                  <c:v>1715</c:v>
                </c:pt>
                <c:pt idx="253">
                  <c:v>1907</c:v>
                </c:pt>
                <c:pt idx="254">
                  <c:v>1571</c:v>
                </c:pt>
                <c:pt idx="255">
                  <c:v>2756</c:v>
                </c:pt>
                <c:pt idx="256">
                  <c:v>220</c:v>
                </c:pt>
                <c:pt idx="257">
                  <c:v>820</c:v>
                </c:pt>
                <c:pt idx="258">
                  <c:v>3803</c:v>
                </c:pt>
                <c:pt idx="259">
                  <c:v>6339</c:v>
                </c:pt>
                <c:pt idx="260">
                  <c:v>1587</c:v>
                </c:pt>
                <c:pt idx="261">
                  <c:v>1130</c:v>
                </c:pt>
                <c:pt idx="262">
                  <c:v>251</c:v>
                </c:pt>
                <c:pt idx="263">
                  <c:v>3266</c:v>
                </c:pt>
                <c:pt idx="264">
                  <c:v>3204</c:v>
                </c:pt>
                <c:pt idx="265">
                  <c:v>4365</c:v>
                </c:pt>
                <c:pt idx="266">
                  <c:v>1582</c:v>
                </c:pt>
                <c:pt idx="267">
                  <c:v>3343</c:v>
                </c:pt>
                <c:pt idx="268">
                  <c:v>3828</c:v>
                </c:pt>
                <c:pt idx="269">
                  <c:v>5750</c:v>
                </c:pt>
                <c:pt idx="270">
                  <c:v>3387</c:v>
                </c:pt>
                <c:pt idx="271">
                  <c:v>180</c:v>
                </c:pt>
                <c:pt idx="272">
                  <c:v>2293</c:v>
                </c:pt>
                <c:pt idx="273">
                  <c:v>101</c:v>
                </c:pt>
                <c:pt idx="274">
                  <c:v>1921</c:v>
                </c:pt>
                <c:pt idx="275">
                  <c:v>73</c:v>
                </c:pt>
                <c:pt idx="276">
                  <c:v>147</c:v>
                </c:pt>
                <c:pt idx="277">
                  <c:v>806</c:v>
                </c:pt>
                <c:pt idx="278">
                  <c:v>38</c:v>
                </c:pt>
                <c:pt idx="279">
                  <c:v>1245</c:v>
                </c:pt>
                <c:pt idx="280">
                  <c:v>237</c:v>
                </c:pt>
                <c:pt idx="281">
                  <c:v>2069</c:v>
                </c:pt>
                <c:pt idx="282">
                  <c:v>94</c:v>
                </c:pt>
                <c:pt idx="283">
                  <c:v>530</c:v>
                </c:pt>
                <c:pt idx="284">
                  <c:v>1510</c:v>
                </c:pt>
                <c:pt idx="285">
                  <c:v>416</c:v>
                </c:pt>
                <c:pt idx="286">
                  <c:v>351</c:v>
                </c:pt>
                <c:pt idx="287">
                  <c:v>529</c:v>
                </c:pt>
                <c:pt idx="288">
                  <c:v>167</c:v>
                </c:pt>
                <c:pt idx="289">
                  <c:v>365</c:v>
                </c:pt>
                <c:pt idx="290">
                  <c:v>477</c:v>
                </c:pt>
                <c:pt idx="291">
                  <c:v>1969</c:v>
                </c:pt>
                <c:pt idx="292">
                  <c:v>171</c:v>
                </c:pt>
                <c:pt idx="293">
                  <c:v>2233</c:v>
                </c:pt>
                <c:pt idx="294">
                  <c:v>276</c:v>
                </c:pt>
                <c:pt idx="295">
                  <c:v>1721</c:v>
                </c:pt>
                <c:pt idx="296">
                  <c:v>277</c:v>
                </c:pt>
                <c:pt idx="297">
                  <c:v>207</c:v>
                </c:pt>
                <c:pt idx="298">
                  <c:v>24</c:v>
                </c:pt>
                <c:pt idx="299">
                  <c:v>3550</c:v>
                </c:pt>
                <c:pt idx="300">
                  <c:v>468</c:v>
                </c:pt>
                <c:pt idx="301">
                  <c:v>1309</c:v>
                </c:pt>
                <c:pt idx="302">
                  <c:v>1534</c:v>
                </c:pt>
                <c:pt idx="303">
                  <c:v>86</c:v>
                </c:pt>
                <c:pt idx="304">
                  <c:v>808</c:v>
                </c:pt>
                <c:pt idx="305">
                  <c:v>352</c:v>
                </c:pt>
                <c:pt idx="306">
                  <c:v>31</c:v>
                </c:pt>
                <c:pt idx="307">
                  <c:v>169</c:v>
                </c:pt>
                <c:pt idx="308">
                  <c:v>637</c:v>
                </c:pt>
                <c:pt idx="309">
                  <c:v>934</c:v>
                </c:pt>
                <c:pt idx="310">
                  <c:v>137</c:v>
                </c:pt>
                <c:pt idx="311">
                  <c:v>34</c:v>
                </c:pt>
                <c:pt idx="312">
                  <c:v>1116</c:v>
                </c:pt>
                <c:pt idx="313">
                  <c:v>2017</c:v>
                </c:pt>
                <c:pt idx="314">
                  <c:v>4668</c:v>
                </c:pt>
                <c:pt idx="315">
                  <c:v>384</c:v>
                </c:pt>
                <c:pt idx="316">
                  <c:v>600</c:v>
                </c:pt>
                <c:pt idx="317">
                  <c:v>80</c:v>
                </c:pt>
                <c:pt idx="318">
                  <c:v>126</c:v>
                </c:pt>
                <c:pt idx="319">
                  <c:v>3598</c:v>
                </c:pt>
                <c:pt idx="320">
                  <c:v>3065</c:v>
                </c:pt>
                <c:pt idx="321">
                  <c:v>148</c:v>
                </c:pt>
                <c:pt idx="322">
                  <c:v>1456</c:v>
                </c:pt>
                <c:pt idx="323">
                  <c:v>1995</c:v>
                </c:pt>
                <c:pt idx="324">
                  <c:v>1350</c:v>
                </c:pt>
                <c:pt idx="325">
                  <c:v>666</c:v>
                </c:pt>
                <c:pt idx="326">
                  <c:v>2139</c:v>
                </c:pt>
                <c:pt idx="327">
                  <c:v>16</c:v>
                </c:pt>
                <c:pt idx="328">
                  <c:v>6120</c:v>
                </c:pt>
                <c:pt idx="329">
                  <c:v>114</c:v>
                </c:pt>
                <c:pt idx="330">
                  <c:v>5820</c:v>
                </c:pt>
                <c:pt idx="331">
                  <c:v>130</c:v>
                </c:pt>
                <c:pt idx="332">
                  <c:v>675</c:v>
                </c:pt>
                <c:pt idx="333">
                  <c:v>789</c:v>
                </c:pt>
                <c:pt idx="334">
                  <c:v>5421</c:v>
                </c:pt>
                <c:pt idx="335">
                  <c:v>1314</c:v>
                </c:pt>
              </c:numCache>
            </c:numRef>
          </c:val>
          <c:extLst>
            <c:ext xmlns:c16="http://schemas.microsoft.com/office/drawing/2014/chart" uri="{C3380CC4-5D6E-409C-BE32-E72D297353CC}">
              <c16:uniqueId val="{00000000-2EA2-4827-9845-07241FF97E0F}"/>
            </c:ext>
          </c:extLst>
        </c:ser>
        <c:dLbls>
          <c:showLegendKey val="0"/>
          <c:showVal val="0"/>
          <c:showCatName val="0"/>
          <c:showSerName val="0"/>
          <c:showPercent val="0"/>
          <c:showBubbleSize val="0"/>
        </c:dLbls>
        <c:gapWidth val="219"/>
        <c:overlap val="-27"/>
        <c:axId val="765255920"/>
        <c:axId val="765257000"/>
      </c:barChart>
      <c:catAx>
        <c:axId val="76525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257000"/>
        <c:crosses val="autoZero"/>
        <c:auto val="1"/>
        <c:lblAlgn val="ctr"/>
        <c:lblOffset val="100"/>
        <c:noMultiLvlLbl val="0"/>
      </c:catAx>
      <c:valAx>
        <c:axId val="765257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25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doughnutChart>
        <c:varyColors val="1"/>
        <c:ser>
          <c:idx val="0"/>
          <c:order val="0"/>
          <c:tx>
            <c:strRef>
              <c:f>summarization!$K$2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1A2-4AE4-ABE6-9120B67C2262}"/>
              </c:ext>
            </c:extLst>
          </c:dPt>
          <c:dPt>
            <c:idx val="1"/>
            <c:bubble3D val="0"/>
            <c:spPr>
              <a:solidFill>
                <a:schemeClr val="accent2"/>
              </a:solidFill>
              <a:ln>
                <a:noFill/>
              </a:ln>
              <a:effectLst/>
            </c:spPr>
            <c:extLst>
              <c:ext xmlns:c16="http://schemas.microsoft.com/office/drawing/2014/chart" uri="{C3380CC4-5D6E-409C-BE32-E72D297353CC}">
                <c16:uniqueId val="{00000003-81A2-4AE4-ABE6-9120B67C2262}"/>
              </c:ext>
            </c:extLst>
          </c:dPt>
          <c:dPt>
            <c:idx val="2"/>
            <c:bubble3D val="0"/>
            <c:spPr>
              <a:solidFill>
                <a:schemeClr val="accent3"/>
              </a:solidFill>
              <a:ln>
                <a:noFill/>
              </a:ln>
              <a:effectLst/>
            </c:spPr>
            <c:extLst>
              <c:ext xmlns:c16="http://schemas.microsoft.com/office/drawing/2014/chart" uri="{C3380CC4-5D6E-409C-BE32-E72D297353CC}">
                <c16:uniqueId val="{00000005-81A2-4AE4-ABE6-9120B67C2262}"/>
              </c:ext>
            </c:extLst>
          </c:dPt>
          <c:dPt>
            <c:idx val="3"/>
            <c:bubble3D val="0"/>
            <c:spPr>
              <a:solidFill>
                <a:schemeClr val="accent4"/>
              </a:solidFill>
              <a:ln>
                <a:noFill/>
              </a:ln>
              <a:effectLst/>
            </c:spPr>
            <c:extLst>
              <c:ext xmlns:c16="http://schemas.microsoft.com/office/drawing/2014/chart" uri="{C3380CC4-5D6E-409C-BE32-E72D297353CC}">
                <c16:uniqueId val="{00000007-81A2-4AE4-ABE6-9120B67C2262}"/>
              </c:ext>
            </c:extLst>
          </c:dPt>
          <c:dPt>
            <c:idx val="4"/>
            <c:bubble3D val="0"/>
            <c:spPr>
              <a:solidFill>
                <a:schemeClr val="accent5"/>
              </a:solidFill>
              <a:ln>
                <a:noFill/>
              </a:ln>
              <a:effectLst/>
            </c:spPr>
            <c:extLst>
              <c:ext xmlns:c16="http://schemas.microsoft.com/office/drawing/2014/chart" uri="{C3380CC4-5D6E-409C-BE32-E72D297353CC}">
                <c16:uniqueId val="{00000009-81A2-4AE4-ABE6-9120B67C2262}"/>
              </c:ext>
            </c:extLst>
          </c:dPt>
          <c:cat>
            <c:strRef>
              <c:f>summarization!$J$3:$J$8</c:f>
              <c:strCache>
                <c:ptCount val="5"/>
                <c:pt idx="0">
                  <c:v>COD</c:v>
                </c:pt>
                <c:pt idx="1">
                  <c:v>Credit Card</c:v>
                </c:pt>
                <c:pt idx="2">
                  <c:v>Debit Card</c:v>
                </c:pt>
                <c:pt idx="3">
                  <c:v>EMI</c:v>
                </c:pt>
                <c:pt idx="4">
                  <c:v>UPI</c:v>
                </c:pt>
              </c:strCache>
            </c:strRef>
          </c:cat>
          <c:val>
            <c:numRef>
              <c:f>summarization!$K$3:$K$8</c:f>
              <c:numCache>
                <c:formatCode>General</c:formatCode>
                <c:ptCount val="5"/>
                <c:pt idx="0">
                  <c:v>2456</c:v>
                </c:pt>
                <c:pt idx="1">
                  <c:v>672</c:v>
                </c:pt>
                <c:pt idx="2">
                  <c:v>741</c:v>
                </c:pt>
                <c:pt idx="3">
                  <c:v>589</c:v>
                </c:pt>
                <c:pt idx="4">
                  <c:v>1157</c:v>
                </c:pt>
              </c:numCache>
            </c:numRef>
          </c:val>
          <c:extLst>
            <c:ext xmlns:c16="http://schemas.microsoft.com/office/drawing/2014/chart" uri="{C3380CC4-5D6E-409C-BE32-E72D297353CC}">
              <c16:uniqueId val="{00000000-94AA-403C-9AF1-765D9E6AFD5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summarization!$N$2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26-431C-AFB5-2887AAD7AF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26-431C-AFB5-2887AAD7AF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26-431C-AFB5-2887AAD7AFE0}"/>
              </c:ext>
            </c:extLst>
          </c:dPt>
          <c:cat>
            <c:strRef>
              <c:f>summarization!$M$3:$M$6</c:f>
              <c:strCache>
                <c:ptCount val="3"/>
                <c:pt idx="0">
                  <c:v>Clothing</c:v>
                </c:pt>
                <c:pt idx="1">
                  <c:v>Electronics</c:v>
                </c:pt>
                <c:pt idx="2">
                  <c:v>Furniture</c:v>
                </c:pt>
              </c:strCache>
            </c:strRef>
          </c:cat>
          <c:val>
            <c:numRef>
              <c:f>summarization!$N$3:$N$6</c:f>
              <c:numCache>
                <c:formatCode>General</c:formatCode>
                <c:ptCount val="3"/>
                <c:pt idx="0">
                  <c:v>3516</c:v>
                </c:pt>
                <c:pt idx="1">
                  <c:v>1154</c:v>
                </c:pt>
                <c:pt idx="2">
                  <c:v>945</c:v>
                </c:pt>
              </c:numCache>
            </c:numRef>
          </c:val>
          <c:extLst>
            <c:ext xmlns:c16="http://schemas.microsoft.com/office/drawing/2014/chart" uri="{C3380CC4-5D6E-409C-BE32-E72D297353CC}">
              <c16:uniqueId val="{00000000-7D08-4CB9-9159-B0DD42CB092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summarization!$N$23</c:f>
              <c:strCache>
                <c:ptCount val="1"/>
                <c:pt idx="0">
                  <c:v>Total</c:v>
                </c:pt>
              </c:strCache>
            </c:strRef>
          </c:tx>
          <c:spPr>
            <a:solidFill>
              <a:schemeClr val="accent1"/>
            </a:solidFill>
            <a:ln>
              <a:noFill/>
            </a:ln>
            <a:effectLst/>
          </c:spPr>
          <c:invertIfNegative val="0"/>
          <c:cat>
            <c:strRef>
              <c:f>summarization!$M$24:$M$41</c:f>
              <c:strCache>
                <c:ptCount val="17"/>
                <c:pt idx="0">
                  <c:v>Accessories</c:v>
                </c:pt>
                <c:pt idx="1">
                  <c:v>Bookcases</c:v>
                </c:pt>
                <c:pt idx="2">
                  <c:v>Chairs</c:v>
                </c:pt>
                <c:pt idx="3">
                  <c:v>Electronic Games</c:v>
                </c:pt>
                <c:pt idx="4">
                  <c:v>Furnishings</c:v>
                </c:pt>
                <c:pt idx="5">
                  <c:v>Hankerchief</c:v>
                </c:pt>
                <c:pt idx="6">
                  <c:v>Kurti</c:v>
                </c:pt>
                <c:pt idx="7">
                  <c:v>Leggings</c:v>
                </c:pt>
                <c:pt idx="8">
                  <c:v>Phones</c:v>
                </c:pt>
                <c:pt idx="9">
                  <c:v>Printers</c:v>
                </c:pt>
                <c:pt idx="10">
                  <c:v>Saree</c:v>
                </c:pt>
                <c:pt idx="11">
                  <c:v>Shirt</c:v>
                </c:pt>
                <c:pt idx="12">
                  <c:v>Skirt</c:v>
                </c:pt>
                <c:pt idx="13">
                  <c:v>Stole</c:v>
                </c:pt>
                <c:pt idx="14">
                  <c:v>Tables</c:v>
                </c:pt>
                <c:pt idx="15">
                  <c:v>Trousers</c:v>
                </c:pt>
                <c:pt idx="16">
                  <c:v>T-shirt</c:v>
                </c:pt>
              </c:strCache>
            </c:strRef>
          </c:cat>
          <c:val>
            <c:numRef>
              <c:f>summarization!$N$24:$N$41</c:f>
              <c:numCache>
                <c:formatCode>General</c:formatCode>
                <c:ptCount val="17"/>
                <c:pt idx="0">
                  <c:v>3353</c:v>
                </c:pt>
                <c:pt idx="1">
                  <c:v>6516</c:v>
                </c:pt>
                <c:pt idx="2">
                  <c:v>1627</c:v>
                </c:pt>
                <c:pt idx="3">
                  <c:v>-644</c:v>
                </c:pt>
                <c:pt idx="4">
                  <c:v>-806</c:v>
                </c:pt>
                <c:pt idx="5">
                  <c:v>1823</c:v>
                </c:pt>
                <c:pt idx="6">
                  <c:v>-401</c:v>
                </c:pt>
                <c:pt idx="7">
                  <c:v>-130</c:v>
                </c:pt>
                <c:pt idx="8">
                  <c:v>1847</c:v>
                </c:pt>
                <c:pt idx="9">
                  <c:v>8606</c:v>
                </c:pt>
                <c:pt idx="10">
                  <c:v>4057</c:v>
                </c:pt>
                <c:pt idx="11">
                  <c:v>1513</c:v>
                </c:pt>
                <c:pt idx="12">
                  <c:v>-315</c:v>
                </c:pt>
                <c:pt idx="13">
                  <c:v>2431</c:v>
                </c:pt>
                <c:pt idx="14">
                  <c:v>3139</c:v>
                </c:pt>
                <c:pt idx="15">
                  <c:v>2847</c:v>
                </c:pt>
                <c:pt idx="16">
                  <c:v>1500</c:v>
                </c:pt>
              </c:numCache>
            </c:numRef>
          </c:val>
          <c:extLst>
            <c:ext xmlns:c16="http://schemas.microsoft.com/office/drawing/2014/chart" uri="{C3380CC4-5D6E-409C-BE32-E72D297353CC}">
              <c16:uniqueId val="{00000000-3825-4D30-B94B-7733FA363FE1}"/>
            </c:ext>
          </c:extLst>
        </c:ser>
        <c:dLbls>
          <c:showLegendKey val="0"/>
          <c:showVal val="0"/>
          <c:showCatName val="0"/>
          <c:showSerName val="0"/>
          <c:showPercent val="0"/>
          <c:showBubbleSize val="0"/>
        </c:dLbls>
        <c:gapWidth val="219"/>
        <c:overlap val="-27"/>
        <c:axId val="492916688"/>
        <c:axId val="492921728"/>
      </c:barChart>
      <c:catAx>
        <c:axId val="49291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21728"/>
        <c:crosses val="autoZero"/>
        <c:auto val="1"/>
        <c:lblAlgn val="ctr"/>
        <c:lblOffset val="100"/>
        <c:noMultiLvlLbl val="0"/>
      </c:catAx>
      <c:valAx>
        <c:axId val="49292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1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a:t>
            </a:r>
            <a:r>
              <a:rPr lang="en-US" baseline="0"/>
              <a:t> by each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summarization!$H$2</c:f>
              <c:strCache>
                <c:ptCount val="1"/>
                <c:pt idx="0">
                  <c:v>Total</c:v>
                </c:pt>
              </c:strCache>
            </c:strRef>
          </c:tx>
          <c:spPr>
            <a:solidFill>
              <a:schemeClr val="accent1"/>
            </a:solidFill>
            <a:ln>
              <a:noFill/>
            </a:ln>
            <a:effectLst/>
          </c:spPr>
          <c:invertIfNegative val="0"/>
          <c:cat>
            <c:strRef>
              <c:f>summarization!$G$3:$G$339</c:f>
              <c:strCache>
                <c:ptCount val="336"/>
                <c:pt idx="0">
                  <c:v>Aakanksha</c:v>
                </c:pt>
                <c:pt idx="1">
                  <c:v>Aarushi</c:v>
                </c:pt>
                <c:pt idx="2">
                  <c:v>Aastha</c:v>
                </c:pt>
                <c:pt idx="3">
                  <c:v>Aayush</c:v>
                </c:pt>
                <c:pt idx="4">
                  <c:v>Aayushi</c:v>
                </c:pt>
                <c:pt idx="5">
                  <c:v>Abhijeet</c:v>
                </c:pt>
                <c:pt idx="6">
                  <c:v>Abhijit</c:v>
                </c:pt>
                <c:pt idx="7">
                  <c:v>Abhishek</c:v>
                </c:pt>
                <c:pt idx="8">
                  <c:v>Adhvaita</c:v>
                </c:pt>
                <c:pt idx="9">
                  <c:v>Aditi</c:v>
                </c:pt>
                <c:pt idx="10">
                  <c:v>Aditya</c:v>
                </c:pt>
                <c:pt idx="11">
                  <c:v>Aishwarya</c:v>
                </c:pt>
                <c:pt idx="12">
                  <c:v>Ajay</c:v>
                </c:pt>
                <c:pt idx="13">
                  <c:v>Akancha</c:v>
                </c:pt>
                <c:pt idx="14">
                  <c:v>Akanksha</c:v>
                </c:pt>
                <c:pt idx="15">
                  <c:v>Akash</c:v>
                </c:pt>
                <c:pt idx="16">
                  <c:v>Akshat</c:v>
                </c:pt>
                <c:pt idx="17">
                  <c:v>Akshata</c:v>
                </c:pt>
                <c:pt idx="18">
                  <c:v>Akshay</c:v>
                </c:pt>
                <c:pt idx="19">
                  <c:v>Aman</c:v>
                </c:pt>
                <c:pt idx="20">
                  <c:v>Ameesha</c:v>
                </c:pt>
                <c:pt idx="21">
                  <c:v>Amisha</c:v>
                </c:pt>
                <c:pt idx="22">
                  <c:v>Amit</c:v>
                </c:pt>
                <c:pt idx="23">
                  <c:v>Amlan</c:v>
                </c:pt>
                <c:pt idx="24">
                  <c:v>Amol</c:v>
                </c:pt>
                <c:pt idx="25">
                  <c:v>Amruta</c:v>
                </c:pt>
                <c:pt idx="26">
                  <c:v>Anand</c:v>
                </c:pt>
                <c:pt idx="27">
                  <c:v>Ananya</c:v>
                </c:pt>
                <c:pt idx="28">
                  <c:v>Anchal</c:v>
                </c:pt>
                <c:pt idx="29">
                  <c:v>Aniket</c:v>
                </c:pt>
                <c:pt idx="30">
                  <c:v>Anisha</c:v>
                </c:pt>
                <c:pt idx="31">
                  <c:v>Anita</c:v>
                </c:pt>
                <c:pt idx="32">
                  <c:v>Anjali</c:v>
                </c:pt>
                <c:pt idx="33">
                  <c:v>Ankit</c:v>
                </c:pt>
                <c:pt idx="34">
                  <c:v>Ankita</c:v>
                </c:pt>
                <c:pt idx="35">
                  <c:v>Ankur</c:v>
                </c:pt>
                <c:pt idx="36">
                  <c:v>Anmol</c:v>
                </c:pt>
                <c:pt idx="37">
                  <c:v>Anubhaw</c:v>
                </c:pt>
                <c:pt idx="38">
                  <c:v>Anudeep</c:v>
                </c:pt>
                <c:pt idx="39">
                  <c:v>Anurag</c:v>
                </c:pt>
                <c:pt idx="40">
                  <c:v>Aparajita</c:v>
                </c:pt>
                <c:pt idx="41">
                  <c:v>Apoorv</c:v>
                </c:pt>
                <c:pt idx="42">
                  <c:v>Apoorva</c:v>
                </c:pt>
                <c:pt idx="43">
                  <c:v>Apsingekar</c:v>
                </c:pt>
                <c:pt idx="44">
                  <c:v>Arindam</c:v>
                </c:pt>
                <c:pt idx="45">
                  <c:v>Aromal</c:v>
                </c:pt>
                <c:pt idx="46">
                  <c:v>Arpita</c:v>
                </c:pt>
                <c:pt idx="47">
                  <c:v>Arsheen</c:v>
                </c:pt>
                <c:pt idx="48">
                  <c:v>Arti</c:v>
                </c:pt>
                <c:pt idx="49">
                  <c:v>Arun</c:v>
                </c:pt>
                <c:pt idx="50">
                  <c:v>Aryan</c:v>
                </c:pt>
                <c:pt idx="51">
                  <c:v>Ashmeet</c:v>
                </c:pt>
                <c:pt idx="52">
                  <c:v>Ashmi</c:v>
                </c:pt>
                <c:pt idx="53">
                  <c:v>Ashvini</c:v>
                </c:pt>
                <c:pt idx="54">
                  <c:v>Ashwin</c:v>
                </c:pt>
                <c:pt idx="55">
                  <c:v>Asish</c:v>
                </c:pt>
                <c:pt idx="56">
                  <c:v>Atharv</c:v>
                </c:pt>
                <c:pt idx="57">
                  <c:v>Atul</c:v>
                </c:pt>
                <c:pt idx="58">
                  <c:v>Avish</c:v>
                </c:pt>
                <c:pt idx="59">
                  <c:v>Avni</c:v>
                </c:pt>
                <c:pt idx="60">
                  <c:v>Ayush</c:v>
                </c:pt>
                <c:pt idx="61">
                  <c:v>Bathina</c:v>
                </c:pt>
                <c:pt idx="62">
                  <c:v>Bhaggyasree</c:v>
                </c:pt>
                <c:pt idx="63">
                  <c:v>Bharat</c:v>
                </c:pt>
                <c:pt idx="64">
                  <c:v>Bhargav</c:v>
                </c:pt>
                <c:pt idx="65">
                  <c:v>Bhavna</c:v>
                </c:pt>
                <c:pt idx="66">
                  <c:v>Bhawna</c:v>
                </c:pt>
                <c:pt idx="67">
                  <c:v>Bhishm</c:v>
                </c:pt>
                <c:pt idx="68">
                  <c:v>Bhosale</c:v>
                </c:pt>
                <c:pt idx="69">
                  <c:v>Bhutekar</c:v>
                </c:pt>
                <c:pt idx="70">
                  <c:v>Brijesh</c:v>
                </c:pt>
                <c:pt idx="71">
                  <c:v>Chandni</c:v>
                </c:pt>
                <c:pt idx="72">
                  <c:v>Charika</c:v>
                </c:pt>
                <c:pt idx="73">
                  <c:v>Chayanika</c:v>
                </c:pt>
                <c:pt idx="74">
                  <c:v>Chetan</c:v>
                </c:pt>
                <c:pt idx="75">
                  <c:v>Chikku</c:v>
                </c:pt>
                <c:pt idx="76">
                  <c:v>Chirag</c:v>
                </c:pt>
                <c:pt idx="77">
                  <c:v>Daksh</c:v>
                </c:pt>
                <c:pt idx="78">
                  <c:v>Dashyam</c:v>
                </c:pt>
                <c:pt idx="79">
                  <c:v>Deepak</c:v>
                </c:pt>
                <c:pt idx="80">
                  <c:v>Devendra</c:v>
                </c:pt>
                <c:pt idx="81">
                  <c:v>Dhanraj</c:v>
                </c:pt>
                <c:pt idx="82">
                  <c:v>Dheeraj</c:v>
                </c:pt>
                <c:pt idx="83">
                  <c:v>Dhirajendu</c:v>
                </c:pt>
                <c:pt idx="84">
                  <c:v>Dinesh</c:v>
                </c:pt>
                <c:pt idx="85">
                  <c:v>Dipali</c:v>
                </c:pt>
                <c:pt idx="86">
                  <c:v>Divsha</c:v>
                </c:pt>
                <c:pt idx="87">
                  <c:v>Divyansh</c:v>
                </c:pt>
                <c:pt idx="88">
                  <c:v>Divyansha</c:v>
                </c:pt>
                <c:pt idx="89">
                  <c:v>Divyeshkumar</c:v>
                </c:pt>
                <c:pt idx="90">
                  <c:v>Divyeta</c:v>
                </c:pt>
                <c:pt idx="91">
                  <c:v>Diwakar</c:v>
                </c:pt>
                <c:pt idx="92">
                  <c:v>Duhita</c:v>
                </c:pt>
                <c:pt idx="93">
                  <c:v>Ekta</c:v>
                </c:pt>
                <c:pt idx="94">
                  <c:v>Farah</c:v>
                </c:pt>
                <c:pt idx="95">
                  <c:v>Gaurav</c:v>
                </c:pt>
                <c:pt idx="96">
                  <c:v>Geetanjali</c:v>
                </c:pt>
                <c:pt idx="97">
                  <c:v>Ginny</c:v>
                </c:pt>
                <c:pt idx="98">
                  <c:v>Girase</c:v>
                </c:pt>
                <c:pt idx="99">
                  <c:v>Gopal</c:v>
                </c:pt>
                <c:pt idx="100">
                  <c:v>Gunjal</c:v>
                </c:pt>
                <c:pt idx="101">
                  <c:v>Gunjan</c:v>
                </c:pt>
                <c:pt idx="102">
                  <c:v>Harivansh</c:v>
                </c:pt>
                <c:pt idx="103">
                  <c:v>Harsh</c:v>
                </c:pt>
                <c:pt idx="104">
                  <c:v>Harshita</c:v>
                </c:pt>
                <c:pt idx="105">
                  <c:v>Hazel</c:v>
                </c:pt>
                <c:pt idx="106">
                  <c:v>Hemangi</c:v>
                </c:pt>
                <c:pt idx="107">
                  <c:v>Hemant</c:v>
                </c:pt>
                <c:pt idx="108">
                  <c:v>Hitesh</c:v>
                </c:pt>
                <c:pt idx="109">
                  <c:v>Hitika</c:v>
                </c:pt>
                <c:pt idx="110">
                  <c:v>Hrisheekesh</c:v>
                </c:pt>
                <c:pt idx="111">
                  <c:v>Inderpreet</c:v>
                </c:pt>
                <c:pt idx="112">
                  <c:v>Ishit</c:v>
                </c:pt>
                <c:pt idx="113">
                  <c:v>Ishpreet</c:v>
                </c:pt>
                <c:pt idx="114">
                  <c:v>Jahan</c:v>
                </c:pt>
                <c:pt idx="115">
                  <c:v>Jaideep</c:v>
                </c:pt>
                <c:pt idx="116">
                  <c:v>Jay</c:v>
                </c:pt>
                <c:pt idx="117">
                  <c:v>Jayanti</c:v>
                </c:pt>
                <c:pt idx="118">
                  <c:v>Jaydeep</c:v>
                </c:pt>
                <c:pt idx="119">
                  <c:v>Jesal</c:v>
                </c:pt>
                <c:pt idx="120">
                  <c:v>Jesslyn</c:v>
                </c:pt>
                <c:pt idx="121">
                  <c:v>Jitesh</c:v>
                </c:pt>
                <c:pt idx="122">
                  <c:v>K</c:v>
                </c:pt>
                <c:pt idx="123">
                  <c:v>Kajal</c:v>
                </c:pt>
                <c:pt idx="124">
                  <c:v>Kalyani</c:v>
                </c:pt>
                <c:pt idx="125">
                  <c:v>Kanak</c:v>
                </c:pt>
                <c:pt idx="126">
                  <c:v>Karandeep</c:v>
                </c:pt>
                <c:pt idx="127">
                  <c:v>Kartik</c:v>
                </c:pt>
                <c:pt idx="128">
                  <c:v>Kartikay</c:v>
                </c:pt>
                <c:pt idx="129">
                  <c:v>Kasheen</c:v>
                </c:pt>
                <c:pt idx="130">
                  <c:v>Kiran</c:v>
                </c:pt>
                <c:pt idx="131">
                  <c:v>Kirti</c:v>
                </c:pt>
                <c:pt idx="132">
                  <c:v>Kishwar</c:v>
                </c:pt>
                <c:pt idx="133">
                  <c:v>Komal</c:v>
                </c:pt>
                <c:pt idx="134">
                  <c:v>Krishna</c:v>
                </c:pt>
                <c:pt idx="135">
                  <c:v>Kritika</c:v>
                </c:pt>
                <c:pt idx="136">
                  <c:v>Krutika</c:v>
                </c:pt>
                <c:pt idx="137">
                  <c:v>Kshitij</c:v>
                </c:pt>
                <c:pt idx="138">
                  <c:v>Kushal</c:v>
                </c:pt>
                <c:pt idx="139">
                  <c:v>Lalita</c:v>
                </c:pt>
                <c:pt idx="140">
                  <c:v>Lisha</c:v>
                </c:pt>
                <c:pt idx="141">
                  <c:v>Madan Mohan</c:v>
                </c:pt>
                <c:pt idx="142">
                  <c:v>Madhav</c:v>
                </c:pt>
                <c:pt idx="143">
                  <c:v>Madhulika</c:v>
                </c:pt>
                <c:pt idx="144">
                  <c:v>Mahima</c:v>
                </c:pt>
                <c:pt idx="145">
                  <c:v>Maithilee</c:v>
                </c:pt>
                <c:pt idx="146">
                  <c:v>Mane</c:v>
                </c:pt>
                <c:pt idx="147">
                  <c:v>Manibalan</c:v>
                </c:pt>
                <c:pt idx="148">
                  <c:v>Manish</c:v>
                </c:pt>
                <c:pt idx="149">
                  <c:v>Manisha</c:v>
                </c:pt>
                <c:pt idx="150">
                  <c:v>Manjiri</c:v>
                </c:pt>
                <c:pt idx="151">
                  <c:v>Manju</c:v>
                </c:pt>
                <c:pt idx="152">
                  <c:v>Manshul</c:v>
                </c:pt>
                <c:pt idx="153">
                  <c:v>Mansi</c:v>
                </c:pt>
                <c:pt idx="154">
                  <c:v>Masurkar</c:v>
                </c:pt>
                <c:pt idx="155">
                  <c:v>Mayank</c:v>
                </c:pt>
                <c:pt idx="156">
                  <c:v>Megha</c:v>
                </c:pt>
                <c:pt idx="157">
                  <c:v>Meghana</c:v>
                </c:pt>
                <c:pt idx="158">
                  <c:v>Mhatre</c:v>
                </c:pt>
                <c:pt idx="159">
                  <c:v>Mitali</c:v>
                </c:pt>
                <c:pt idx="160">
                  <c:v>Mohan</c:v>
                </c:pt>
                <c:pt idx="161">
                  <c:v>Monica</c:v>
                </c:pt>
                <c:pt idx="162">
                  <c:v>Monisha</c:v>
                </c:pt>
                <c:pt idx="163">
                  <c:v>Monu</c:v>
                </c:pt>
                <c:pt idx="164">
                  <c:v>Moumita</c:v>
                </c:pt>
                <c:pt idx="165">
                  <c:v>Mousam</c:v>
                </c:pt>
                <c:pt idx="166">
                  <c:v>Mrinal</c:v>
                </c:pt>
                <c:pt idx="167">
                  <c:v>Mrunal</c:v>
                </c:pt>
                <c:pt idx="168">
                  <c:v>Mugdha</c:v>
                </c:pt>
                <c:pt idx="169">
                  <c:v>Mukesh</c:v>
                </c:pt>
                <c:pt idx="170">
                  <c:v>Mukund</c:v>
                </c:pt>
                <c:pt idx="171">
                  <c:v>Muskan</c:v>
                </c:pt>
                <c:pt idx="172">
                  <c:v>Namrata</c:v>
                </c:pt>
                <c:pt idx="173">
                  <c:v>Nandita</c:v>
                </c:pt>
                <c:pt idx="174">
                  <c:v>Navdeep</c:v>
                </c:pt>
                <c:pt idx="175">
                  <c:v>Neha</c:v>
                </c:pt>
                <c:pt idx="176">
                  <c:v>Nida</c:v>
                </c:pt>
                <c:pt idx="177">
                  <c:v>Nidhi</c:v>
                </c:pt>
                <c:pt idx="178">
                  <c:v>Nikhil</c:v>
                </c:pt>
                <c:pt idx="179">
                  <c:v>Nikita</c:v>
                </c:pt>
                <c:pt idx="180">
                  <c:v>Nirja</c:v>
                </c:pt>
                <c:pt idx="181">
                  <c:v>Nishant</c:v>
                </c:pt>
                <c:pt idx="182">
                  <c:v>Nishi</c:v>
                </c:pt>
                <c:pt idx="183">
                  <c:v>Nitant</c:v>
                </c:pt>
                <c:pt idx="184">
                  <c:v>Noopur</c:v>
                </c:pt>
                <c:pt idx="185">
                  <c:v>Noshiba</c:v>
                </c:pt>
                <c:pt idx="186">
                  <c:v>Nripraj</c:v>
                </c:pt>
                <c:pt idx="187">
                  <c:v>Omkar</c:v>
                </c:pt>
                <c:pt idx="188">
                  <c:v>Oshin</c:v>
                </c:pt>
                <c:pt idx="189">
                  <c:v>Palak</c:v>
                </c:pt>
                <c:pt idx="190">
                  <c:v>Parakh</c:v>
                </c:pt>
                <c:pt idx="191">
                  <c:v>Paridhi</c:v>
                </c:pt>
                <c:pt idx="192">
                  <c:v>Parin</c:v>
                </c:pt>
                <c:pt idx="193">
                  <c:v>Parishi</c:v>
                </c:pt>
                <c:pt idx="194">
                  <c:v>Parna</c:v>
                </c:pt>
                <c:pt idx="195">
                  <c:v>Parnavi</c:v>
                </c:pt>
                <c:pt idx="196">
                  <c:v>Paromita</c:v>
                </c:pt>
                <c:pt idx="197">
                  <c:v>Parth</c:v>
                </c:pt>
                <c:pt idx="198">
                  <c:v>Patil</c:v>
                </c:pt>
                <c:pt idx="199">
                  <c:v>Pearl</c:v>
                </c:pt>
                <c:pt idx="200">
                  <c:v>Phalguni</c:v>
                </c:pt>
                <c:pt idx="201">
                  <c:v>Pinky</c:v>
                </c:pt>
                <c:pt idx="202">
                  <c:v>Piyali</c:v>
                </c:pt>
                <c:pt idx="203">
                  <c:v>Piyam</c:v>
                </c:pt>
                <c:pt idx="204">
                  <c:v>Pooja</c:v>
                </c:pt>
                <c:pt idx="205">
                  <c:v>Pournamasi</c:v>
                </c:pt>
                <c:pt idx="206">
                  <c:v>Pradeep</c:v>
                </c:pt>
                <c:pt idx="207">
                  <c:v>Prajakta</c:v>
                </c:pt>
                <c:pt idx="208">
                  <c:v>Pranav</c:v>
                </c:pt>
                <c:pt idx="209">
                  <c:v>Praneet</c:v>
                </c:pt>
                <c:pt idx="210">
                  <c:v>Pranjali</c:v>
                </c:pt>
                <c:pt idx="211">
                  <c:v>Prashant</c:v>
                </c:pt>
                <c:pt idx="212">
                  <c:v>Pratiksha</c:v>
                </c:pt>
                <c:pt idx="213">
                  <c:v>Pratyusmita</c:v>
                </c:pt>
                <c:pt idx="214">
                  <c:v>Preksha</c:v>
                </c:pt>
                <c:pt idx="215">
                  <c:v>Priyanka</c:v>
                </c:pt>
                <c:pt idx="216">
                  <c:v>Priyanshu</c:v>
                </c:pt>
                <c:pt idx="217">
                  <c:v>Rachna</c:v>
                </c:pt>
                <c:pt idx="218">
                  <c:v>Rahul</c:v>
                </c:pt>
                <c:pt idx="219">
                  <c:v>Raksha</c:v>
                </c:pt>
                <c:pt idx="220">
                  <c:v>Ramesh</c:v>
                </c:pt>
                <c:pt idx="221">
                  <c:v>Rane</c:v>
                </c:pt>
                <c:pt idx="222">
                  <c:v>Rashmi</c:v>
                </c:pt>
                <c:pt idx="223">
                  <c:v>Rhea</c:v>
                </c:pt>
                <c:pt idx="224">
                  <c:v>Rishabh</c:v>
                </c:pt>
                <c:pt idx="225">
                  <c:v>Ritu</c:v>
                </c:pt>
                <c:pt idx="226">
                  <c:v>Riya</c:v>
                </c:pt>
                <c:pt idx="227">
                  <c:v>Rohan</c:v>
                </c:pt>
                <c:pt idx="228">
                  <c:v>Rohit</c:v>
                </c:pt>
                <c:pt idx="229">
                  <c:v>Rutuja</c:v>
                </c:pt>
                <c:pt idx="230">
                  <c:v>Sabah</c:v>
                </c:pt>
                <c:pt idx="231">
                  <c:v>Sagar</c:v>
                </c:pt>
                <c:pt idx="232">
                  <c:v>Sahil</c:v>
                </c:pt>
                <c:pt idx="233">
                  <c:v>Sajal</c:v>
                </c:pt>
                <c:pt idx="234">
                  <c:v>Sakshi</c:v>
                </c:pt>
                <c:pt idx="235">
                  <c:v>Saloni</c:v>
                </c:pt>
                <c:pt idx="236">
                  <c:v>Samiksha</c:v>
                </c:pt>
                <c:pt idx="237">
                  <c:v>Sandeep</c:v>
                </c:pt>
                <c:pt idx="238">
                  <c:v>Sandra</c:v>
                </c:pt>
                <c:pt idx="239">
                  <c:v>Sanjana</c:v>
                </c:pt>
                <c:pt idx="240">
                  <c:v>Sanjay</c:v>
                </c:pt>
                <c:pt idx="241">
                  <c:v>Sanjna</c:v>
                </c:pt>
                <c:pt idx="242">
                  <c:v>Sanjova</c:v>
                </c:pt>
                <c:pt idx="243">
                  <c:v>Sanskriti</c:v>
                </c:pt>
                <c:pt idx="244">
                  <c:v>Saptadeep</c:v>
                </c:pt>
                <c:pt idx="245">
                  <c:v>Sarita</c:v>
                </c:pt>
                <c:pt idx="246">
                  <c:v>Sathya</c:v>
                </c:pt>
                <c:pt idx="247">
                  <c:v>Sauptik</c:v>
                </c:pt>
                <c:pt idx="248">
                  <c:v>Saurabh</c:v>
                </c:pt>
                <c:pt idx="249">
                  <c:v>Savi</c:v>
                </c:pt>
                <c:pt idx="250">
                  <c:v>Shaily</c:v>
                </c:pt>
                <c:pt idx="251">
                  <c:v>Shantanu</c:v>
                </c:pt>
                <c:pt idx="252">
                  <c:v>Sharda</c:v>
                </c:pt>
                <c:pt idx="253">
                  <c:v>Shardul</c:v>
                </c:pt>
                <c:pt idx="254">
                  <c:v>Shatayu</c:v>
                </c:pt>
                <c:pt idx="255">
                  <c:v>Sheetal</c:v>
                </c:pt>
                <c:pt idx="256">
                  <c:v>Shefali</c:v>
                </c:pt>
                <c:pt idx="257">
                  <c:v>Shikhar</c:v>
                </c:pt>
                <c:pt idx="258">
                  <c:v>Shishu</c:v>
                </c:pt>
                <c:pt idx="259">
                  <c:v>Shiva</c:v>
                </c:pt>
                <c:pt idx="260">
                  <c:v>Shivam</c:v>
                </c:pt>
                <c:pt idx="261">
                  <c:v>Shivangi</c:v>
                </c:pt>
                <c:pt idx="262">
                  <c:v>Shivani</c:v>
                </c:pt>
                <c:pt idx="263">
                  <c:v>Shivanshu</c:v>
                </c:pt>
                <c:pt idx="264">
                  <c:v>Shourya</c:v>
                </c:pt>
                <c:pt idx="265">
                  <c:v>Shreya</c:v>
                </c:pt>
                <c:pt idx="266">
                  <c:v>Shreyoshe</c:v>
                </c:pt>
                <c:pt idx="267">
                  <c:v>Shreyshi</c:v>
                </c:pt>
                <c:pt idx="268">
                  <c:v>Shrichand</c:v>
                </c:pt>
                <c:pt idx="269">
                  <c:v>Shruti</c:v>
                </c:pt>
                <c:pt idx="270">
                  <c:v>Shubham</c:v>
                </c:pt>
                <c:pt idx="271">
                  <c:v>Shubhi</c:v>
                </c:pt>
                <c:pt idx="272">
                  <c:v>Shweta</c:v>
                </c:pt>
                <c:pt idx="273">
                  <c:v>Shyam</c:v>
                </c:pt>
                <c:pt idx="274">
                  <c:v>Siddharth</c:v>
                </c:pt>
                <c:pt idx="275">
                  <c:v>Sidharth</c:v>
                </c:pt>
                <c:pt idx="276">
                  <c:v>Smriti</c:v>
                </c:pt>
                <c:pt idx="277">
                  <c:v>Sneha</c:v>
                </c:pt>
                <c:pt idx="278">
                  <c:v>Snehal</c:v>
                </c:pt>
                <c:pt idx="279">
                  <c:v>Snel</c:v>
                </c:pt>
                <c:pt idx="280">
                  <c:v>Sonakshi</c:v>
                </c:pt>
                <c:pt idx="281">
                  <c:v>Sonal</c:v>
                </c:pt>
                <c:pt idx="282">
                  <c:v>Soodesh</c:v>
                </c:pt>
                <c:pt idx="283">
                  <c:v>Soumya</c:v>
                </c:pt>
                <c:pt idx="284">
                  <c:v>Soumyabrata</c:v>
                </c:pt>
                <c:pt idx="285">
                  <c:v>Srishti</c:v>
                </c:pt>
                <c:pt idx="286">
                  <c:v>Stuti</c:v>
                </c:pt>
                <c:pt idx="287">
                  <c:v>Subhashree</c:v>
                </c:pt>
                <c:pt idx="288">
                  <c:v>Subhasmita</c:v>
                </c:pt>
                <c:pt idx="289">
                  <c:v>Sudevi</c:v>
                </c:pt>
                <c:pt idx="290">
                  <c:v>Sudheer</c:v>
                </c:pt>
                <c:pt idx="291">
                  <c:v>Sudhir</c:v>
                </c:pt>
                <c:pt idx="292">
                  <c:v>Suhani</c:v>
                </c:pt>
                <c:pt idx="293">
                  <c:v>Sujay</c:v>
                </c:pt>
                <c:pt idx="294">
                  <c:v>Sukant</c:v>
                </c:pt>
                <c:pt idx="295">
                  <c:v>Sukrith</c:v>
                </c:pt>
                <c:pt idx="296">
                  <c:v>Sukruta</c:v>
                </c:pt>
                <c:pt idx="297">
                  <c:v>Suman</c:v>
                </c:pt>
                <c:pt idx="298">
                  <c:v>Sumeet</c:v>
                </c:pt>
                <c:pt idx="299">
                  <c:v>Surabhi</c:v>
                </c:pt>
                <c:pt idx="300">
                  <c:v>Suraj</c:v>
                </c:pt>
                <c:pt idx="301">
                  <c:v>Surbhi</c:v>
                </c:pt>
                <c:pt idx="302">
                  <c:v>Swapnil</c:v>
                </c:pt>
                <c:pt idx="303">
                  <c:v>Swati</c:v>
                </c:pt>
                <c:pt idx="304">
                  <c:v>Sweta</c:v>
                </c:pt>
                <c:pt idx="305">
                  <c:v>Swetha</c:v>
                </c:pt>
                <c:pt idx="306">
                  <c:v>Swetlana</c:v>
                </c:pt>
                <c:pt idx="307">
                  <c:v>Syed</c:v>
                </c:pt>
                <c:pt idx="308">
                  <c:v>Tanushree</c:v>
                </c:pt>
                <c:pt idx="309">
                  <c:v>Tanvi</c:v>
                </c:pt>
                <c:pt idx="310">
                  <c:v>Teena</c:v>
                </c:pt>
                <c:pt idx="311">
                  <c:v>Tejas</c:v>
                </c:pt>
                <c:pt idx="312">
                  <c:v>Tejeswini</c:v>
                </c:pt>
                <c:pt idx="313">
                  <c:v>Trupti</c:v>
                </c:pt>
                <c:pt idx="314">
                  <c:v>Tulika</c:v>
                </c:pt>
                <c:pt idx="315">
                  <c:v>Turumella</c:v>
                </c:pt>
                <c:pt idx="316">
                  <c:v>Tushina</c:v>
                </c:pt>
                <c:pt idx="317">
                  <c:v>Utkarsh</c:v>
                </c:pt>
                <c:pt idx="318">
                  <c:v>Utsav</c:v>
                </c:pt>
                <c:pt idx="319">
                  <c:v>Uudhav</c:v>
                </c:pt>
                <c:pt idx="320">
                  <c:v>Vaibhav</c:v>
                </c:pt>
                <c:pt idx="321">
                  <c:v>Vaibhavi</c:v>
                </c:pt>
                <c:pt idx="322">
                  <c:v>Vandana</c:v>
                </c:pt>
                <c:pt idx="323">
                  <c:v>Vijay</c:v>
                </c:pt>
                <c:pt idx="324">
                  <c:v>Vikash</c:v>
                </c:pt>
                <c:pt idx="325">
                  <c:v>Vineet</c:v>
                </c:pt>
                <c:pt idx="326">
                  <c:v>Vini</c:v>
                </c:pt>
                <c:pt idx="327">
                  <c:v>Vipul</c:v>
                </c:pt>
                <c:pt idx="328">
                  <c:v>Vishakha</c:v>
                </c:pt>
                <c:pt idx="329">
                  <c:v>Vivek</c:v>
                </c:pt>
                <c:pt idx="330">
                  <c:v>Vrinda</c:v>
                </c:pt>
                <c:pt idx="331">
                  <c:v>Wale</c:v>
                </c:pt>
                <c:pt idx="332">
                  <c:v>Yaanvi</c:v>
                </c:pt>
                <c:pt idx="333">
                  <c:v>Yash</c:v>
                </c:pt>
                <c:pt idx="334">
                  <c:v>Yogesh</c:v>
                </c:pt>
                <c:pt idx="335">
                  <c:v>Yohann</c:v>
                </c:pt>
              </c:strCache>
            </c:strRef>
          </c:cat>
          <c:val>
            <c:numRef>
              <c:f>summarization!$H$3:$H$339</c:f>
              <c:numCache>
                <c:formatCode>General</c:formatCode>
                <c:ptCount val="336"/>
                <c:pt idx="0">
                  <c:v>74</c:v>
                </c:pt>
                <c:pt idx="1">
                  <c:v>4701</c:v>
                </c:pt>
                <c:pt idx="2">
                  <c:v>3276</c:v>
                </c:pt>
                <c:pt idx="3">
                  <c:v>556</c:v>
                </c:pt>
                <c:pt idx="4">
                  <c:v>689</c:v>
                </c:pt>
                <c:pt idx="5">
                  <c:v>5691</c:v>
                </c:pt>
                <c:pt idx="6">
                  <c:v>78</c:v>
                </c:pt>
                <c:pt idx="7">
                  <c:v>5597</c:v>
                </c:pt>
                <c:pt idx="8">
                  <c:v>193</c:v>
                </c:pt>
                <c:pt idx="9">
                  <c:v>1521</c:v>
                </c:pt>
                <c:pt idx="10">
                  <c:v>703</c:v>
                </c:pt>
                <c:pt idx="11">
                  <c:v>939</c:v>
                </c:pt>
                <c:pt idx="12">
                  <c:v>1922</c:v>
                </c:pt>
                <c:pt idx="13">
                  <c:v>806</c:v>
                </c:pt>
                <c:pt idx="14">
                  <c:v>27</c:v>
                </c:pt>
                <c:pt idx="15">
                  <c:v>131</c:v>
                </c:pt>
                <c:pt idx="16">
                  <c:v>31</c:v>
                </c:pt>
                <c:pt idx="17">
                  <c:v>52</c:v>
                </c:pt>
                <c:pt idx="18">
                  <c:v>1367</c:v>
                </c:pt>
                <c:pt idx="19">
                  <c:v>1630</c:v>
                </c:pt>
                <c:pt idx="20">
                  <c:v>2148</c:v>
                </c:pt>
                <c:pt idx="21">
                  <c:v>909</c:v>
                </c:pt>
                <c:pt idx="22">
                  <c:v>1934</c:v>
                </c:pt>
                <c:pt idx="23">
                  <c:v>1210</c:v>
                </c:pt>
                <c:pt idx="24">
                  <c:v>2262</c:v>
                </c:pt>
                <c:pt idx="25">
                  <c:v>1318</c:v>
                </c:pt>
                <c:pt idx="26">
                  <c:v>1514</c:v>
                </c:pt>
                <c:pt idx="27">
                  <c:v>16</c:v>
                </c:pt>
                <c:pt idx="28">
                  <c:v>369</c:v>
                </c:pt>
                <c:pt idx="29">
                  <c:v>907</c:v>
                </c:pt>
                <c:pt idx="30">
                  <c:v>193</c:v>
                </c:pt>
                <c:pt idx="31">
                  <c:v>561</c:v>
                </c:pt>
                <c:pt idx="32">
                  <c:v>3537</c:v>
                </c:pt>
                <c:pt idx="33">
                  <c:v>1647</c:v>
                </c:pt>
                <c:pt idx="34">
                  <c:v>437</c:v>
                </c:pt>
                <c:pt idx="35">
                  <c:v>1063</c:v>
                </c:pt>
                <c:pt idx="36">
                  <c:v>50</c:v>
                </c:pt>
                <c:pt idx="37">
                  <c:v>16</c:v>
                </c:pt>
                <c:pt idx="38">
                  <c:v>1441</c:v>
                </c:pt>
                <c:pt idx="39">
                  <c:v>4395</c:v>
                </c:pt>
                <c:pt idx="40">
                  <c:v>465</c:v>
                </c:pt>
                <c:pt idx="41">
                  <c:v>108</c:v>
                </c:pt>
                <c:pt idx="42">
                  <c:v>345</c:v>
                </c:pt>
                <c:pt idx="43">
                  <c:v>478</c:v>
                </c:pt>
                <c:pt idx="44">
                  <c:v>34</c:v>
                </c:pt>
                <c:pt idx="45">
                  <c:v>166</c:v>
                </c:pt>
                <c:pt idx="46">
                  <c:v>1301</c:v>
                </c:pt>
                <c:pt idx="47">
                  <c:v>418</c:v>
                </c:pt>
                <c:pt idx="48">
                  <c:v>1298</c:v>
                </c:pt>
                <c:pt idx="49">
                  <c:v>85</c:v>
                </c:pt>
                <c:pt idx="50">
                  <c:v>149</c:v>
                </c:pt>
                <c:pt idx="51">
                  <c:v>459</c:v>
                </c:pt>
                <c:pt idx="52">
                  <c:v>172</c:v>
                </c:pt>
                <c:pt idx="53">
                  <c:v>22</c:v>
                </c:pt>
                <c:pt idx="54">
                  <c:v>11</c:v>
                </c:pt>
                <c:pt idx="55">
                  <c:v>965</c:v>
                </c:pt>
                <c:pt idx="56">
                  <c:v>2584</c:v>
                </c:pt>
                <c:pt idx="57">
                  <c:v>1034</c:v>
                </c:pt>
                <c:pt idx="58">
                  <c:v>993</c:v>
                </c:pt>
                <c:pt idx="59">
                  <c:v>76</c:v>
                </c:pt>
                <c:pt idx="60">
                  <c:v>3511</c:v>
                </c:pt>
                <c:pt idx="61">
                  <c:v>425</c:v>
                </c:pt>
                <c:pt idx="62">
                  <c:v>715</c:v>
                </c:pt>
                <c:pt idx="63">
                  <c:v>1579</c:v>
                </c:pt>
                <c:pt idx="64">
                  <c:v>152</c:v>
                </c:pt>
                <c:pt idx="65">
                  <c:v>307</c:v>
                </c:pt>
                <c:pt idx="66">
                  <c:v>3599</c:v>
                </c:pt>
                <c:pt idx="67">
                  <c:v>4907</c:v>
                </c:pt>
                <c:pt idx="68">
                  <c:v>282</c:v>
                </c:pt>
                <c:pt idx="69">
                  <c:v>71</c:v>
                </c:pt>
                <c:pt idx="70">
                  <c:v>761</c:v>
                </c:pt>
                <c:pt idx="71">
                  <c:v>2390</c:v>
                </c:pt>
                <c:pt idx="72">
                  <c:v>768</c:v>
                </c:pt>
                <c:pt idx="73">
                  <c:v>166</c:v>
                </c:pt>
                <c:pt idx="74">
                  <c:v>497</c:v>
                </c:pt>
                <c:pt idx="75">
                  <c:v>724</c:v>
                </c:pt>
                <c:pt idx="76">
                  <c:v>3192</c:v>
                </c:pt>
                <c:pt idx="77">
                  <c:v>133</c:v>
                </c:pt>
                <c:pt idx="78">
                  <c:v>1430</c:v>
                </c:pt>
                <c:pt idx="79">
                  <c:v>1013</c:v>
                </c:pt>
                <c:pt idx="80">
                  <c:v>373</c:v>
                </c:pt>
                <c:pt idx="81">
                  <c:v>632</c:v>
                </c:pt>
                <c:pt idx="82">
                  <c:v>119</c:v>
                </c:pt>
                <c:pt idx="83">
                  <c:v>96</c:v>
                </c:pt>
                <c:pt idx="84">
                  <c:v>12</c:v>
                </c:pt>
                <c:pt idx="85">
                  <c:v>57</c:v>
                </c:pt>
                <c:pt idx="86">
                  <c:v>968</c:v>
                </c:pt>
                <c:pt idx="87">
                  <c:v>367</c:v>
                </c:pt>
                <c:pt idx="88">
                  <c:v>465</c:v>
                </c:pt>
                <c:pt idx="89">
                  <c:v>248</c:v>
                </c:pt>
                <c:pt idx="90">
                  <c:v>1757</c:v>
                </c:pt>
                <c:pt idx="91">
                  <c:v>2342</c:v>
                </c:pt>
                <c:pt idx="92">
                  <c:v>50</c:v>
                </c:pt>
                <c:pt idx="93">
                  <c:v>694</c:v>
                </c:pt>
                <c:pt idx="94">
                  <c:v>4675</c:v>
                </c:pt>
                <c:pt idx="95">
                  <c:v>3529</c:v>
                </c:pt>
                <c:pt idx="96">
                  <c:v>103</c:v>
                </c:pt>
                <c:pt idx="97">
                  <c:v>381</c:v>
                </c:pt>
                <c:pt idx="98">
                  <c:v>1678</c:v>
                </c:pt>
                <c:pt idx="99">
                  <c:v>4836</c:v>
                </c:pt>
                <c:pt idx="100">
                  <c:v>118</c:v>
                </c:pt>
                <c:pt idx="101">
                  <c:v>31</c:v>
                </c:pt>
                <c:pt idx="102">
                  <c:v>9902</c:v>
                </c:pt>
                <c:pt idx="103">
                  <c:v>1593</c:v>
                </c:pt>
                <c:pt idx="104">
                  <c:v>504</c:v>
                </c:pt>
                <c:pt idx="105">
                  <c:v>944</c:v>
                </c:pt>
                <c:pt idx="106">
                  <c:v>13</c:v>
                </c:pt>
                <c:pt idx="107">
                  <c:v>1643</c:v>
                </c:pt>
                <c:pt idx="108">
                  <c:v>3548</c:v>
                </c:pt>
                <c:pt idx="109">
                  <c:v>1160</c:v>
                </c:pt>
                <c:pt idx="110">
                  <c:v>911</c:v>
                </c:pt>
                <c:pt idx="111">
                  <c:v>48</c:v>
                </c:pt>
                <c:pt idx="112">
                  <c:v>188</c:v>
                </c:pt>
                <c:pt idx="113">
                  <c:v>3003</c:v>
                </c:pt>
                <c:pt idx="114">
                  <c:v>3007</c:v>
                </c:pt>
                <c:pt idx="115">
                  <c:v>177</c:v>
                </c:pt>
                <c:pt idx="116">
                  <c:v>3574</c:v>
                </c:pt>
                <c:pt idx="117">
                  <c:v>100</c:v>
                </c:pt>
                <c:pt idx="118">
                  <c:v>30</c:v>
                </c:pt>
                <c:pt idx="119">
                  <c:v>1782</c:v>
                </c:pt>
                <c:pt idx="120">
                  <c:v>115</c:v>
                </c:pt>
                <c:pt idx="121">
                  <c:v>1414</c:v>
                </c:pt>
                <c:pt idx="122">
                  <c:v>336</c:v>
                </c:pt>
                <c:pt idx="123">
                  <c:v>889</c:v>
                </c:pt>
                <c:pt idx="124">
                  <c:v>484</c:v>
                </c:pt>
                <c:pt idx="125">
                  <c:v>699</c:v>
                </c:pt>
                <c:pt idx="126">
                  <c:v>244</c:v>
                </c:pt>
                <c:pt idx="127">
                  <c:v>2308</c:v>
                </c:pt>
                <c:pt idx="128">
                  <c:v>890</c:v>
                </c:pt>
                <c:pt idx="129">
                  <c:v>958</c:v>
                </c:pt>
                <c:pt idx="130">
                  <c:v>490</c:v>
                </c:pt>
                <c:pt idx="131">
                  <c:v>3216</c:v>
                </c:pt>
                <c:pt idx="132">
                  <c:v>1013</c:v>
                </c:pt>
                <c:pt idx="133">
                  <c:v>531</c:v>
                </c:pt>
                <c:pt idx="134">
                  <c:v>145</c:v>
                </c:pt>
                <c:pt idx="135">
                  <c:v>124</c:v>
                </c:pt>
                <c:pt idx="136">
                  <c:v>3112</c:v>
                </c:pt>
                <c:pt idx="137">
                  <c:v>259</c:v>
                </c:pt>
                <c:pt idx="138">
                  <c:v>1383</c:v>
                </c:pt>
                <c:pt idx="139">
                  <c:v>5809</c:v>
                </c:pt>
                <c:pt idx="140">
                  <c:v>1729</c:v>
                </c:pt>
                <c:pt idx="141">
                  <c:v>7766</c:v>
                </c:pt>
                <c:pt idx="142">
                  <c:v>9365</c:v>
                </c:pt>
                <c:pt idx="143">
                  <c:v>1549</c:v>
                </c:pt>
                <c:pt idx="144">
                  <c:v>2223</c:v>
                </c:pt>
                <c:pt idx="145">
                  <c:v>174</c:v>
                </c:pt>
                <c:pt idx="146">
                  <c:v>391</c:v>
                </c:pt>
                <c:pt idx="147">
                  <c:v>189</c:v>
                </c:pt>
                <c:pt idx="148">
                  <c:v>55</c:v>
                </c:pt>
                <c:pt idx="149">
                  <c:v>662</c:v>
                </c:pt>
                <c:pt idx="150">
                  <c:v>387</c:v>
                </c:pt>
                <c:pt idx="151">
                  <c:v>2084</c:v>
                </c:pt>
                <c:pt idx="152">
                  <c:v>844</c:v>
                </c:pt>
                <c:pt idx="153">
                  <c:v>291</c:v>
                </c:pt>
                <c:pt idx="154">
                  <c:v>121</c:v>
                </c:pt>
                <c:pt idx="155">
                  <c:v>1629</c:v>
                </c:pt>
                <c:pt idx="156">
                  <c:v>1057</c:v>
                </c:pt>
                <c:pt idx="157">
                  <c:v>139</c:v>
                </c:pt>
                <c:pt idx="158">
                  <c:v>1133</c:v>
                </c:pt>
                <c:pt idx="159">
                  <c:v>1076</c:v>
                </c:pt>
                <c:pt idx="160">
                  <c:v>3673</c:v>
                </c:pt>
                <c:pt idx="161">
                  <c:v>1397</c:v>
                </c:pt>
                <c:pt idx="162">
                  <c:v>587</c:v>
                </c:pt>
                <c:pt idx="163">
                  <c:v>1246</c:v>
                </c:pt>
                <c:pt idx="164">
                  <c:v>234</c:v>
                </c:pt>
                <c:pt idx="165">
                  <c:v>47</c:v>
                </c:pt>
                <c:pt idx="166">
                  <c:v>1895</c:v>
                </c:pt>
                <c:pt idx="167">
                  <c:v>582</c:v>
                </c:pt>
                <c:pt idx="168">
                  <c:v>71</c:v>
                </c:pt>
                <c:pt idx="169">
                  <c:v>2101</c:v>
                </c:pt>
                <c:pt idx="170">
                  <c:v>152</c:v>
                </c:pt>
                <c:pt idx="171">
                  <c:v>2268</c:v>
                </c:pt>
                <c:pt idx="172">
                  <c:v>30</c:v>
                </c:pt>
                <c:pt idx="173">
                  <c:v>309</c:v>
                </c:pt>
                <c:pt idx="174">
                  <c:v>482</c:v>
                </c:pt>
                <c:pt idx="175">
                  <c:v>3350</c:v>
                </c:pt>
                <c:pt idx="176">
                  <c:v>1201</c:v>
                </c:pt>
                <c:pt idx="177">
                  <c:v>1329</c:v>
                </c:pt>
                <c:pt idx="178">
                  <c:v>61</c:v>
                </c:pt>
                <c:pt idx="179">
                  <c:v>902</c:v>
                </c:pt>
                <c:pt idx="180">
                  <c:v>79</c:v>
                </c:pt>
                <c:pt idx="181">
                  <c:v>1136</c:v>
                </c:pt>
                <c:pt idx="182">
                  <c:v>669</c:v>
                </c:pt>
                <c:pt idx="183">
                  <c:v>420</c:v>
                </c:pt>
                <c:pt idx="184">
                  <c:v>1607</c:v>
                </c:pt>
                <c:pt idx="185">
                  <c:v>58</c:v>
                </c:pt>
                <c:pt idx="186">
                  <c:v>1619</c:v>
                </c:pt>
                <c:pt idx="187">
                  <c:v>196</c:v>
                </c:pt>
                <c:pt idx="188">
                  <c:v>1904</c:v>
                </c:pt>
                <c:pt idx="189">
                  <c:v>263</c:v>
                </c:pt>
                <c:pt idx="190">
                  <c:v>86</c:v>
                </c:pt>
                <c:pt idx="191">
                  <c:v>3651</c:v>
                </c:pt>
                <c:pt idx="192">
                  <c:v>1404</c:v>
                </c:pt>
                <c:pt idx="193">
                  <c:v>4741</c:v>
                </c:pt>
                <c:pt idx="194">
                  <c:v>975</c:v>
                </c:pt>
                <c:pt idx="195">
                  <c:v>87</c:v>
                </c:pt>
                <c:pt idx="196">
                  <c:v>811</c:v>
                </c:pt>
                <c:pt idx="197">
                  <c:v>5161</c:v>
                </c:pt>
                <c:pt idx="198">
                  <c:v>220</c:v>
                </c:pt>
                <c:pt idx="199">
                  <c:v>233</c:v>
                </c:pt>
                <c:pt idx="200">
                  <c:v>40</c:v>
                </c:pt>
                <c:pt idx="201">
                  <c:v>3160</c:v>
                </c:pt>
                <c:pt idx="202">
                  <c:v>610</c:v>
                </c:pt>
                <c:pt idx="203">
                  <c:v>193</c:v>
                </c:pt>
                <c:pt idx="204">
                  <c:v>3416</c:v>
                </c:pt>
                <c:pt idx="205">
                  <c:v>2286</c:v>
                </c:pt>
                <c:pt idx="206">
                  <c:v>179</c:v>
                </c:pt>
                <c:pt idx="207">
                  <c:v>148</c:v>
                </c:pt>
                <c:pt idx="208">
                  <c:v>1493</c:v>
                </c:pt>
                <c:pt idx="209">
                  <c:v>743</c:v>
                </c:pt>
                <c:pt idx="210">
                  <c:v>1250</c:v>
                </c:pt>
                <c:pt idx="211">
                  <c:v>1165</c:v>
                </c:pt>
                <c:pt idx="212">
                  <c:v>53</c:v>
                </c:pt>
                <c:pt idx="213">
                  <c:v>1570</c:v>
                </c:pt>
                <c:pt idx="214">
                  <c:v>102</c:v>
                </c:pt>
                <c:pt idx="215">
                  <c:v>5762</c:v>
                </c:pt>
                <c:pt idx="216">
                  <c:v>1392</c:v>
                </c:pt>
                <c:pt idx="217">
                  <c:v>47</c:v>
                </c:pt>
                <c:pt idx="218">
                  <c:v>105</c:v>
                </c:pt>
                <c:pt idx="219">
                  <c:v>158</c:v>
                </c:pt>
                <c:pt idx="220">
                  <c:v>471</c:v>
                </c:pt>
                <c:pt idx="221">
                  <c:v>105</c:v>
                </c:pt>
                <c:pt idx="222">
                  <c:v>170</c:v>
                </c:pt>
                <c:pt idx="223">
                  <c:v>1544</c:v>
                </c:pt>
                <c:pt idx="224">
                  <c:v>2002</c:v>
                </c:pt>
                <c:pt idx="225">
                  <c:v>265</c:v>
                </c:pt>
                <c:pt idx="226">
                  <c:v>228</c:v>
                </c:pt>
                <c:pt idx="227">
                  <c:v>4901</c:v>
                </c:pt>
                <c:pt idx="228">
                  <c:v>15</c:v>
                </c:pt>
                <c:pt idx="229">
                  <c:v>1511</c:v>
                </c:pt>
                <c:pt idx="230">
                  <c:v>1384</c:v>
                </c:pt>
                <c:pt idx="231">
                  <c:v>439</c:v>
                </c:pt>
                <c:pt idx="232">
                  <c:v>1490</c:v>
                </c:pt>
                <c:pt idx="233">
                  <c:v>42</c:v>
                </c:pt>
                <c:pt idx="234">
                  <c:v>1171</c:v>
                </c:pt>
                <c:pt idx="235">
                  <c:v>17</c:v>
                </c:pt>
                <c:pt idx="236">
                  <c:v>134</c:v>
                </c:pt>
                <c:pt idx="237">
                  <c:v>265</c:v>
                </c:pt>
                <c:pt idx="238">
                  <c:v>325</c:v>
                </c:pt>
                <c:pt idx="239">
                  <c:v>2450</c:v>
                </c:pt>
                <c:pt idx="240">
                  <c:v>517</c:v>
                </c:pt>
                <c:pt idx="241">
                  <c:v>826</c:v>
                </c:pt>
                <c:pt idx="242">
                  <c:v>1259</c:v>
                </c:pt>
                <c:pt idx="243">
                  <c:v>203</c:v>
                </c:pt>
                <c:pt idx="244">
                  <c:v>404</c:v>
                </c:pt>
                <c:pt idx="245">
                  <c:v>5449</c:v>
                </c:pt>
                <c:pt idx="246">
                  <c:v>388</c:v>
                </c:pt>
                <c:pt idx="247">
                  <c:v>3287</c:v>
                </c:pt>
                <c:pt idx="248">
                  <c:v>203</c:v>
                </c:pt>
                <c:pt idx="249">
                  <c:v>1361</c:v>
                </c:pt>
                <c:pt idx="250">
                  <c:v>1777</c:v>
                </c:pt>
                <c:pt idx="251">
                  <c:v>315</c:v>
                </c:pt>
                <c:pt idx="252">
                  <c:v>1715</c:v>
                </c:pt>
                <c:pt idx="253">
                  <c:v>1907</c:v>
                </c:pt>
                <c:pt idx="254">
                  <c:v>1571</c:v>
                </c:pt>
                <c:pt idx="255">
                  <c:v>2756</c:v>
                </c:pt>
                <c:pt idx="256">
                  <c:v>220</c:v>
                </c:pt>
                <c:pt idx="257">
                  <c:v>820</c:v>
                </c:pt>
                <c:pt idx="258">
                  <c:v>3803</c:v>
                </c:pt>
                <c:pt idx="259">
                  <c:v>6339</c:v>
                </c:pt>
                <c:pt idx="260">
                  <c:v>1587</c:v>
                </c:pt>
                <c:pt idx="261">
                  <c:v>1130</c:v>
                </c:pt>
                <c:pt idx="262">
                  <c:v>251</c:v>
                </c:pt>
                <c:pt idx="263">
                  <c:v>3266</c:v>
                </c:pt>
                <c:pt idx="264">
                  <c:v>3204</c:v>
                </c:pt>
                <c:pt idx="265">
                  <c:v>4365</c:v>
                </c:pt>
                <c:pt idx="266">
                  <c:v>1582</c:v>
                </c:pt>
                <c:pt idx="267">
                  <c:v>3343</c:v>
                </c:pt>
                <c:pt idx="268">
                  <c:v>3828</c:v>
                </c:pt>
                <c:pt idx="269">
                  <c:v>5750</c:v>
                </c:pt>
                <c:pt idx="270">
                  <c:v>3387</c:v>
                </c:pt>
                <c:pt idx="271">
                  <c:v>180</c:v>
                </c:pt>
                <c:pt idx="272">
                  <c:v>2293</c:v>
                </c:pt>
                <c:pt idx="273">
                  <c:v>101</c:v>
                </c:pt>
                <c:pt idx="274">
                  <c:v>1921</c:v>
                </c:pt>
                <c:pt idx="275">
                  <c:v>73</c:v>
                </c:pt>
                <c:pt idx="276">
                  <c:v>147</c:v>
                </c:pt>
                <c:pt idx="277">
                  <c:v>806</c:v>
                </c:pt>
                <c:pt idx="278">
                  <c:v>38</c:v>
                </c:pt>
                <c:pt idx="279">
                  <c:v>1245</c:v>
                </c:pt>
                <c:pt idx="280">
                  <c:v>237</c:v>
                </c:pt>
                <c:pt idx="281">
                  <c:v>2069</c:v>
                </c:pt>
                <c:pt idx="282">
                  <c:v>94</c:v>
                </c:pt>
                <c:pt idx="283">
                  <c:v>530</c:v>
                </c:pt>
                <c:pt idx="284">
                  <c:v>1510</c:v>
                </c:pt>
                <c:pt idx="285">
                  <c:v>416</c:v>
                </c:pt>
                <c:pt idx="286">
                  <c:v>351</c:v>
                </c:pt>
                <c:pt idx="287">
                  <c:v>529</c:v>
                </c:pt>
                <c:pt idx="288">
                  <c:v>167</c:v>
                </c:pt>
                <c:pt idx="289">
                  <c:v>365</c:v>
                </c:pt>
                <c:pt idx="290">
                  <c:v>477</c:v>
                </c:pt>
                <c:pt idx="291">
                  <c:v>1969</c:v>
                </c:pt>
                <c:pt idx="292">
                  <c:v>171</c:v>
                </c:pt>
                <c:pt idx="293">
                  <c:v>2233</c:v>
                </c:pt>
                <c:pt idx="294">
                  <c:v>276</c:v>
                </c:pt>
                <c:pt idx="295">
                  <c:v>1721</c:v>
                </c:pt>
                <c:pt idx="296">
                  <c:v>277</c:v>
                </c:pt>
                <c:pt idx="297">
                  <c:v>207</c:v>
                </c:pt>
                <c:pt idx="298">
                  <c:v>24</c:v>
                </c:pt>
                <c:pt idx="299">
                  <c:v>3550</c:v>
                </c:pt>
                <c:pt idx="300">
                  <c:v>468</c:v>
                </c:pt>
                <c:pt idx="301">
                  <c:v>1309</c:v>
                </c:pt>
                <c:pt idx="302">
                  <c:v>1534</c:v>
                </c:pt>
                <c:pt idx="303">
                  <c:v>86</c:v>
                </c:pt>
                <c:pt idx="304">
                  <c:v>808</c:v>
                </c:pt>
                <c:pt idx="305">
                  <c:v>352</c:v>
                </c:pt>
                <c:pt idx="306">
                  <c:v>31</c:v>
                </c:pt>
                <c:pt idx="307">
                  <c:v>169</c:v>
                </c:pt>
                <c:pt idx="308">
                  <c:v>637</c:v>
                </c:pt>
                <c:pt idx="309">
                  <c:v>934</c:v>
                </c:pt>
                <c:pt idx="310">
                  <c:v>137</c:v>
                </c:pt>
                <c:pt idx="311">
                  <c:v>34</c:v>
                </c:pt>
                <c:pt idx="312">
                  <c:v>1116</c:v>
                </c:pt>
                <c:pt idx="313">
                  <c:v>2017</c:v>
                </c:pt>
                <c:pt idx="314">
                  <c:v>4668</c:v>
                </c:pt>
                <c:pt idx="315">
                  <c:v>384</c:v>
                </c:pt>
                <c:pt idx="316">
                  <c:v>600</c:v>
                </c:pt>
                <c:pt idx="317">
                  <c:v>80</c:v>
                </c:pt>
                <c:pt idx="318">
                  <c:v>126</c:v>
                </c:pt>
                <c:pt idx="319">
                  <c:v>3598</c:v>
                </c:pt>
                <c:pt idx="320">
                  <c:v>3065</c:v>
                </c:pt>
                <c:pt idx="321">
                  <c:v>148</c:v>
                </c:pt>
                <c:pt idx="322">
                  <c:v>1456</c:v>
                </c:pt>
                <c:pt idx="323">
                  <c:v>1995</c:v>
                </c:pt>
                <c:pt idx="324">
                  <c:v>1350</c:v>
                </c:pt>
                <c:pt idx="325">
                  <c:v>666</c:v>
                </c:pt>
                <c:pt idx="326">
                  <c:v>2139</c:v>
                </c:pt>
                <c:pt idx="327">
                  <c:v>16</c:v>
                </c:pt>
                <c:pt idx="328">
                  <c:v>6120</c:v>
                </c:pt>
                <c:pt idx="329">
                  <c:v>114</c:v>
                </c:pt>
                <c:pt idx="330">
                  <c:v>5820</c:v>
                </c:pt>
                <c:pt idx="331">
                  <c:v>130</c:v>
                </c:pt>
                <c:pt idx="332">
                  <c:v>675</c:v>
                </c:pt>
                <c:pt idx="333">
                  <c:v>789</c:v>
                </c:pt>
                <c:pt idx="334">
                  <c:v>5421</c:v>
                </c:pt>
                <c:pt idx="335">
                  <c:v>1314</c:v>
                </c:pt>
              </c:numCache>
            </c:numRef>
          </c:val>
          <c:extLst>
            <c:ext xmlns:c16="http://schemas.microsoft.com/office/drawing/2014/chart" uri="{C3380CC4-5D6E-409C-BE32-E72D297353CC}">
              <c16:uniqueId val="{00000000-6FBE-44BE-B88C-56AA895695C3}"/>
            </c:ext>
          </c:extLst>
        </c:ser>
        <c:dLbls>
          <c:showLegendKey val="0"/>
          <c:showVal val="0"/>
          <c:showCatName val="0"/>
          <c:showSerName val="0"/>
          <c:showPercent val="0"/>
          <c:showBubbleSize val="0"/>
        </c:dLbls>
        <c:gapWidth val="219"/>
        <c:overlap val="-27"/>
        <c:axId val="489603728"/>
        <c:axId val="835074480"/>
      </c:barChart>
      <c:catAx>
        <c:axId val="48960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074480"/>
        <c:crosses val="autoZero"/>
        <c:auto val="1"/>
        <c:lblAlgn val="ctr"/>
        <c:lblOffset val="100"/>
        <c:noMultiLvlLbl val="0"/>
      </c:catAx>
      <c:valAx>
        <c:axId val="83507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0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city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summarization!$K$11</c:f>
              <c:strCache>
                <c:ptCount val="1"/>
                <c:pt idx="0">
                  <c:v>Total</c:v>
                </c:pt>
              </c:strCache>
            </c:strRef>
          </c:tx>
          <c:spPr>
            <a:solidFill>
              <a:schemeClr val="accent1"/>
            </a:solidFill>
            <a:ln>
              <a:noFill/>
            </a:ln>
            <a:effectLst/>
          </c:spPr>
          <c:invertIfNegative val="0"/>
          <c:cat>
            <c:strRef>
              <c:f>summarization!$J$12:$J$37</c:f>
              <c:strCache>
                <c:ptCount val="25"/>
                <c:pt idx="0">
                  <c:v>Ahmedabad</c:v>
                </c:pt>
                <c:pt idx="1">
                  <c:v>Amritsar</c:v>
                </c:pt>
                <c:pt idx="2">
                  <c:v>Bangalore</c:v>
                </c:pt>
                <c:pt idx="3">
                  <c:v>Bhopal</c:v>
                </c:pt>
                <c:pt idx="4">
                  <c:v>Chandigarh</c:v>
                </c:pt>
                <c:pt idx="5">
                  <c:v>Chennai</c:v>
                </c:pt>
                <c:pt idx="6">
                  <c:v>Delhi</c:v>
                </c:pt>
                <c:pt idx="7">
                  <c:v>Gangtok</c:v>
                </c:pt>
                <c:pt idx="8">
                  <c:v>Goa</c:v>
                </c:pt>
                <c:pt idx="9">
                  <c:v>Hyderabad</c:v>
                </c:pt>
                <c:pt idx="10">
                  <c:v>Indore</c:v>
                </c:pt>
                <c:pt idx="11">
                  <c:v>Jaipur</c:v>
                </c:pt>
                <c:pt idx="12">
                  <c:v>Kashmir</c:v>
                </c:pt>
                <c:pt idx="13">
                  <c:v>Kohima</c:v>
                </c:pt>
                <c:pt idx="14">
                  <c:v>Kolkata</c:v>
                </c:pt>
                <c:pt idx="15">
                  <c:v>Lucknow</c:v>
                </c:pt>
                <c:pt idx="16">
                  <c:v>Mathura</c:v>
                </c:pt>
                <c:pt idx="17">
                  <c:v>Mumbai</c:v>
                </c:pt>
                <c:pt idx="18">
                  <c:v>Patna</c:v>
                </c:pt>
                <c:pt idx="19">
                  <c:v>Prayagraj</c:v>
                </c:pt>
                <c:pt idx="20">
                  <c:v>Pune</c:v>
                </c:pt>
                <c:pt idx="21">
                  <c:v>Simla</c:v>
                </c:pt>
                <c:pt idx="22">
                  <c:v>Surat</c:v>
                </c:pt>
                <c:pt idx="23">
                  <c:v>Thiruvananthapuram</c:v>
                </c:pt>
                <c:pt idx="24">
                  <c:v>Udaipur</c:v>
                </c:pt>
              </c:strCache>
            </c:strRef>
          </c:cat>
          <c:val>
            <c:numRef>
              <c:f>summarization!$K$12:$K$37</c:f>
              <c:numCache>
                <c:formatCode>General</c:formatCode>
                <c:ptCount val="25"/>
                <c:pt idx="0">
                  <c:v>62</c:v>
                </c:pt>
                <c:pt idx="1">
                  <c:v>15</c:v>
                </c:pt>
                <c:pt idx="2">
                  <c:v>50</c:v>
                </c:pt>
                <c:pt idx="3">
                  <c:v>66</c:v>
                </c:pt>
                <c:pt idx="4">
                  <c:v>71</c:v>
                </c:pt>
                <c:pt idx="5">
                  <c:v>25</c:v>
                </c:pt>
                <c:pt idx="6">
                  <c:v>76</c:v>
                </c:pt>
                <c:pt idx="7">
                  <c:v>24</c:v>
                </c:pt>
                <c:pt idx="8">
                  <c:v>43</c:v>
                </c:pt>
                <c:pt idx="9">
                  <c:v>42</c:v>
                </c:pt>
                <c:pt idx="10">
                  <c:v>248</c:v>
                </c:pt>
                <c:pt idx="11">
                  <c:v>44</c:v>
                </c:pt>
                <c:pt idx="12">
                  <c:v>49</c:v>
                </c:pt>
                <c:pt idx="13">
                  <c:v>45</c:v>
                </c:pt>
                <c:pt idx="14">
                  <c:v>63</c:v>
                </c:pt>
                <c:pt idx="15">
                  <c:v>38</c:v>
                </c:pt>
                <c:pt idx="16">
                  <c:v>37</c:v>
                </c:pt>
                <c:pt idx="17">
                  <c:v>201</c:v>
                </c:pt>
                <c:pt idx="18">
                  <c:v>62</c:v>
                </c:pt>
                <c:pt idx="19">
                  <c:v>12</c:v>
                </c:pt>
                <c:pt idx="20">
                  <c:v>98</c:v>
                </c:pt>
                <c:pt idx="21">
                  <c:v>29</c:v>
                </c:pt>
                <c:pt idx="22">
                  <c:v>25</c:v>
                </c:pt>
                <c:pt idx="23">
                  <c:v>45</c:v>
                </c:pt>
                <c:pt idx="24">
                  <c:v>30</c:v>
                </c:pt>
              </c:numCache>
            </c:numRef>
          </c:val>
          <c:extLst>
            <c:ext xmlns:c16="http://schemas.microsoft.com/office/drawing/2014/chart" uri="{C3380CC4-5D6E-409C-BE32-E72D297353CC}">
              <c16:uniqueId val="{00000000-9FBD-4960-BE48-282DE3275B2E}"/>
            </c:ext>
          </c:extLst>
        </c:ser>
        <c:dLbls>
          <c:showLegendKey val="0"/>
          <c:showVal val="0"/>
          <c:showCatName val="0"/>
          <c:showSerName val="0"/>
          <c:showPercent val="0"/>
          <c:showBubbleSize val="0"/>
        </c:dLbls>
        <c:gapWidth val="182"/>
        <c:axId val="761767456"/>
        <c:axId val="761769256"/>
      </c:barChart>
      <c:catAx>
        <c:axId val="76176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69256"/>
        <c:crosses val="autoZero"/>
        <c:auto val="1"/>
        <c:lblAlgn val="ctr"/>
        <c:lblOffset val="100"/>
        <c:noMultiLvlLbl val="0"/>
      </c:catAx>
      <c:valAx>
        <c:axId val="761769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76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[Details.xlsx]summarization!PivotTable1</c:name>
    <c:fmtId val="22"/>
  </c:pivotSource>
  <c:chart>
    <c:title>
      <c:tx>
        <c:rich>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r>
              <a:rPr lang="en-US" sz="1400" b="0" i="0" u="none" strike="noStrike" kern="1200" cap="all" spc="0" baseline="0">
                <a:solidFill>
                  <a:schemeClr val="bg1">
                    <a:lumMod val="95000"/>
                  </a:schemeClr>
                </a:solidFill>
                <a:latin typeface="+mn-lt"/>
                <a:ea typeface="+mn-ea"/>
                <a:cs typeface="+mn-cs"/>
              </a:rPr>
              <a:t>Amount By State</a:t>
            </a:r>
          </a:p>
        </c:rich>
      </c:tx>
      <c:overlay val="0"/>
      <c:spPr>
        <a:noFill/>
        <a:ln>
          <a:noFill/>
        </a:ln>
        <a:effectLst/>
      </c:spPr>
      <c:txPr>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68000"/>
                  <a:alpha val="90000"/>
                  <a:lumMod val="100000"/>
                </a:schemeClr>
              </a:gs>
              <a:gs pos="100000">
                <a:schemeClr val="accent2">
                  <a:tint val="90000"/>
                  <a:lumMod val="95000"/>
                </a:schemeClr>
              </a:gs>
            </a:gsLst>
            <a:lin ang="5400000" scaled="1"/>
          </a:gradFill>
          <a:ln w="12700" cap="rnd" cmpd="sng" algn="ctr">
            <a:solidFill>
              <a:schemeClr val="accent2">
                <a:lumMod val="90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summarization!$B$2</c:f>
              <c:strCache>
                <c:ptCount val="1"/>
                <c:pt idx="0">
                  <c:v>Total</c:v>
                </c:pt>
              </c:strCache>
            </c:strRef>
          </c:tx>
          <c:spPr>
            <a:gradFill rotWithShape="1">
              <a:gsLst>
                <a:gs pos="0">
                  <a:schemeClr val="accent2">
                    <a:tint val="68000"/>
                    <a:alpha val="90000"/>
                    <a:lumMod val="100000"/>
                  </a:schemeClr>
                </a:gs>
                <a:gs pos="100000">
                  <a:schemeClr val="accent2">
                    <a:tint val="90000"/>
                    <a:lumMod val="95000"/>
                  </a:schemeClr>
                </a:gs>
              </a:gsLst>
              <a:lin ang="5400000" scaled="1"/>
            </a:gradFill>
            <a:ln w="12700" cap="rnd" cmpd="sng" algn="ctr">
              <a:solidFill>
                <a:schemeClr val="accent2">
                  <a:lumMod val="90000"/>
                </a:schemeClr>
              </a:solidFill>
              <a:prstDash val="solid"/>
            </a:ln>
            <a:effectLst/>
          </c:spPr>
          <c:invertIfNegative val="0"/>
          <c:cat>
            <c:strRef>
              <c:f>summarization!$A$3:$A$22</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 </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summarization!$B$3:$B$22</c:f>
              <c:numCache>
                <c:formatCode>General</c:formatCode>
                <c:ptCount val="19"/>
                <c:pt idx="0">
                  <c:v>13256</c:v>
                </c:pt>
                <c:pt idx="1">
                  <c:v>13417</c:v>
                </c:pt>
                <c:pt idx="2">
                  <c:v>22957</c:v>
                </c:pt>
                <c:pt idx="3">
                  <c:v>6705</c:v>
                </c:pt>
                <c:pt idx="4">
                  <c:v>21371</c:v>
                </c:pt>
                <c:pt idx="5">
                  <c:v>8863</c:v>
                </c:pt>
                <c:pt idx="6">
                  <c:v>8666</c:v>
                </c:pt>
                <c:pt idx="7">
                  <c:v>10829</c:v>
                </c:pt>
                <c:pt idx="8">
                  <c:v>12520</c:v>
                </c:pt>
                <c:pt idx="9">
                  <c:v>13871</c:v>
                </c:pt>
                <c:pt idx="10">
                  <c:v>87463</c:v>
                </c:pt>
                <c:pt idx="11">
                  <c:v>102498</c:v>
                </c:pt>
                <c:pt idx="12">
                  <c:v>11993</c:v>
                </c:pt>
                <c:pt idx="13">
                  <c:v>16786</c:v>
                </c:pt>
                <c:pt idx="14">
                  <c:v>22334</c:v>
                </c:pt>
                <c:pt idx="15">
                  <c:v>5276</c:v>
                </c:pt>
                <c:pt idx="16">
                  <c:v>6276</c:v>
                </c:pt>
                <c:pt idx="17">
                  <c:v>38362</c:v>
                </c:pt>
                <c:pt idx="18">
                  <c:v>14328</c:v>
                </c:pt>
              </c:numCache>
            </c:numRef>
          </c:val>
          <c:extLst>
            <c:ext xmlns:c16="http://schemas.microsoft.com/office/drawing/2014/chart" uri="{C3380CC4-5D6E-409C-BE32-E72D297353CC}">
              <c16:uniqueId val="{00000000-83A3-4446-BF9B-691F2C21918A}"/>
            </c:ext>
          </c:extLst>
        </c:ser>
        <c:dLbls>
          <c:showLegendKey val="0"/>
          <c:showVal val="0"/>
          <c:showCatName val="0"/>
          <c:showSerName val="0"/>
          <c:showPercent val="0"/>
          <c:showBubbleSize val="0"/>
        </c:dLbls>
        <c:gapWidth val="219"/>
        <c:axId val="734545296"/>
        <c:axId val="734545656"/>
      </c:barChart>
      <c:catAx>
        <c:axId val="73454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0" i="0" u="none" strike="noStrike" kern="1200" baseline="0">
                <a:solidFill>
                  <a:schemeClr val="bg1">
                    <a:lumMod val="95000"/>
                  </a:schemeClr>
                </a:solidFill>
                <a:latin typeface="+mn-lt"/>
                <a:ea typeface="+mn-ea"/>
                <a:cs typeface="+mn-cs"/>
              </a:defRPr>
            </a:pPr>
            <a:endParaRPr lang="en-US"/>
          </a:p>
        </c:txPr>
        <c:crossAx val="734545656"/>
        <c:crosses val="autoZero"/>
        <c:auto val="1"/>
        <c:lblAlgn val="ctr"/>
        <c:lblOffset val="100"/>
        <c:noMultiLvlLbl val="0"/>
      </c:catAx>
      <c:valAx>
        <c:axId val="734545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bg1">
                    <a:lumMod val="95000"/>
                  </a:schemeClr>
                </a:solidFill>
                <a:latin typeface="+mn-lt"/>
                <a:ea typeface="+mn-ea"/>
                <a:cs typeface="+mn-cs"/>
              </a:defRPr>
            </a:pPr>
            <a:endParaRPr lang="en-US"/>
          </a:p>
        </c:txPr>
        <c:crossAx val="73454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[Details.xlsx]summarization!PivotTable3</c:name>
    <c:fmtId val="4"/>
  </c:pivotSource>
  <c:chart>
    <c:title>
      <c:tx>
        <c:rich>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r>
              <a:rPr lang="en-US" sz="1400" b="0" i="0" u="none" strike="noStrike" kern="1200" cap="all" spc="0" baseline="0">
                <a:solidFill>
                  <a:schemeClr val="bg1">
                    <a:lumMod val="95000"/>
                  </a:schemeClr>
                </a:solidFill>
                <a:latin typeface="+mn-lt"/>
                <a:ea typeface="+mn-ea"/>
                <a:cs typeface="+mn-cs"/>
              </a:rPr>
              <a:t>Amount By Each Customer</a:t>
            </a:r>
          </a:p>
        </c:rich>
      </c:tx>
      <c:overlay val="0"/>
      <c:spPr>
        <a:noFill/>
        <a:ln>
          <a:noFill/>
        </a:ln>
        <a:effectLst/>
      </c:spPr>
      <c:txPr>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68000"/>
                  <a:alpha val="90000"/>
                  <a:lumMod val="100000"/>
                </a:schemeClr>
              </a:gs>
              <a:gs pos="100000">
                <a:schemeClr val="accent2">
                  <a:tint val="90000"/>
                  <a:lumMod val="95000"/>
                </a:schemeClr>
              </a:gs>
            </a:gsLst>
            <a:lin ang="5400000" scaled="1"/>
          </a:gradFill>
          <a:ln w="12700" cap="rnd" cmpd="sng" algn="ctr">
            <a:solidFill>
              <a:schemeClr val="accent2">
                <a:lumMod val="90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summarization!$H$2</c:f>
              <c:strCache>
                <c:ptCount val="1"/>
                <c:pt idx="0">
                  <c:v>Total</c:v>
                </c:pt>
              </c:strCache>
            </c:strRef>
          </c:tx>
          <c:spPr>
            <a:gradFill rotWithShape="1">
              <a:gsLst>
                <a:gs pos="0">
                  <a:schemeClr val="accent2">
                    <a:tint val="68000"/>
                    <a:alpha val="90000"/>
                    <a:lumMod val="100000"/>
                  </a:schemeClr>
                </a:gs>
                <a:gs pos="100000">
                  <a:schemeClr val="accent2">
                    <a:tint val="90000"/>
                    <a:lumMod val="95000"/>
                  </a:schemeClr>
                </a:gs>
              </a:gsLst>
              <a:lin ang="5400000" scaled="1"/>
            </a:gradFill>
            <a:ln w="12700" cap="rnd" cmpd="sng" algn="ctr">
              <a:solidFill>
                <a:schemeClr val="accent2">
                  <a:lumMod val="90000"/>
                </a:schemeClr>
              </a:solidFill>
              <a:prstDash val="solid"/>
            </a:ln>
            <a:effectLst/>
          </c:spPr>
          <c:invertIfNegative val="0"/>
          <c:cat>
            <c:strRef>
              <c:f>summarization!$G$3:$G$339</c:f>
              <c:strCache>
                <c:ptCount val="336"/>
                <c:pt idx="0">
                  <c:v>Aakanksha</c:v>
                </c:pt>
                <c:pt idx="1">
                  <c:v>Aarushi</c:v>
                </c:pt>
                <c:pt idx="2">
                  <c:v>Aastha</c:v>
                </c:pt>
                <c:pt idx="3">
                  <c:v>Aayush</c:v>
                </c:pt>
                <c:pt idx="4">
                  <c:v>Aayushi</c:v>
                </c:pt>
                <c:pt idx="5">
                  <c:v>Abhijeet</c:v>
                </c:pt>
                <c:pt idx="6">
                  <c:v>Abhijit</c:v>
                </c:pt>
                <c:pt idx="7">
                  <c:v>Abhishek</c:v>
                </c:pt>
                <c:pt idx="8">
                  <c:v>Adhvaita</c:v>
                </c:pt>
                <c:pt idx="9">
                  <c:v>Aditi</c:v>
                </c:pt>
                <c:pt idx="10">
                  <c:v>Aditya</c:v>
                </c:pt>
                <c:pt idx="11">
                  <c:v>Aishwarya</c:v>
                </c:pt>
                <c:pt idx="12">
                  <c:v>Ajay</c:v>
                </c:pt>
                <c:pt idx="13">
                  <c:v>Akancha</c:v>
                </c:pt>
                <c:pt idx="14">
                  <c:v>Akanksha</c:v>
                </c:pt>
                <c:pt idx="15">
                  <c:v>Akash</c:v>
                </c:pt>
                <c:pt idx="16">
                  <c:v>Akshat</c:v>
                </c:pt>
                <c:pt idx="17">
                  <c:v>Akshata</c:v>
                </c:pt>
                <c:pt idx="18">
                  <c:v>Akshay</c:v>
                </c:pt>
                <c:pt idx="19">
                  <c:v>Aman</c:v>
                </c:pt>
                <c:pt idx="20">
                  <c:v>Ameesha</c:v>
                </c:pt>
                <c:pt idx="21">
                  <c:v>Amisha</c:v>
                </c:pt>
                <c:pt idx="22">
                  <c:v>Amit</c:v>
                </c:pt>
                <c:pt idx="23">
                  <c:v>Amlan</c:v>
                </c:pt>
                <c:pt idx="24">
                  <c:v>Amol</c:v>
                </c:pt>
                <c:pt idx="25">
                  <c:v>Amruta</c:v>
                </c:pt>
                <c:pt idx="26">
                  <c:v>Anand</c:v>
                </c:pt>
                <c:pt idx="27">
                  <c:v>Ananya</c:v>
                </c:pt>
                <c:pt idx="28">
                  <c:v>Anchal</c:v>
                </c:pt>
                <c:pt idx="29">
                  <c:v>Aniket</c:v>
                </c:pt>
                <c:pt idx="30">
                  <c:v>Anisha</c:v>
                </c:pt>
                <c:pt idx="31">
                  <c:v>Anita</c:v>
                </c:pt>
                <c:pt idx="32">
                  <c:v>Anjali</c:v>
                </c:pt>
                <c:pt idx="33">
                  <c:v>Ankit</c:v>
                </c:pt>
                <c:pt idx="34">
                  <c:v>Ankita</c:v>
                </c:pt>
                <c:pt idx="35">
                  <c:v>Ankur</c:v>
                </c:pt>
                <c:pt idx="36">
                  <c:v>Anmol</c:v>
                </c:pt>
                <c:pt idx="37">
                  <c:v>Anubhaw</c:v>
                </c:pt>
                <c:pt idx="38">
                  <c:v>Anudeep</c:v>
                </c:pt>
                <c:pt idx="39">
                  <c:v>Anurag</c:v>
                </c:pt>
                <c:pt idx="40">
                  <c:v>Aparajita</c:v>
                </c:pt>
                <c:pt idx="41">
                  <c:v>Apoorv</c:v>
                </c:pt>
                <c:pt idx="42">
                  <c:v>Apoorva</c:v>
                </c:pt>
                <c:pt idx="43">
                  <c:v>Apsingekar</c:v>
                </c:pt>
                <c:pt idx="44">
                  <c:v>Arindam</c:v>
                </c:pt>
                <c:pt idx="45">
                  <c:v>Aromal</c:v>
                </c:pt>
                <c:pt idx="46">
                  <c:v>Arpita</c:v>
                </c:pt>
                <c:pt idx="47">
                  <c:v>Arsheen</c:v>
                </c:pt>
                <c:pt idx="48">
                  <c:v>Arti</c:v>
                </c:pt>
                <c:pt idx="49">
                  <c:v>Arun</c:v>
                </c:pt>
                <c:pt idx="50">
                  <c:v>Aryan</c:v>
                </c:pt>
                <c:pt idx="51">
                  <c:v>Ashmeet</c:v>
                </c:pt>
                <c:pt idx="52">
                  <c:v>Ashmi</c:v>
                </c:pt>
                <c:pt idx="53">
                  <c:v>Ashvini</c:v>
                </c:pt>
                <c:pt idx="54">
                  <c:v>Ashwin</c:v>
                </c:pt>
                <c:pt idx="55">
                  <c:v>Asish</c:v>
                </c:pt>
                <c:pt idx="56">
                  <c:v>Atharv</c:v>
                </c:pt>
                <c:pt idx="57">
                  <c:v>Atul</c:v>
                </c:pt>
                <c:pt idx="58">
                  <c:v>Avish</c:v>
                </c:pt>
                <c:pt idx="59">
                  <c:v>Avni</c:v>
                </c:pt>
                <c:pt idx="60">
                  <c:v>Ayush</c:v>
                </c:pt>
                <c:pt idx="61">
                  <c:v>Bathina</c:v>
                </c:pt>
                <c:pt idx="62">
                  <c:v>Bhaggyasree</c:v>
                </c:pt>
                <c:pt idx="63">
                  <c:v>Bharat</c:v>
                </c:pt>
                <c:pt idx="64">
                  <c:v>Bhargav</c:v>
                </c:pt>
                <c:pt idx="65">
                  <c:v>Bhavna</c:v>
                </c:pt>
                <c:pt idx="66">
                  <c:v>Bhawna</c:v>
                </c:pt>
                <c:pt idx="67">
                  <c:v>Bhishm</c:v>
                </c:pt>
                <c:pt idx="68">
                  <c:v>Bhosale</c:v>
                </c:pt>
                <c:pt idx="69">
                  <c:v>Bhutekar</c:v>
                </c:pt>
                <c:pt idx="70">
                  <c:v>Brijesh</c:v>
                </c:pt>
                <c:pt idx="71">
                  <c:v>Chandni</c:v>
                </c:pt>
                <c:pt idx="72">
                  <c:v>Charika</c:v>
                </c:pt>
                <c:pt idx="73">
                  <c:v>Chayanika</c:v>
                </c:pt>
                <c:pt idx="74">
                  <c:v>Chetan</c:v>
                </c:pt>
                <c:pt idx="75">
                  <c:v>Chikku</c:v>
                </c:pt>
                <c:pt idx="76">
                  <c:v>Chirag</c:v>
                </c:pt>
                <c:pt idx="77">
                  <c:v>Daksh</c:v>
                </c:pt>
                <c:pt idx="78">
                  <c:v>Dashyam</c:v>
                </c:pt>
                <c:pt idx="79">
                  <c:v>Deepak</c:v>
                </c:pt>
                <c:pt idx="80">
                  <c:v>Devendra</c:v>
                </c:pt>
                <c:pt idx="81">
                  <c:v>Dhanraj</c:v>
                </c:pt>
                <c:pt idx="82">
                  <c:v>Dheeraj</c:v>
                </c:pt>
                <c:pt idx="83">
                  <c:v>Dhirajendu</c:v>
                </c:pt>
                <c:pt idx="84">
                  <c:v>Dinesh</c:v>
                </c:pt>
                <c:pt idx="85">
                  <c:v>Dipali</c:v>
                </c:pt>
                <c:pt idx="86">
                  <c:v>Divsha</c:v>
                </c:pt>
                <c:pt idx="87">
                  <c:v>Divyansh</c:v>
                </c:pt>
                <c:pt idx="88">
                  <c:v>Divyansha</c:v>
                </c:pt>
                <c:pt idx="89">
                  <c:v>Divyeshkumar</c:v>
                </c:pt>
                <c:pt idx="90">
                  <c:v>Divyeta</c:v>
                </c:pt>
                <c:pt idx="91">
                  <c:v>Diwakar</c:v>
                </c:pt>
                <c:pt idx="92">
                  <c:v>Duhita</c:v>
                </c:pt>
                <c:pt idx="93">
                  <c:v>Ekta</c:v>
                </c:pt>
                <c:pt idx="94">
                  <c:v>Farah</c:v>
                </c:pt>
                <c:pt idx="95">
                  <c:v>Gaurav</c:v>
                </c:pt>
                <c:pt idx="96">
                  <c:v>Geetanjali</c:v>
                </c:pt>
                <c:pt idx="97">
                  <c:v>Ginny</c:v>
                </c:pt>
                <c:pt idx="98">
                  <c:v>Girase</c:v>
                </c:pt>
                <c:pt idx="99">
                  <c:v>Gopal</c:v>
                </c:pt>
                <c:pt idx="100">
                  <c:v>Gunjal</c:v>
                </c:pt>
                <c:pt idx="101">
                  <c:v>Gunjan</c:v>
                </c:pt>
                <c:pt idx="102">
                  <c:v>Harivansh</c:v>
                </c:pt>
                <c:pt idx="103">
                  <c:v>Harsh</c:v>
                </c:pt>
                <c:pt idx="104">
                  <c:v>Harshita</c:v>
                </c:pt>
                <c:pt idx="105">
                  <c:v>Hazel</c:v>
                </c:pt>
                <c:pt idx="106">
                  <c:v>Hemangi</c:v>
                </c:pt>
                <c:pt idx="107">
                  <c:v>Hemant</c:v>
                </c:pt>
                <c:pt idx="108">
                  <c:v>Hitesh</c:v>
                </c:pt>
                <c:pt idx="109">
                  <c:v>Hitika</c:v>
                </c:pt>
                <c:pt idx="110">
                  <c:v>Hrisheekesh</c:v>
                </c:pt>
                <c:pt idx="111">
                  <c:v>Inderpreet</c:v>
                </c:pt>
                <c:pt idx="112">
                  <c:v>Ishit</c:v>
                </c:pt>
                <c:pt idx="113">
                  <c:v>Ishpreet</c:v>
                </c:pt>
                <c:pt idx="114">
                  <c:v>Jahan</c:v>
                </c:pt>
                <c:pt idx="115">
                  <c:v>Jaideep</c:v>
                </c:pt>
                <c:pt idx="116">
                  <c:v>Jay</c:v>
                </c:pt>
                <c:pt idx="117">
                  <c:v>Jayanti</c:v>
                </c:pt>
                <c:pt idx="118">
                  <c:v>Jaydeep</c:v>
                </c:pt>
                <c:pt idx="119">
                  <c:v>Jesal</c:v>
                </c:pt>
                <c:pt idx="120">
                  <c:v>Jesslyn</c:v>
                </c:pt>
                <c:pt idx="121">
                  <c:v>Jitesh</c:v>
                </c:pt>
                <c:pt idx="122">
                  <c:v>K</c:v>
                </c:pt>
                <c:pt idx="123">
                  <c:v>Kajal</c:v>
                </c:pt>
                <c:pt idx="124">
                  <c:v>Kalyani</c:v>
                </c:pt>
                <c:pt idx="125">
                  <c:v>Kanak</c:v>
                </c:pt>
                <c:pt idx="126">
                  <c:v>Karandeep</c:v>
                </c:pt>
                <c:pt idx="127">
                  <c:v>Kartik</c:v>
                </c:pt>
                <c:pt idx="128">
                  <c:v>Kartikay</c:v>
                </c:pt>
                <c:pt idx="129">
                  <c:v>Kasheen</c:v>
                </c:pt>
                <c:pt idx="130">
                  <c:v>Kiran</c:v>
                </c:pt>
                <c:pt idx="131">
                  <c:v>Kirti</c:v>
                </c:pt>
                <c:pt idx="132">
                  <c:v>Kishwar</c:v>
                </c:pt>
                <c:pt idx="133">
                  <c:v>Komal</c:v>
                </c:pt>
                <c:pt idx="134">
                  <c:v>Krishna</c:v>
                </c:pt>
                <c:pt idx="135">
                  <c:v>Kritika</c:v>
                </c:pt>
                <c:pt idx="136">
                  <c:v>Krutika</c:v>
                </c:pt>
                <c:pt idx="137">
                  <c:v>Kshitij</c:v>
                </c:pt>
                <c:pt idx="138">
                  <c:v>Kushal</c:v>
                </c:pt>
                <c:pt idx="139">
                  <c:v>Lalita</c:v>
                </c:pt>
                <c:pt idx="140">
                  <c:v>Lisha</c:v>
                </c:pt>
                <c:pt idx="141">
                  <c:v>Madan Mohan</c:v>
                </c:pt>
                <c:pt idx="142">
                  <c:v>Madhav</c:v>
                </c:pt>
                <c:pt idx="143">
                  <c:v>Madhulika</c:v>
                </c:pt>
                <c:pt idx="144">
                  <c:v>Mahima</c:v>
                </c:pt>
                <c:pt idx="145">
                  <c:v>Maithilee</c:v>
                </c:pt>
                <c:pt idx="146">
                  <c:v>Mane</c:v>
                </c:pt>
                <c:pt idx="147">
                  <c:v>Manibalan</c:v>
                </c:pt>
                <c:pt idx="148">
                  <c:v>Manish</c:v>
                </c:pt>
                <c:pt idx="149">
                  <c:v>Manisha</c:v>
                </c:pt>
                <c:pt idx="150">
                  <c:v>Manjiri</c:v>
                </c:pt>
                <c:pt idx="151">
                  <c:v>Manju</c:v>
                </c:pt>
                <c:pt idx="152">
                  <c:v>Manshul</c:v>
                </c:pt>
                <c:pt idx="153">
                  <c:v>Mansi</c:v>
                </c:pt>
                <c:pt idx="154">
                  <c:v>Masurkar</c:v>
                </c:pt>
                <c:pt idx="155">
                  <c:v>Mayank</c:v>
                </c:pt>
                <c:pt idx="156">
                  <c:v>Megha</c:v>
                </c:pt>
                <c:pt idx="157">
                  <c:v>Meghana</c:v>
                </c:pt>
                <c:pt idx="158">
                  <c:v>Mhatre</c:v>
                </c:pt>
                <c:pt idx="159">
                  <c:v>Mitali</c:v>
                </c:pt>
                <c:pt idx="160">
                  <c:v>Mohan</c:v>
                </c:pt>
                <c:pt idx="161">
                  <c:v>Monica</c:v>
                </c:pt>
                <c:pt idx="162">
                  <c:v>Monisha</c:v>
                </c:pt>
                <c:pt idx="163">
                  <c:v>Monu</c:v>
                </c:pt>
                <c:pt idx="164">
                  <c:v>Moumita</c:v>
                </c:pt>
                <c:pt idx="165">
                  <c:v>Mousam</c:v>
                </c:pt>
                <c:pt idx="166">
                  <c:v>Mrinal</c:v>
                </c:pt>
                <c:pt idx="167">
                  <c:v>Mrunal</c:v>
                </c:pt>
                <c:pt idx="168">
                  <c:v>Mugdha</c:v>
                </c:pt>
                <c:pt idx="169">
                  <c:v>Mukesh</c:v>
                </c:pt>
                <c:pt idx="170">
                  <c:v>Mukund</c:v>
                </c:pt>
                <c:pt idx="171">
                  <c:v>Muskan</c:v>
                </c:pt>
                <c:pt idx="172">
                  <c:v>Namrata</c:v>
                </c:pt>
                <c:pt idx="173">
                  <c:v>Nandita</c:v>
                </c:pt>
                <c:pt idx="174">
                  <c:v>Navdeep</c:v>
                </c:pt>
                <c:pt idx="175">
                  <c:v>Neha</c:v>
                </c:pt>
                <c:pt idx="176">
                  <c:v>Nida</c:v>
                </c:pt>
                <c:pt idx="177">
                  <c:v>Nidhi</c:v>
                </c:pt>
                <c:pt idx="178">
                  <c:v>Nikhil</c:v>
                </c:pt>
                <c:pt idx="179">
                  <c:v>Nikita</c:v>
                </c:pt>
                <c:pt idx="180">
                  <c:v>Nirja</c:v>
                </c:pt>
                <c:pt idx="181">
                  <c:v>Nishant</c:v>
                </c:pt>
                <c:pt idx="182">
                  <c:v>Nishi</c:v>
                </c:pt>
                <c:pt idx="183">
                  <c:v>Nitant</c:v>
                </c:pt>
                <c:pt idx="184">
                  <c:v>Noopur</c:v>
                </c:pt>
                <c:pt idx="185">
                  <c:v>Noshiba</c:v>
                </c:pt>
                <c:pt idx="186">
                  <c:v>Nripraj</c:v>
                </c:pt>
                <c:pt idx="187">
                  <c:v>Omkar</c:v>
                </c:pt>
                <c:pt idx="188">
                  <c:v>Oshin</c:v>
                </c:pt>
                <c:pt idx="189">
                  <c:v>Palak</c:v>
                </c:pt>
                <c:pt idx="190">
                  <c:v>Parakh</c:v>
                </c:pt>
                <c:pt idx="191">
                  <c:v>Paridhi</c:v>
                </c:pt>
                <c:pt idx="192">
                  <c:v>Parin</c:v>
                </c:pt>
                <c:pt idx="193">
                  <c:v>Parishi</c:v>
                </c:pt>
                <c:pt idx="194">
                  <c:v>Parna</c:v>
                </c:pt>
                <c:pt idx="195">
                  <c:v>Parnavi</c:v>
                </c:pt>
                <c:pt idx="196">
                  <c:v>Paromita</c:v>
                </c:pt>
                <c:pt idx="197">
                  <c:v>Parth</c:v>
                </c:pt>
                <c:pt idx="198">
                  <c:v>Patil</c:v>
                </c:pt>
                <c:pt idx="199">
                  <c:v>Pearl</c:v>
                </c:pt>
                <c:pt idx="200">
                  <c:v>Phalguni</c:v>
                </c:pt>
                <c:pt idx="201">
                  <c:v>Pinky</c:v>
                </c:pt>
                <c:pt idx="202">
                  <c:v>Piyali</c:v>
                </c:pt>
                <c:pt idx="203">
                  <c:v>Piyam</c:v>
                </c:pt>
                <c:pt idx="204">
                  <c:v>Pooja</c:v>
                </c:pt>
                <c:pt idx="205">
                  <c:v>Pournamasi</c:v>
                </c:pt>
                <c:pt idx="206">
                  <c:v>Pradeep</c:v>
                </c:pt>
                <c:pt idx="207">
                  <c:v>Prajakta</c:v>
                </c:pt>
                <c:pt idx="208">
                  <c:v>Pranav</c:v>
                </c:pt>
                <c:pt idx="209">
                  <c:v>Praneet</c:v>
                </c:pt>
                <c:pt idx="210">
                  <c:v>Pranjali</c:v>
                </c:pt>
                <c:pt idx="211">
                  <c:v>Prashant</c:v>
                </c:pt>
                <c:pt idx="212">
                  <c:v>Pratiksha</c:v>
                </c:pt>
                <c:pt idx="213">
                  <c:v>Pratyusmita</c:v>
                </c:pt>
                <c:pt idx="214">
                  <c:v>Preksha</c:v>
                </c:pt>
                <c:pt idx="215">
                  <c:v>Priyanka</c:v>
                </c:pt>
                <c:pt idx="216">
                  <c:v>Priyanshu</c:v>
                </c:pt>
                <c:pt idx="217">
                  <c:v>Rachna</c:v>
                </c:pt>
                <c:pt idx="218">
                  <c:v>Rahul</c:v>
                </c:pt>
                <c:pt idx="219">
                  <c:v>Raksha</c:v>
                </c:pt>
                <c:pt idx="220">
                  <c:v>Ramesh</c:v>
                </c:pt>
                <c:pt idx="221">
                  <c:v>Rane</c:v>
                </c:pt>
                <c:pt idx="222">
                  <c:v>Rashmi</c:v>
                </c:pt>
                <c:pt idx="223">
                  <c:v>Rhea</c:v>
                </c:pt>
                <c:pt idx="224">
                  <c:v>Rishabh</c:v>
                </c:pt>
                <c:pt idx="225">
                  <c:v>Ritu</c:v>
                </c:pt>
                <c:pt idx="226">
                  <c:v>Riya</c:v>
                </c:pt>
                <c:pt idx="227">
                  <c:v>Rohan</c:v>
                </c:pt>
                <c:pt idx="228">
                  <c:v>Rohit</c:v>
                </c:pt>
                <c:pt idx="229">
                  <c:v>Rutuja</c:v>
                </c:pt>
                <c:pt idx="230">
                  <c:v>Sabah</c:v>
                </c:pt>
                <c:pt idx="231">
                  <c:v>Sagar</c:v>
                </c:pt>
                <c:pt idx="232">
                  <c:v>Sahil</c:v>
                </c:pt>
                <c:pt idx="233">
                  <c:v>Sajal</c:v>
                </c:pt>
                <c:pt idx="234">
                  <c:v>Sakshi</c:v>
                </c:pt>
                <c:pt idx="235">
                  <c:v>Saloni</c:v>
                </c:pt>
                <c:pt idx="236">
                  <c:v>Samiksha</c:v>
                </c:pt>
                <c:pt idx="237">
                  <c:v>Sandeep</c:v>
                </c:pt>
                <c:pt idx="238">
                  <c:v>Sandra</c:v>
                </c:pt>
                <c:pt idx="239">
                  <c:v>Sanjana</c:v>
                </c:pt>
                <c:pt idx="240">
                  <c:v>Sanjay</c:v>
                </c:pt>
                <c:pt idx="241">
                  <c:v>Sanjna</c:v>
                </c:pt>
                <c:pt idx="242">
                  <c:v>Sanjova</c:v>
                </c:pt>
                <c:pt idx="243">
                  <c:v>Sanskriti</c:v>
                </c:pt>
                <c:pt idx="244">
                  <c:v>Saptadeep</c:v>
                </c:pt>
                <c:pt idx="245">
                  <c:v>Sarita</c:v>
                </c:pt>
                <c:pt idx="246">
                  <c:v>Sathya</c:v>
                </c:pt>
                <c:pt idx="247">
                  <c:v>Sauptik</c:v>
                </c:pt>
                <c:pt idx="248">
                  <c:v>Saurabh</c:v>
                </c:pt>
                <c:pt idx="249">
                  <c:v>Savi</c:v>
                </c:pt>
                <c:pt idx="250">
                  <c:v>Shaily</c:v>
                </c:pt>
                <c:pt idx="251">
                  <c:v>Shantanu</c:v>
                </c:pt>
                <c:pt idx="252">
                  <c:v>Sharda</c:v>
                </c:pt>
                <c:pt idx="253">
                  <c:v>Shardul</c:v>
                </c:pt>
                <c:pt idx="254">
                  <c:v>Shatayu</c:v>
                </c:pt>
                <c:pt idx="255">
                  <c:v>Sheetal</c:v>
                </c:pt>
                <c:pt idx="256">
                  <c:v>Shefali</c:v>
                </c:pt>
                <c:pt idx="257">
                  <c:v>Shikhar</c:v>
                </c:pt>
                <c:pt idx="258">
                  <c:v>Shishu</c:v>
                </c:pt>
                <c:pt idx="259">
                  <c:v>Shiva</c:v>
                </c:pt>
                <c:pt idx="260">
                  <c:v>Shivam</c:v>
                </c:pt>
                <c:pt idx="261">
                  <c:v>Shivangi</c:v>
                </c:pt>
                <c:pt idx="262">
                  <c:v>Shivani</c:v>
                </c:pt>
                <c:pt idx="263">
                  <c:v>Shivanshu</c:v>
                </c:pt>
                <c:pt idx="264">
                  <c:v>Shourya</c:v>
                </c:pt>
                <c:pt idx="265">
                  <c:v>Shreya</c:v>
                </c:pt>
                <c:pt idx="266">
                  <c:v>Shreyoshe</c:v>
                </c:pt>
                <c:pt idx="267">
                  <c:v>Shreyshi</c:v>
                </c:pt>
                <c:pt idx="268">
                  <c:v>Shrichand</c:v>
                </c:pt>
                <c:pt idx="269">
                  <c:v>Shruti</c:v>
                </c:pt>
                <c:pt idx="270">
                  <c:v>Shubham</c:v>
                </c:pt>
                <c:pt idx="271">
                  <c:v>Shubhi</c:v>
                </c:pt>
                <c:pt idx="272">
                  <c:v>Shweta</c:v>
                </c:pt>
                <c:pt idx="273">
                  <c:v>Shyam</c:v>
                </c:pt>
                <c:pt idx="274">
                  <c:v>Siddharth</c:v>
                </c:pt>
                <c:pt idx="275">
                  <c:v>Sidharth</c:v>
                </c:pt>
                <c:pt idx="276">
                  <c:v>Smriti</c:v>
                </c:pt>
                <c:pt idx="277">
                  <c:v>Sneha</c:v>
                </c:pt>
                <c:pt idx="278">
                  <c:v>Snehal</c:v>
                </c:pt>
                <c:pt idx="279">
                  <c:v>Snel</c:v>
                </c:pt>
                <c:pt idx="280">
                  <c:v>Sonakshi</c:v>
                </c:pt>
                <c:pt idx="281">
                  <c:v>Sonal</c:v>
                </c:pt>
                <c:pt idx="282">
                  <c:v>Soodesh</c:v>
                </c:pt>
                <c:pt idx="283">
                  <c:v>Soumya</c:v>
                </c:pt>
                <c:pt idx="284">
                  <c:v>Soumyabrata</c:v>
                </c:pt>
                <c:pt idx="285">
                  <c:v>Srishti</c:v>
                </c:pt>
                <c:pt idx="286">
                  <c:v>Stuti</c:v>
                </c:pt>
                <c:pt idx="287">
                  <c:v>Subhashree</c:v>
                </c:pt>
                <c:pt idx="288">
                  <c:v>Subhasmita</c:v>
                </c:pt>
                <c:pt idx="289">
                  <c:v>Sudevi</c:v>
                </c:pt>
                <c:pt idx="290">
                  <c:v>Sudheer</c:v>
                </c:pt>
                <c:pt idx="291">
                  <c:v>Sudhir</c:v>
                </c:pt>
                <c:pt idx="292">
                  <c:v>Suhani</c:v>
                </c:pt>
                <c:pt idx="293">
                  <c:v>Sujay</c:v>
                </c:pt>
                <c:pt idx="294">
                  <c:v>Sukant</c:v>
                </c:pt>
                <c:pt idx="295">
                  <c:v>Sukrith</c:v>
                </c:pt>
                <c:pt idx="296">
                  <c:v>Sukruta</c:v>
                </c:pt>
                <c:pt idx="297">
                  <c:v>Suman</c:v>
                </c:pt>
                <c:pt idx="298">
                  <c:v>Sumeet</c:v>
                </c:pt>
                <c:pt idx="299">
                  <c:v>Surabhi</c:v>
                </c:pt>
                <c:pt idx="300">
                  <c:v>Suraj</c:v>
                </c:pt>
                <c:pt idx="301">
                  <c:v>Surbhi</c:v>
                </c:pt>
                <c:pt idx="302">
                  <c:v>Swapnil</c:v>
                </c:pt>
                <c:pt idx="303">
                  <c:v>Swati</c:v>
                </c:pt>
                <c:pt idx="304">
                  <c:v>Sweta</c:v>
                </c:pt>
                <c:pt idx="305">
                  <c:v>Swetha</c:v>
                </c:pt>
                <c:pt idx="306">
                  <c:v>Swetlana</c:v>
                </c:pt>
                <c:pt idx="307">
                  <c:v>Syed</c:v>
                </c:pt>
                <c:pt idx="308">
                  <c:v>Tanushree</c:v>
                </c:pt>
                <c:pt idx="309">
                  <c:v>Tanvi</c:v>
                </c:pt>
                <c:pt idx="310">
                  <c:v>Teena</c:v>
                </c:pt>
                <c:pt idx="311">
                  <c:v>Tejas</c:v>
                </c:pt>
                <c:pt idx="312">
                  <c:v>Tejeswini</c:v>
                </c:pt>
                <c:pt idx="313">
                  <c:v>Trupti</c:v>
                </c:pt>
                <c:pt idx="314">
                  <c:v>Tulika</c:v>
                </c:pt>
                <c:pt idx="315">
                  <c:v>Turumella</c:v>
                </c:pt>
                <c:pt idx="316">
                  <c:v>Tushina</c:v>
                </c:pt>
                <c:pt idx="317">
                  <c:v>Utkarsh</c:v>
                </c:pt>
                <c:pt idx="318">
                  <c:v>Utsav</c:v>
                </c:pt>
                <c:pt idx="319">
                  <c:v>Uudhav</c:v>
                </c:pt>
                <c:pt idx="320">
                  <c:v>Vaibhav</c:v>
                </c:pt>
                <c:pt idx="321">
                  <c:v>Vaibhavi</c:v>
                </c:pt>
                <c:pt idx="322">
                  <c:v>Vandana</c:v>
                </c:pt>
                <c:pt idx="323">
                  <c:v>Vijay</c:v>
                </c:pt>
                <c:pt idx="324">
                  <c:v>Vikash</c:v>
                </c:pt>
                <c:pt idx="325">
                  <c:v>Vineet</c:v>
                </c:pt>
                <c:pt idx="326">
                  <c:v>Vini</c:v>
                </c:pt>
                <c:pt idx="327">
                  <c:v>Vipul</c:v>
                </c:pt>
                <c:pt idx="328">
                  <c:v>Vishakha</c:v>
                </c:pt>
                <c:pt idx="329">
                  <c:v>Vivek</c:v>
                </c:pt>
                <c:pt idx="330">
                  <c:v>Vrinda</c:v>
                </c:pt>
                <c:pt idx="331">
                  <c:v>Wale</c:v>
                </c:pt>
                <c:pt idx="332">
                  <c:v>Yaanvi</c:v>
                </c:pt>
                <c:pt idx="333">
                  <c:v>Yash</c:v>
                </c:pt>
                <c:pt idx="334">
                  <c:v>Yogesh</c:v>
                </c:pt>
                <c:pt idx="335">
                  <c:v>Yohann</c:v>
                </c:pt>
              </c:strCache>
            </c:strRef>
          </c:cat>
          <c:val>
            <c:numRef>
              <c:f>summarization!$H$3:$H$339</c:f>
              <c:numCache>
                <c:formatCode>General</c:formatCode>
                <c:ptCount val="336"/>
                <c:pt idx="0">
                  <c:v>74</c:v>
                </c:pt>
                <c:pt idx="1">
                  <c:v>4701</c:v>
                </c:pt>
                <c:pt idx="2">
                  <c:v>3276</c:v>
                </c:pt>
                <c:pt idx="3">
                  <c:v>556</c:v>
                </c:pt>
                <c:pt idx="4">
                  <c:v>689</c:v>
                </c:pt>
                <c:pt idx="5">
                  <c:v>5691</c:v>
                </c:pt>
                <c:pt idx="6">
                  <c:v>78</c:v>
                </c:pt>
                <c:pt idx="7">
                  <c:v>5597</c:v>
                </c:pt>
                <c:pt idx="8">
                  <c:v>193</c:v>
                </c:pt>
                <c:pt idx="9">
                  <c:v>1521</c:v>
                </c:pt>
                <c:pt idx="10">
                  <c:v>703</c:v>
                </c:pt>
                <c:pt idx="11">
                  <c:v>939</c:v>
                </c:pt>
                <c:pt idx="12">
                  <c:v>1922</c:v>
                </c:pt>
                <c:pt idx="13">
                  <c:v>806</c:v>
                </c:pt>
                <c:pt idx="14">
                  <c:v>27</c:v>
                </c:pt>
                <c:pt idx="15">
                  <c:v>131</c:v>
                </c:pt>
                <c:pt idx="16">
                  <c:v>31</c:v>
                </c:pt>
                <c:pt idx="17">
                  <c:v>52</c:v>
                </c:pt>
                <c:pt idx="18">
                  <c:v>1367</c:v>
                </c:pt>
                <c:pt idx="19">
                  <c:v>1630</c:v>
                </c:pt>
                <c:pt idx="20">
                  <c:v>2148</c:v>
                </c:pt>
                <c:pt idx="21">
                  <c:v>909</c:v>
                </c:pt>
                <c:pt idx="22">
                  <c:v>1934</c:v>
                </c:pt>
                <c:pt idx="23">
                  <c:v>1210</c:v>
                </c:pt>
                <c:pt idx="24">
                  <c:v>2262</c:v>
                </c:pt>
                <c:pt idx="25">
                  <c:v>1318</c:v>
                </c:pt>
                <c:pt idx="26">
                  <c:v>1514</c:v>
                </c:pt>
                <c:pt idx="27">
                  <c:v>16</c:v>
                </c:pt>
                <c:pt idx="28">
                  <c:v>369</c:v>
                </c:pt>
                <c:pt idx="29">
                  <c:v>907</c:v>
                </c:pt>
                <c:pt idx="30">
                  <c:v>193</c:v>
                </c:pt>
                <c:pt idx="31">
                  <c:v>561</c:v>
                </c:pt>
                <c:pt idx="32">
                  <c:v>3537</c:v>
                </c:pt>
                <c:pt idx="33">
                  <c:v>1647</c:v>
                </c:pt>
                <c:pt idx="34">
                  <c:v>437</c:v>
                </c:pt>
                <c:pt idx="35">
                  <c:v>1063</c:v>
                </c:pt>
                <c:pt idx="36">
                  <c:v>50</c:v>
                </c:pt>
                <c:pt idx="37">
                  <c:v>16</c:v>
                </c:pt>
                <c:pt idx="38">
                  <c:v>1441</c:v>
                </c:pt>
                <c:pt idx="39">
                  <c:v>4395</c:v>
                </c:pt>
                <c:pt idx="40">
                  <c:v>465</c:v>
                </c:pt>
                <c:pt idx="41">
                  <c:v>108</c:v>
                </c:pt>
                <c:pt idx="42">
                  <c:v>345</c:v>
                </c:pt>
                <c:pt idx="43">
                  <c:v>478</c:v>
                </c:pt>
                <c:pt idx="44">
                  <c:v>34</c:v>
                </c:pt>
                <c:pt idx="45">
                  <c:v>166</c:v>
                </c:pt>
                <c:pt idx="46">
                  <c:v>1301</c:v>
                </c:pt>
                <c:pt idx="47">
                  <c:v>418</c:v>
                </c:pt>
                <c:pt idx="48">
                  <c:v>1298</c:v>
                </c:pt>
                <c:pt idx="49">
                  <c:v>85</c:v>
                </c:pt>
                <c:pt idx="50">
                  <c:v>149</c:v>
                </c:pt>
                <c:pt idx="51">
                  <c:v>459</c:v>
                </c:pt>
                <c:pt idx="52">
                  <c:v>172</c:v>
                </c:pt>
                <c:pt idx="53">
                  <c:v>22</c:v>
                </c:pt>
                <c:pt idx="54">
                  <c:v>11</c:v>
                </c:pt>
                <c:pt idx="55">
                  <c:v>965</c:v>
                </c:pt>
                <c:pt idx="56">
                  <c:v>2584</c:v>
                </c:pt>
                <c:pt idx="57">
                  <c:v>1034</c:v>
                </c:pt>
                <c:pt idx="58">
                  <c:v>993</c:v>
                </c:pt>
                <c:pt idx="59">
                  <c:v>76</c:v>
                </c:pt>
                <c:pt idx="60">
                  <c:v>3511</c:v>
                </c:pt>
                <c:pt idx="61">
                  <c:v>425</c:v>
                </c:pt>
                <c:pt idx="62">
                  <c:v>715</c:v>
                </c:pt>
                <c:pt idx="63">
                  <c:v>1579</c:v>
                </c:pt>
                <c:pt idx="64">
                  <c:v>152</c:v>
                </c:pt>
                <c:pt idx="65">
                  <c:v>307</c:v>
                </c:pt>
                <c:pt idx="66">
                  <c:v>3599</c:v>
                </c:pt>
                <c:pt idx="67">
                  <c:v>4907</c:v>
                </c:pt>
                <c:pt idx="68">
                  <c:v>282</c:v>
                </c:pt>
                <c:pt idx="69">
                  <c:v>71</c:v>
                </c:pt>
                <c:pt idx="70">
                  <c:v>761</c:v>
                </c:pt>
                <c:pt idx="71">
                  <c:v>2390</c:v>
                </c:pt>
                <c:pt idx="72">
                  <c:v>768</c:v>
                </c:pt>
                <c:pt idx="73">
                  <c:v>166</c:v>
                </c:pt>
                <c:pt idx="74">
                  <c:v>497</c:v>
                </c:pt>
                <c:pt idx="75">
                  <c:v>724</c:v>
                </c:pt>
                <c:pt idx="76">
                  <c:v>3192</c:v>
                </c:pt>
                <c:pt idx="77">
                  <c:v>133</c:v>
                </c:pt>
                <c:pt idx="78">
                  <c:v>1430</c:v>
                </c:pt>
                <c:pt idx="79">
                  <c:v>1013</c:v>
                </c:pt>
                <c:pt idx="80">
                  <c:v>373</c:v>
                </c:pt>
                <c:pt idx="81">
                  <c:v>632</c:v>
                </c:pt>
                <c:pt idx="82">
                  <c:v>119</c:v>
                </c:pt>
                <c:pt idx="83">
                  <c:v>96</c:v>
                </c:pt>
                <c:pt idx="84">
                  <c:v>12</c:v>
                </c:pt>
                <c:pt idx="85">
                  <c:v>57</c:v>
                </c:pt>
                <c:pt idx="86">
                  <c:v>968</c:v>
                </c:pt>
                <c:pt idx="87">
                  <c:v>367</c:v>
                </c:pt>
                <c:pt idx="88">
                  <c:v>465</c:v>
                </c:pt>
                <c:pt idx="89">
                  <c:v>248</c:v>
                </c:pt>
                <c:pt idx="90">
                  <c:v>1757</c:v>
                </c:pt>
                <c:pt idx="91">
                  <c:v>2342</c:v>
                </c:pt>
                <c:pt idx="92">
                  <c:v>50</c:v>
                </c:pt>
                <c:pt idx="93">
                  <c:v>694</c:v>
                </c:pt>
                <c:pt idx="94">
                  <c:v>4675</c:v>
                </c:pt>
                <c:pt idx="95">
                  <c:v>3529</c:v>
                </c:pt>
                <c:pt idx="96">
                  <c:v>103</c:v>
                </c:pt>
                <c:pt idx="97">
                  <c:v>381</c:v>
                </c:pt>
                <c:pt idx="98">
                  <c:v>1678</c:v>
                </c:pt>
                <c:pt idx="99">
                  <c:v>4836</c:v>
                </c:pt>
                <c:pt idx="100">
                  <c:v>118</c:v>
                </c:pt>
                <c:pt idx="101">
                  <c:v>31</c:v>
                </c:pt>
                <c:pt idx="102">
                  <c:v>9902</c:v>
                </c:pt>
                <c:pt idx="103">
                  <c:v>1593</c:v>
                </c:pt>
                <c:pt idx="104">
                  <c:v>504</c:v>
                </c:pt>
                <c:pt idx="105">
                  <c:v>944</c:v>
                </c:pt>
                <c:pt idx="106">
                  <c:v>13</c:v>
                </c:pt>
                <c:pt idx="107">
                  <c:v>1643</c:v>
                </c:pt>
                <c:pt idx="108">
                  <c:v>3548</c:v>
                </c:pt>
                <c:pt idx="109">
                  <c:v>1160</c:v>
                </c:pt>
                <c:pt idx="110">
                  <c:v>911</c:v>
                </c:pt>
                <c:pt idx="111">
                  <c:v>48</c:v>
                </c:pt>
                <c:pt idx="112">
                  <c:v>188</c:v>
                </c:pt>
                <c:pt idx="113">
                  <c:v>3003</c:v>
                </c:pt>
                <c:pt idx="114">
                  <c:v>3007</c:v>
                </c:pt>
                <c:pt idx="115">
                  <c:v>177</c:v>
                </c:pt>
                <c:pt idx="116">
                  <c:v>3574</c:v>
                </c:pt>
                <c:pt idx="117">
                  <c:v>100</c:v>
                </c:pt>
                <c:pt idx="118">
                  <c:v>30</c:v>
                </c:pt>
                <c:pt idx="119">
                  <c:v>1782</c:v>
                </c:pt>
                <c:pt idx="120">
                  <c:v>115</c:v>
                </c:pt>
                <c:pt idx="121">
                  <c:v>1414</c:v>
                </c:pt>
                <c:pt idx="122">
                  <c:v>336</c:v>
                </c:pt>
                <c:pt idx="123">
                  <c:v>889</c:v>
                </c:pt>
                <c:pt idx="124">
                  <c:v>484</c:v>
                </c:pt>
                <c:pt idx="125">
                  <c:v>699</c:v>
                </c:pt>
                <c:pt idx="126">
                  <c:v>244</c:v>
                </c:pt>
                <c:pt idx="127">
                  <c:v>2308</c:v>
                </c:pt>
                <c:pt idx="128">
                  <c:v>890</c:v>
                </c:pt>
                <c:pt idx="129">
                  <c:v>958</c:v>
                </c:pt>
                <c:pt idx="130">
                  <c:v>490</c:v>
                </c:pt>
                <c:pt idx="131">
                  <c:v>3216</c:v>
                </c:pt>
                <c:pt idx="132">
                  <c:v>1013</c:v>
                </c:pt>
                <c:pt idx="133">
                  <c:v>531</c:v>
                </c:pt>
                <c:pt idx="134">
                  <c:v>145</c:v>
                </c:pt>
                <c:pt idx="135">
                  <c:v>124</c:v>
                </c:pt>
                <c:pt idx="136">
                  <c:v>3112</c:v>
                </c:pt>
                <c:pt idx="137">
                  <c:v>259</c:v>
                </c:pt>
                <c:pt idx="138">
                  <c:v>1383</c:v>
                </c:pt>
                <c:pt idx="139">
                  <c:v>5809</c:v>
                </c:pt>
                <c:pt idx="140">
                  <c:v>1729</c:v>
                </c:pt>
                <c:pt idx="141">
                  <c:v>7766</c:v>
                </c:pt>
                <c:pt idx="142">
                  <c:v>9365</c:v>
                </c:pt>
                <c:pt idx="143">
                  <c:v>1549</c:v>
                </c:pt>
                <c:pt idx="144">
                  <c:v>2223</c:v>
                </c:pt>
                <c:pt idx="145">
                  <c:v>174</c:v>
                </c:pt>
                <c:pt idx="146">
                  <c:v>391</c:v>
                </c:pt>
                <c:pt idx="147">
                  <c:v>189</c:v>
                </c:pt>
                <c:pt idx="148">
                  <c:v>55</c:v>
                </c:pt>
                <c:pt idx="149">
                  <c:v>662</c:v>
                </c:pt>
                <c:pt idx="150">
                  <c:v>387</c:v>
                </c:pt>
                <c:pt idx="151">
                  <c:v>2084</c:v>
                </c:pt>
                <c:pt idx="152">
                  <c:v>844</c:v>
                </c:pt>
                <c:pt idx="153">
                  <c:v>291</c:v>
                </c:pt>
                <c:pt idx="154">
                  <c:v>121</c:v>
                </c:pt>
                <c:pt idx="155">
                  <c:v>1629</c:v>
                </c:pt>
                <c:pt idx="156">
                  <c:v>1057</c:v>
                </c:pt>
                <c:pt idx="157">
                  <c:v>139</c:v>
                </c:pt>
                <c:pt idx="158">
                  <c:v>1133</c:v>
                </c:pt>
                <c:pt idx="159">
                  <c:v>1076</c:v>
                </c:pt>
                <c:pt idx="160">
                  <c:v>3673</c:v>
                </c:pt>
                <c:pt idx="161">
                  <c:v>1397</c:v>
                </c:pt>
                <c:pt idx="162">
                  <c:v>587</c:v>
                </c:pt>
                <c:pt idx="163">
                  <c:v>1246</c:v>
                </c:pt>
                <c:pt idx="164">
                  <c:v>234</c:v>
                </c:pt>
                <c:pt idx="165">
                  <c:v>47</c:v>
                </c:pt>
                <c:pt idx="166">
                  <c:v>1895</c:v>
                </c:pt>
                <c:pt idx="167">
                  <c:v>582</c:v>
                </c:pt>
                <c:pt idx="168">
                  <c:v>71</c:v>
                </c:pt>
                <c:pt idx="169">
                  <c:v>2101</c:v>
                </c:pt>
                <c:pt idx="170">
                  <c:v>152</c:v>
                </c:pt>
                <c:pt idx="171">
                  <c:v>2268</c:v>
                </c:pt>
                <c:pt idx="172">
                  <c:v>30</c:v>
                </c:pt>
                <c:pt idx="173">
                  <c:v>309</c:v>
                </c:pt>
                <c:pt idx="174">
                  <c:v>482</c:v>
                </c:pt>
                <c:pt idx="175">
                  <c:v>3350</c:v>
                </c:pt>
                <c:pt idx="176">
                  <c:v>1201</c:v>
                </c:pt>
                <c:pt idx="177">
                  <c:v>1329</c:v>
                </c:pt>
                <c:pt idx="178">
                  <c:v>61</c:v>
                </c:pt>
                <c:pt idx="179">
                  <c:v>902</c:v>
                </c:pt>
                <c:pt idx="180">
                  <c:v>79</c:v>
                </c:pt>
                <c:pt idx="181">
                  <c:v>1136</c:v>
                </c:pt>
                <c:pt idx="182">
                  <c:v>669</c:v>
                </c:pt>
                <c:pt idx="183">
                  <c:v>420</c:v>
                </c:pt>
                <c:pt idx="184">
                  <c:v>1607</c:v>
                </c:pt>
                <c:pt idx="185">
                  <c:v>58</c:v>
                </c:pt>
                <c:pt idx="186">
                  <c:v>1619</c:v>
                </c:pt>
                <c:pt idx="187">
                  <c:v>196</c:v>
                </c:pt>
                <c:pt idx="188">
                  <c:v>1904</c:v>
                </c:pt>
                <c:pt idx="189">
                  <c:v>263</c:v>
                </c:pt>
                <c:pt idx="190">
                  <c:v>86</c:v>
                </c:pt>
                <c:pt idx="191">
                  <c:v>3651</c:v>
                </c:pt>
                <c:pt idx="192">
                  <c:v>1404</c:v>
                </c:pt>
                <c:pt idx="193">
                  <c:v>4741</c:v>
                </c:pt>
                <c:pt idx="194">
                  <c:v>975</c:v>
                </c:pt>
                <c:pt idx="195">
                  <c:v>87</c:v>
                </c:pt>
                <c:pt idx="196">
                  <c:v>811</c:v>
                </c:pt>
                <c:pt idx="197">
                  <c:v>5161</c:v>
                </c:pt>
                <c:pt idx="198">
                  <c:v>220</c:v>
                </c:pt>
                <c:pt idx="199">
                  <c:v>233</c:v>
                </c:pt>
                <c:pt idx="200">
                  <c:v>40</c:v>
                </c:pt>
                <c:pt idx="201">
                  <c:v>3160</c:v>
                </c:pt>
                <c:pt idx="202">
                  <c:v>610</c:v>
                </c:pt>
                <c:pt idx="203">
                  <c:v>193</c:v>
                </c:pt>
                <c:pt idx="204">
                  <c:v>3416</c:v>
                </c:pt>
                <c:pt idx="205">
                  <c:v>2286</c:v>
                </c:pt>
                <c:pt idx="206">
                  <c:v>179</c:v>
                </c:pt>
                <c:pt idx="207">
                  <c:v>148</c:v>
                </c:pt>
                <c:pt idx="208">
                  <c:v>1493</c:v>
                </c:pt>
                <c:pt idx="209">
                  <c:v>743</c:v>
                </c:pt>
                <c:pt idx="210">
                  <c:v>1250</c:v>
                </c:pt>
                <c:pt idx="211">
                  <c:v>1165</c:v>
                </c:pt>
                <c:pt idx="212">
                  <c:v>53</c:v>
                </c:pt>
                <c:pt idx="213">
                  <c:v>1570</c:v>
                </c:pt>
                <c:pt idx="214">
                  <c:v>102</c:v>
                </c:pt>
                <c:pt idx="215">
                  <c:v>5762</c:v>
                </c:pt>
                <c:pt idx="216">
                  <c:v>1392</c:v>
                </c:pt>
                <c:pt idx="217">
                  <c:v>47</c:v>
                </c:pt>
                <c:pt idx="218">
                  <c:v>105</c:v>
                </c:pt>
                <c:pt idx="219">
                  <c:v>158</c:v>
                </c:pt>
                <c:pt idx="220">
                  <c:v>471</c:v>
                </c:pt>
                <c:pt idx="221">
                  <c:v>105</c:v>
                </c:pt>
                <c:pt idx="222">
                  <c:v>170</c:v>
                </c:pt>
                <c:pt idx="223">
                  <c:v>1544</c:v>
                </c:pt>
                <c:pt idx="224">
                  <c:v>2002</c:v>
                </c:pt>
                <c:pt idx="225">
                  <c:v>265</c:v>
                </c:pt>
                <c:pt idx="226">
                  <c:v>228</c:v>
                </c:pt>
                <c:pt idx="227">
                  <c:v>4901</c:v>
                </c:pt>
                <c:pt idx="228">
                  <c:v>15</c:v>
                </c:pt>
                <c:pt idx="229">
                  <c:v>1511</c:v>
                </c:pt>
                <c:pt idx="230">
                  <c:v>1384</c:v>
                </c:pt>
                <c:pt idx="231">
                  <c:v>439</c:v>
                </c:pt>
                <c:pt idx="232">
                  <c:v>1490</c:v>
                </c:pt>
                <c:pt idx="233">
                  <c:v>42</c:v>
                </c:pt>
                <c:pt idx="234">
                  <c:v>1171</c:v>
                </c:pt>
                <c:pt idx="235">
                  <c:v>17</c:v>
                </c:pt>
                <c:pt idx="236">
                  <c:v>134</c:v>
                </c:pt>
                <c:pt idx="237">
                  <c:v>265</c:v>
                </c:pt>
                <c:pt idx="238">
                  <c:v>325</c:v>
                </c:pt>
                <c:pt idx="239">
                  <c:v>2450</c:v>
                </c:pt>
                <c:pt idx="240">
                  <c:v>517</c:v>
                </c:pt>
                <c:pt idx="241">
                  <c:v>826</c:v>
                </c:pt>
                <c:pt idx="242">
                  <c:v>1259</c:v>
                </c:pt>
                <c:pt idx="243">
                  <c:v>203</c:v>
                </c:pt>
                <c:pt idx="244">
                  <c:v>404</c:v>
                </c:pt>
                <c:pt idx="245">
                  <c:v>5449</c:v>
                </c:pt>
                <c:pt idx="246">
                  <c:v>388</c:v>
                </c:pt>
                <c:pt idx="247">
                  <c:v>3287</c:v>
                </c:pt>
                <c:pt idx="248">
                  <c:v>203</c:v>
                </c:pt>
                <c:pt idx="249">
                  <c:v>1361</c:v>
                </c:pt>
                <c:pt idx="250">
                  <c:v>1777</c:v>
                </c:pt>
                <c:pt idx="251">
                  <c:v>315</c:v>
                </c:pt>
                <c:pt idx="252">
                  <c:v>1715</c:v>
                </c:pt>
                <c:pt idx="253">
                  <c:v>1907</c:v>
                </c:pt>
                <c:pt idx="254">
                  <c:v>1571</c:v>
                </c:pt>
                <c:pt idx="255">
                  <c:v>2756</c:v>
                </c:pt>
                <c:pt idx="256">
                  <c:v>220</c:v>
                </c:pt>
                <c:pt idx="257">
                  <c:v>820</c:v>
                </c:pt>
                <c:pt idx="258">
                  <c:v>3803</c:v>
                </c:pt>
                <c:pt idx="259">
                  <c:v>6339</c:v>
                </c:pt>
                <c:pt idx="260">
                  <c:v>1587</c:v>
                </c:pt>
                <c:pt idx="261">
                  <c:v>1130</c:v>
                </c:pt>
                <c:pt idx="262">
                  <c:v>251</c:v>
                </c:pt>
                <c:pt idx="263">
                  <c:v>3266</c:v>
                </c:pt>
                <c:pt idx="264">
                  <c:v>3204</c:v>
                </c:pt>
                <c:pt idx="265">
                  <c:v>4365</c:v>
                </c:pt>
                <c:pt idx="266">
                  <c:v>1582</c:v>
                </c:pt>
                <c:pt idx="267">
                  <c:v>3343</c:v>
                </c:pt>
                <c:pt idx="268">
                  <c:v>3828</c:v>
                </c:pt>
                <c:pt idx="269">
                  <c:v>5750</c:v>
                </c:pt>
                <c:pt idx="270">
                  <c:v>3387</c:v>
                </c:pt>
                <c:pt idx="271">
                  <c:v>180</c:v>
                </c:pt>
                <c:pt idx="272">
                  <c:v>2293</c:v>
                </c:pt>
                <c:pt idx="273">
                  <c:v>101</c:v>
                </c:pt>
                <c:pt idx="274">
                  <c:v>1921</c:v>
                </c:pt>
                <c:pt idx="275">
                  <c:v>73</c:v>
                </c:pt>
                <c:pt idx="276">
                  <c:v>147</c:v>
                </c:pt>
                <c:pt idx="277">
                  <c:v>806</c:v>
                </c:pt>
                <c:pt idx="278">
                  <c:v>38</c:v>
                </c:pt>
                <c:pt idx="279">
                  <c:v>1245</c:v>
                </c:pt>
                <c:pt idx="280">
                  <c:v>237</c:v>
                </c:pt>
                <c:pt idx="281">
                  <c:v>2069</c:v>
                </c:pt>
                <c:pt idx="282">
                  <c:v>94</c:v>
                </c:pt>
                <c:pt idx="283">
                  <c:v>530</c:v>
                </c:pt>
                <c:pt idx="284">
                  <c:v>1510</c:v>
                </c:pt>
                <c:pt idx="285">
                  <c:v>416</c:v>
                </c:pt>
                <c:pt idx="286">
                  <c:v>351</c:v>
                </c:pt>
                <c:pt idx="287">
                  <c:v>529</c:v>
                </c:pt>
                <c:pt idx="288">
                  <c:v>167</c:v>
                </c:pt>
                <c:pt idx="289">
                  <c:v>365</c:v>
                </c:pt>
                <c:pt idx="290">
                  <c:v>477</c:v>
                </c:pt>
                <c:pt idx="291">
                  <c:v>1969</c:v>
                </c:pt>
                <c:pt idx="292">
                  <c:v>171</c:v>
                </c:pt>
                <c:pt idx="293">
                  <c:v>2233</c:v>
                </c:pt>
                <c:pt idx="294">
                  <c:v>276</c:v>
                </c:pt>
                <c:pt idx="295">
                  <c:v>1721</c:v>
                </c:pt>
                <c:pt idx="296">
                  <c:v>277</c:v>
                </c:pt>
                <c:pt idx="297">
                  <c:v>207</c:v>
                </c:pt>
                <c:pt idx="298">
                  <c:v>24</c:v>
                </c:pt>
                <c:pt idx="299">
                  <c:v>3550</c:v>
                </c:pt>
                <c:pt idx="300">
                  <c:v>468</c:v>
                </c:pt>
                <c:pt idx="301">
                  <c:v>1309</c:v>
                </c:pt>
                <c:pt idx="302">
                  <c:v>1534</c:v>
                </c:pt>
                <c:pt idx="303">
                  <c:v>86</c:v>
                </c:pt>
                <c:pt idx="304">
                  <c:v>808</c:v>
                </c:pt>
                <c:pt idx="305">
                  <c:v>352</c:v>
                </c:pt>
                <c:pt idx="306">
                  <c:v>31</c:v>
                </c:pt>
                <c:pt idx="307">
                  <c:v>169</c:v>
                </c:pt>
                <c:pt idx="308">
                  <c:v>637</c:v>
                </c:pt>
                <c:pt idx="309">
                  <c:v>934</c:v>
                </c:pt>
                <c:pt idx="310">
                  <c:v>137</c:v>
                </c:pt>
                <c:pt idx="311">
                  <c:v>34</c:v>
                </c:pt>
                <c:pt idx="312">
                  <c:v>1116</c:v>
                </c:pt>
                <c:pt idx="313">
                  <c:v>2017</c:v>
                </c:pt>
                <c:pt idx="314">
                  <c:v>4668</c:v>
                </c:pt>
                <c:pt idx="315">
                  <c:v>384</c:v>
                </c:pt>
                <c:pt idx="316">
                  <c:v>600</c:v>
                </c:pt>
                <c:pt idx="317">
                  <c:v>80</c:v>
                </c:pt>
                <c:pt idx="318">
                  <c:v>126</c:v>
                </c:pt>
                <c:pt idx="319">
                  <c:v>3598</c:v>
                </c:pt>
                <c:pt idx="320">
                  <c:v>3065</c:v>
                </c:pt>
                <c:pt idx="321">
                  <c:v>148</c:v>
                </c:pt>
                <c:pt idx="322">
                  <c:v>1456</c:v>
                </c:pt>
                <c:pt idx="323">
                  <c:v>1995</c:v>
                </c:pt>
                <c:pt idx="324">
                  <c:v>1350</c:v>
                </c:pt>
                <c:pt idx="325">
                  <c:v>666</c:v>
                </c:pt>
                <c:pt idx="326">
                  <c:v>2139</c:v>
                </c:pt>
                <c:pt idx="327">
                  <c:v>16</c:v>
                </c:pt>
                <c:pt idx="328">
                  <c:v>6120</c:v>
                </c:pt>
                <c:pt idx="329">
                  <c:v>114</c:v>
                </c:pt>
                <c:pt idx="330">
                  <c:v>5820</c:v>
                </c:pt>
                <c:pt idx="331">
                  <c:v>130</c:v>
                </c:pt>
                <c:pt idx="332">
                  <c:v>675</c:v>
                </c:pt>
                <c:pt idx="333">
                  <c:v>789</c:v>
                </c:pt>
                <c:pt idx="334">
                  <c:v>5421</c:v>
                </c:pt>
                <c:pt idx="335">
                  <c:v>1314</c:v>
                </c:pt>
              </c:numCache>
            </c:numRef>
          </c:val>
          <c:extLst>
            <c:ext xmlns:c16="http://schemas.microsoft.com/office/drawing/2014/chart" uri="{C3380CC4-5D6E-409C-BE32-E72D297353CC}">
              <c16:uniqueId val="{00000000-F847-4C96-85DC-D1110BD160DA}"/>
            </c:ext>
          </c:extLst>
        </c:ser>
        <c:dLbls>
          <c:showLegendKey val="0"/>
          <c:showVal val="0"/>
          <c:showCatName val="0"/>
          <c:showSerName val="0"/>
          <c:showPercent val="0"/>
          <c:showBubbleSize val="0"/>
        </c:dLbls>
        <c:gapWidth val="219"/>
        <c:overlap val="-27"/>
        <c:axId val="489603728"/>
        <c:axId val="835074480"/>
      </c:barChart>
      <c:catAx>
        <c:axId val="48960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0" i="0" u="none" strike="noStrike" kern="1200" baseline="0">
                <a:solidFill>
                  <a:schemeClr val="bg1">
                    <a:lumMod val="95000"/>
                  </a:schemeClr>
                </a:solidFill>
                <a:latin typeface="+mn-lt"/>
                <a:ea typeface="+mn-ea"/>
                <a:cs typeface="+mn-cs"/>
              </a:defRPr>
            </a:pPr>
            <a:endParaRPr lang="en-US"/>
          </a:p>
        </c:txPr>
        <c:crossAx val="835074480"/>
        <c:crosses val="autoZero"/>
        <c:auto val="1"/>
        <c:lblAlgn val="ctr"/>
        <c:lblOffset val="100"/>
        <c:noMultiLvlLbl val="0"/>
      </c:catAx>
      <c:valAx>
        <c:axId val="83507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bg1">
                    <a:lumMod val="95000"/>
                  </a:schemeClr>
                </a:solidFill>
                <a:latin typeface="+mn-lt"/>
                <a:ea typeface="+mn-ea"/>
                <a:cs typeface="+mn-cs"/>
              </a:defRPr>
            </a:pPr>
            <a:endParaRPr lang="en-US"/>
          </a:p>
        </c:txPr>
        <c:crossAx val="48960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[Details.xlsx]summarization!PivotTable2</c:name>
    <c:fmtId val="10"/>
  </c:pivotSource>
  <c:chart>
    <c:title>
      <c:tx>
        <c:rich>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r>
              <a:rPr lang="en-US" sz="1400" b="0" i="0" u="none" strike="noStrike" kern="1200" cap="all" spc="0" baseline="0">
                <a:solidFill>
                  <a:schemeClr val="bg1">
                    <a:lumMod val="95000"/>
                  </a:schemeClr>
                </a:solidFill>
                <a:latin typeface="+mn-lt"/>
                <a:ea typeface="+mn-ea"/>
                <a:cs typeface="+mn-cs"/>
              </a:rPr>
              <a:t>Profit By Each Month</a:t>
            </a:r>
          </a:p>
        </c:rich>
      </c:tx>
      <c:overlay val="0"/>
      <c:spPr>
        <a:noFill/>
        <a:ln>
          <a:noFill/>
        </a:ln>
        <a:effectLst/>
      </c:spPr>
      <c:txPr>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prstDash val="solid"/>
            <a:round/>
          </a:ln>
          <a:effectLst>
            <a:glow rad="1397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2"/>
            </a:solidFill>
            <a:prstDash val="solid"/>
            <a:round/>
          </a:ln>
          <a:effectLst>
            <a:glow rad="139700">
              <a:schemeClr val="accent2">
                <a:satMod val="175000"/>
                <a:alpha val="40000"/>
              </a:schemeClr>
            </a:glow>
          </a:effectLst>
        </c:spPr>
        <c:marker>
          <c:symbol val="none"/>
        </c:marker>
      </c:pivotFmt>
    </c:pivotFmts>
    <c:plotArea>
      <c:layout/>
      <c:lineChart>
        <c:grouping val="standard"/>
        <c:varyColors val="0"/>
        <c:ser>
          <c:idx val="0"/>
          <c:order val="0"/>
          <c:tx>
            <c:strRef>
              <c:f>summarization!$E$2</c:f>
              <c:strCache>
                <c:ptCount val="1"/>
                <c:pt idx="0">
                  <c:v>Total</c:v>
                </c:pt>
              </c:strCache>
            </c:strRef>
          </c:tx>
          <c:spPr>
            <a:ln w="22225" cap="rnd" cmpd="sng" algn="ctr">
              <a:solidFill>
                <a:schemeClr val="accent2"/>
              </a:solidFill>
              <a:prstDash val="solid"/>
              <a:round/>
            </a:ln>
            <a:effectLst>
              <a:glow rad="139700">
                <a:schemeClr val="accent2">
                  <a:satMod val="175000"/>
                  <a:alpha val="40000"/>
                </a:schemeClr>
              </a:glow>
            </a:effectLst>
          </c:spPr>
          <c:marker>
            <c:symbol val="none"/>
          </c:marker>
          <c:cat>
            <c:strRef>
              <c:f>summarization!$D$3:$D$15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summarization!$E$3:$E$15</c:f>
              <c:numCache>
                <c:formatCode>General</c:formatCode>
                <c:ptCount val="12"/>
                <c:pt idx="0">
                  <c:v>9684</c:v>
                </c:pt>
                <c:pt idx="1">
                  <c:v>8465</c:v>
                </c:pt>
                <c:pt idx="2">
                  <c:v>7793</c:v>
                </c:pt>
                <c:pt idx="3">
                  <c:v>4192</c:v>
                </c:pt>
                <c:pt idx="4">
                  <c:v>-3730</c:v>
                </c:pt>
                <c:pt idx="5">
                  <c:v>420</c:v>
                </c:pt>
                <c:pt idx="6">
                  <c:v>-2138</c:v>
                </c:pt>
                <c:pt idx="7">
                  <c:v>2068</c:v>
                </c:pt>
                <c:pt idx="8">
                  <c:v>-1399</c:v>
                </c:pt>
                <c:pt idx="9">
                  <c:v>2959</c:v>
                </c:pt>
                <c:pt idx="10">
                  <c:v>10253</c:v>
                </c:pt>
                <c:pt idx="11">
                  <c:v>-1604</c:v>
                </c:pt>
              </c:numCache>
            </c:numRef>
          </c:val>
          <c:smooth val="0"/>
          <c:extLst>
            <c:ext xmlns:c16="http://schemas.microsoft.com/office/drawing/2014/chart" uri="{C3380CC4-5D6E-409C-BE32-E72D297353CC}">
              <c16:uniqueId val="{00000000-7195-4018-9BD1-96042E484E17}"/>
            </c:ext>
          </c:extLst>
        </c:ser>
        <c:dLbls>
          <c:showLegendKey val="0"/>
          <c:showVal val="0"/>
          <c:showCatName val="0"/>
          <c:showSerName val="0"/>
          <c:showPercent val="0"/>
          <c:showBubbleSize val="0"/>
        </c:dLbls>
        <c:smooth val="0"/>
        <c:axId val="765258440"/>
        <c:axId val="765253400"/>
      </c:lineChart>
      <c:catAx>
        <c:axId val="765258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0" i="0" u="none" strike="noStrike" kern="1200" baseline="0">
                <a:solidFill>
                  <a:schemeClr val="bg1">
                    <a:lumMod val="95000"/>
                  </a:schemeClr>
                </a:solidFill>
                <a:latin typeface="+mn-lt"/>
                <a:ea typeface="+mn-ea"/>
                <a:cs typeface="+mn-cs"/>
              </a:defRPr>
            </a:pPr>
            <a:endParaRPr lang="en-US"/>
          </a:p>
        </c:txPr>
        <c:crossAx val="765253400"/>
        <c:crosses val="autoZero"/>
        <c:auto val="1"/>
        <c:lblAlgn val="ctr"/>
        <c:lblOffset val="100"/>
        <c:noMultiLvlLbl val="0"/>
      </c:catAx>
      <c:valAx>
        <c:axId val="765253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bg1">
                    <a:lumMod val="95000"/>
                  </a:schemeClr>
                </a:solidFill>
                <a:latin typeface="+mn-lt"/>
                <a:ea typeface="+mn-ea"/>
                <a:cs typeface="+mn-cs"/>
              </a:defRPr>
            </a:pPr>
            <a:endParaRPr lang="en-US"/>
          </a:p>
        </c:txPr>
        <c:crossAx val="765258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[Details.xlsx]summarization!PivotTable4</c:name>
    <c:fmtId val="6"/>
  </c:pivotSource>
  <c:chart>
    <c:title>
      <c:tx>
        <c:rich>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r>
              <a:rPr lang="en-US" sz="1400" b="0" i="0" u="none" strike="noStrike" kern="1200" spc="0" baseline="0">
                <a:solidFill>
                  <a:schemeClr val="bg1">
                    <a:lumMod val="95000"/>
                  </a:schemeClr>
                </a:solidFill>
                <a:latin typeface="+mn-lt"/>
                <a:ea typeface="+mn-ea"/>
                <a:cs typeface="+mn-cs"/>
              </a:rPr>
              <a:t>Quantity By Method</a:t>
            </a:r>
          </a:p>
        </c:rich>
      </c:tx>
      <c:overlay val="0"/>
      <c:spPr>
        <a:noFill/>
        <a:ln>
          <a:noFill/>
        </a:ln>
        <a:effectLst/>
      </c:spPr>
      <c:txPr>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summarization!$K$2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64C-4814-8FE5-5FA102F7897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64C-4814-8FE5-5FA102F7897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64C-4814-8FE5-5FA102F7897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64C-4814-8FE5-5FA102F7897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64C-4814-8FE5-5FA102F789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summarization!$J$3:$J$8</c:f>
              <c:strCache>
                <c:ptCount val="5"/>
                <c:pt idx="0">
                  <c:v>COD</c:v>
                </c:pt>
                <c:pt idx="1">
                  <c:v>Credit Card</c:v>
                </c:pt>
                <c:pt idx="2">
                  <c:v>Debit Card</c:v>
                </c:pt>
                <c:pt idx="3">
                  <c:v>EMI</c:v>
                </c:pt>
                <c:pt idx="4">
                  <c:v>UPI</c:v>
                </c:pt>
              </c:strCache>
            </c:strRef>
          </c:cat>
          <c:val>
            <c:numRef>
              <c:f>summarization!$K$3:$K$8</c:f>
              <c:numCache>
                <c:formatCode>General</c:formatCode>
                <c:ptCount val="5"/>
                <c:pt idx="0">
                  <c:v>2456</c:v>
                </c:pt>
                <c:pt idx="1">
                  <c:v>672</c:v>
                </c:pt>
                <c:pt idx="2">
                  <c:v>741</c:v>
                </c:pt>
                <c:pt idx="3">
                  <c:v>589</c:v>
                </c:pt>
                <c:pt idx="4">
                  <c:v>1157</c:v>
                </c:pt>
              </c:numCache>
            </c:numRef>
          </c:val>
          <c:extLst>
            <c:ext xmlns:c16="http://schemas.microsoft.com/office/drawing/2014/chart" uri="{C3380CC4-5D6E-409C-BE32-E72D297353CC}">
              <c16:uniqueId val="{0000000A-B64C-4814-8FE5-5FA102F7897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6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[Details.xlsx]summarization!PivotTable6</c:name>
    <c:fmtId val="4"/>
  </c:pivotSource>
  <c:chart>
    <c:title>
      <c:tx>
        <c:rich>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r>
              <a:rPr lang="en-US" sz="1400" b="0" i="0" u="none" strike="noStrike" kern="1200" cap="all" spc="0" baseline="0">
                <a:solidFill>
                  <a:schemeClr val="bg1">
                    <a:lumMod val="95000"/>
                  </a:schemeClr>
                </a:solidFill>
                <a:latin typeface="+mn-lt"/>
                <a:ea typeface="+mn-ea"/>
                <a:cs typeface="+mn-cs"/>
              </a:rPr>
              <a:t>Quantity By Category</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marker>
          <c:symbol val="none"/>
        </c:marker>
        <c:dLbl>
          <c:idx val="0"/>
          <c:delete val="1"/>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3"/>
          </a:solidFill>
          <a:ln w="19050">
            <a:solidFill>
              <a:schemeClr val="lt1"/>
            </a:solidFill>
          </a:ln>
          <a:effectLst/>
        </c:spPr>
      </c:pivotFmt>
    </c:pivotFmts>
    <c:plotArea>
      <c:layout/>
      <c:pieChart>
        <c:varyColors val="1"/>
        <c:ser>
          <c:idx val="0"/>
          <c:order val="0"/>
          <c:tx>
            <c:strRef>
              <c:f>summarization!$N$2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70D5-4C2B-8138-41327A0DD9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70D5-4C2B-8138-41327A0DD9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70D5-4C2B-8138-41327A0DD91F}"/>
              </c:ext>
            </c:extLst>
          </c:dPt>
          <c:cat>
            <c:strRef>
              <c:f>summarization!$M$3:$M$6</c:f>
              <c:strCache>
                <c:ptCount val="3"/>
                <c:pt idx="0">
                  <c:v>Clothing</c:v>
                </c:pt>
                <c:pt idx="1">
                  <c:v>Electronics</c:v>
                </c:pt>
                <c:pt idx="2">
                  <c:v>Furniture</c:v>
                </c:pt>
              </c:strCache>
            </c:strRef>
          </c:cat>
          <c:val>
            <c:numRef>
              <c:f>summarization!$N$3:$N$6</c:f>
              <c:numCache>
                <c:formatCode>General</c:formatCode>
                <c:ptCount val="3"/>
                <c:pt idx="0">
                  <c:v>3516</c:v>
                </c:pt>
                <c:pt idx="1">
                  <c:v>1154</c:v>
                </c:pt>
                <c:pt idx="2">
                  <c:v>945</c:v>
                </c:pt>
              </c:numCache>
            </c:numRef>
          </c:val>
          <c:extLst>
            <c:ext xmlns:c16="http://schemas.microsoft.com/office/drawing/2014/chart" uri="{C3380CC4-5D6E-409C-BE32-E72D297353CC}">
              <c16:uniqueId val="{0000000E-70D5-4C2B-8138-41327A0DD91F}"/>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lgn="ctr">
            <a:defRPr lang="en-US" sz="16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[Details.xlsx]summarization!PivotTable7</c:name>
    <c:fmtId val="4"/>
  </c:pivotSource>
  <c:chart>
    <c:title>
      <c:tx>
        <c:rich>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r>
              <a:rPr lang="en-US" sz="1400" b="0" i="0" u="none" strike="noStrike" kern="1200" cap="all" spc="0" baseline="0">
                <a:solidFill>
                  <a:schemeClr val="bg1">
                    <a:lumMod val="95000"/>
                  </a:schemeClr>
                </a:solidFill>
                <a:latin typeface="+mn-lt"/>
                <a:ea typeface="+mn-ea"/>
                <a:cs typeface="+mn-cs"/>
              </a:rPr>
              <a:t>Profit By SubCategory</a:t>
            </a:r>
          </a:p>
        </c:rich>
      </c:tx>
      <c:overlay val="0"/>
      <c:spPr>
        <a:noFill/>
        <a:ln>
          <a:noFill/>
        </a:ln>
        <a:effectLst/>
      </c:spPr>
      <c:txPr>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68000"/>
                  <a:alpha val="90000"/>
                  <a:lumMod val="100000"/>
                </a:schemeClr>
              </a:gs>
              <a:gs pos="100000">
                <a:schemeClr val="accent2">
                  <a:tint val="90000"/>
                  <a:lumMod val="95000"/>
                </a:schemeClr>
              </a:gs>
            </a:gsLst>
            <a:lin ang="5400000" scaled="1"/>
          </a:gradFill>
          <a:ln w="12700" cap="rnd" cmpd="sng" algn="ctr">
            <a:solidFill>
              <a:schemeClr val="accent2">
                <a:lumMod val="90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summarization!$N$23</c:f>
              <c:strCache>
                <c:ptCount val="1"/>
                <c:pt idx="0">
                  <c:v>Total</c:v>
                </c:pt>
              </c:strCache>
            </c:strRef>
          </c:tx>
          <c:spPr>
            <a:gradFill rotWithShape="1">
              <a:gsLst>
                <a:gs pos="0">
                  <a:schemeClr val="accent2">
                    <a:tint val="68000"/>
                    <a:alpha val="90000"/>
                    <a:lumMod val="100000"/>
                  </a:schemeClr>
                </a:gs>
                <a:gs pos="100000">
                  <a:schemeClr val="accent2">
                    <a:tint val="90000"/>
                    <a:lumMod val="95000"/>
                  </a:schemeClr>
                </a:gs>
              </a:gsLst>
              <a:lin ang="5400000" scaled="1"/>
            </a:gradFill>
            <a:ln w="12700" cap="rnd" cmpd="sng" algn="ctr">
              <a:solidFill>
                <a:schemeClr val="accent2">
                  <a:lumMod val="90000"/>
                </a:schemeClr>
              </a:solidFill>
              <a:prstDash val="solid"/>
            </a:ln>
            <a:effectLst/>
          </c:spPr>
          <c:invertIfNegative val="0"/>
          <c:cat>
            <c:strRef>
              <c:f>summarization!$M$24:$M$41</c:f>
              <c:strCache>
                <c:ptCount val="17"/>
                <c:pt idx="0">
                  <c:v>Accessories</c:v>
                </c:pt>
                <c:pt idx="1">
                  <c:v>Bookcases</c:v>
                </c:pt>
                <c:pt idx="2">
                  <c:v>Chairs</c:v>
                </c:pt>
                <c:pt idx="3">
                  <c:v>Electronic Games</c:v>
                </c:pt>
                <c:pt idx="4">
                  <c:v>Furnishings</c:v>
                </c:pt>
                <c:pt idx="5">
                  <c:v>Hankerchief</c:v>
                </c:pt>
                <c:pt idx="6">
                  <c:v>Kurti</c:v>
                </c:pt>
                <c:pt idx="7">
                  <c:v>Leggings</c:v>
                </c:pt>
                <c:pt idx="8">
                  <c:v>Phones</c:v>
                </c:pt>
                <c:pt idx="9">
                  <c:v>Printers</c:v>
                </c:pt>
                <c:pt idx="10">
                  <c:v>Saree</c:v>
                </c:pt>
                <c:pt idx="11">
                  <c:v>Shirt</c:v>
                </c:pt>
                <c:pt idx="12">
                  <c:v>Skirt</c:v>
                </c:pt>
                <c:pt idx="13">
                  <c:v>Stole</c:v>
                </c:pt>
                <c:pt idx="14">
                  <c:v>Tables</c:v>
                </c:pt>
                <c:pt idx="15">
                  <c:v>Trousers</c:v>
                </c:pt>
                <c:pt idx="16">
                  <c:v>T-shirt</c:v>
                </c:pt>
              </c:strCache>
            </c:strRef>
          </c:cat>
          <c:val>
            <c:numRef>
              <c:f>summarization!$N$24:$N$41</c:f>
              <c:numCache>
                <c:formatCode>General</c:formatCode>
                <c:ptCount val="17"/>
                <c:pt idx="0">
                  <c:v>3353</c:v>
                </c:pt>
                <c:pt idx="1">
                  <c:v>6516</c:v>
                </c:pt>
                <c:pt idx="2">
                  <c:v>1627</c:v>
                </c:pt>
                <c:pt idx="3">
                  <c:v>-644</c:v>
                </c:pt>
                <c:pt idx="4">
                  <c:v>-806</c:v>
                </c:pt>
                <c:pt idx="5">
                  <c:v>1823</c:v>
                </c:pt>
                <c:pt idx="6">
                  <c:v>-401</c:v>
                </c:pt>
                <c:pt idx="7">
                  <c:v>-130</c:v>
                </c:pt>
                <c:pt idx="8">
                  <c:v>1847</c:v>
                </c:pt>
                <c:pt idx="9">
                  <c:v>8606</c:v>
                </c:pt>
                <c:pt idx="10">
                  <c:v>4057</c:v>
                </c:pt>
                <c:pt idx="11">
                  <c:v>1513</c:v>
                </c:pt>
                <c:pt idx="12">
                  <c:v>-315</c:v>
                </c:pt>
                <c:pt idx="13">
                  <c:v>2431</c:v>
                </c:pt>
                <c:pt idx="14">
                  <c:v>3139</c:v>
                </c:pt>
                <c:pt idx="15">
                  <c:v>2847</c:v>
                </c:pt>
                <c:pt idx="16">
                  <c:v>1500</c:v>
                </c:pt>
              </c:numCache>
            </c:numRef>
          </c:val>
          <c:extLst>
            <c:ext xmlns:c16="http://schemas.microsoft.com/office/drawing/2014/chart" uri="{C3380CC4-5D6E-409C-BE32-E72D297353CC}">
              <c16:uniqueId val="{00000000-8DF1-437B-BE02-36D64733F4A0}"/>
            </c:ext>
          </c:extLst>
        </c:ser>
        <c:dLbls>
          <c:showLegendKey val="0"/>
          <c:showVal val="0"/>
          <c:showCatName val="0"/>
          <c:showSerName val="0"/>
          <c:showPercent val="0"/>
          <c:showBubbleSize val="0"/>
        </c:dLbls>
        <c:gapWidth val="219"/>
        <c:overlap val="-27"/>
        <c:axId val="492916688"/>
        <c:axId val="492921728"/>
      </c:barChart>
      <c:catAx>
        <c:axId val="49291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0" i="0" u="none" strike="noStrike" kern="1200" baseline="0">
                <a:solidFill>
                  <a:schemeClr val="bg1">
                    <a:lumMod val="95000"/>
                  </a:schemeClr>
                </a:solidFill>
                <a:latin typeface="+mn-lt"/>
                <a:ea typeface="+mn-ea"/>
                <a:cs typeface="+mn-cs"/>
              </a:defRPr>
            </a:pPr>
            <a:endParaRPr lang="en-US"/>
          </a:p>
        </c:txPr>
        <c:crossAx val="492921728"/>
        <c:crosses val="autoZero"/>
        <c:auto val="1"/>
        <c:lblAlgn val="ctr"/>
        <c:lblOffset val="100"/>
        <c:noMultiLvlLbl val="0"/>
      </c:catAx>
      <c:valAx>
        <c:axId val="49292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bg1">
                    <a:lumMod val="95000"/>
                  </a:schemeClr>
                </a:solidFill>
                <a:latin typeface="+mn-lt"/>
                <a:ea typeface="+mn-ea"/>
                <a:cs typeface="+mn-cs"/>
              </a:defRPr>
            </a:pPr>
            <a:endParaRPr lang="en-US"/>
          </a:p>
        </c:txPr>
        <c:crossAx val="49291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[Details.xlsx]summarization!PivotTable5</c:name>
    <c:fmtId val="3"/>
  </c:pivotSource>
  <c:chart>
    <c:title>
      <c:tx>
        <c:rich>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r>
              <a:rPr lang="en-US" sz="1400" b="0" i="0" u="none" strike="noStrike" kern="1200" cap="all" spc="0" baseline="0">
                <a:solidFill>
                  <a:schemeClr val="bg1">
                    <a:lumMod val="95000"/>
                  </a:schemeClr>
                </a:solidFill>
                <a:latin typeface="+mn-lt"/>
                <a:ea typeface="+mn-ea"/>
                <a:cs typeface="+mn-cs"/>
              </a:rPr>
              <a:t>orders by city</a:t>
            </a:r>
          </a:p>
          <a:p>
            <a:pPr algn="ctr" rtl="0">
              <a:defRPr lang="en-US" cap="all">
                <a:solidFill>
                  <a:schemeClr val="bg1">
                    <a:lumMod val="95000"/>
                  </a:schemeClr>
                </a:solidFill>
              </a:defRPr>
            </a:pPr>
            <a:endParaRPr lang="en-US" sz="1400" b="0" i="0" u="none" strike="noStrike" kern="1200" cap="all" spc="0" baseline="0">
              <a:solidFill>
                <a:schemeClr val="bg1">
                  <a:lumMod val="95000"/>
                </a:scheme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0" i="0" u="none" strike="noStrike" kern="1200" cap="all"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68000"/>
                  <a:alpha val="90000"/>
                  <a:lumMod val="100000"/>
                </a:schemeClr>
              </a:gs>
              <a:gs pos="100000">
                <a:schemeClr val="accent2">
                  <a:tint val="90000"/>
                  <a:lumMod val="95000"/>
                </a:schemeClr>
              </a:gs>
            </a:gsLst>
            <a:lin ang="5400000" scaled="1"/>
          </a:gradFill>
          <a:ln w="12700" cap="rnd" cmpd="sng" algn="ctr">
            <a:solidFill>
              <a:schemeClr val="accent2">
                <a:lumMod val="90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summarization!$K$11</c:f>
              <c:strCache>
                <c:ptCount val="1"/>
                <c:pt idx="0">
                  <c:v>Total</c:v>
                </c:pt>
              </c:strCache>
            </c:strRef>
          </c:tx>
          <c:spPr>
            <a:gradFill rotWithShape="1">
              <a:gsLst>
                <a:gs pos="0">
                  <a:schemeClr val="accent2">
                    <a:tint val="68000"/>
                    <a:alpha val="90000"/>
                    <a:lumMod val="100000"/>
                  </a:schemeClr>
                </a:gs>
                <a:gs pos="100000">
                  <a:schemeClr val="accent2">
                    <a:tint val="90000"/>
                    <a:lumMod val="95000"/>
                  </a:schemeClr>
                </a:gs>
              </a:gsLst>
              <a:lin ang="5400000" scaled="1"/>
            </a:gradFill>
            <a:ln w="12700" cap="rnd" cmpd="sng" algn="ctr">
              <a:solidFill>
                <a:schemeClr val="accent2">
                  <a:lumMod val="90000"/>
                </a:schemeClr>
              </a:solidFill>
              <a:prstDash val="solid"/>
            </a:ln>
            <a:effectLst/>
          </c:spPr>
          <c:invertIfNegative val="0"/>
          <c:cat>
            <c:strRef>
              <c:f>summarization!$J$12:$J$37</c:f>
              <c:strCache>
                <c:ptCount val="25"/>
                <c:pt idx="0">
                  <c:v>Ahmedabad</c:v>
                </c:pt>
                <c:pt idx="1">
                  <c:v>Amritsar</c:v>
                </c:pt>
                <c:pt idx="2">
                  <c:v>Bangalore</c:v>
                </c:pt>
                <c:pt idx="3">
                  <c:v>Bhopal</c:v>
                </c:pt>
                <c:pt idx="4">
                  <c:v>Chandigarh</c:v>
                </c:pt>
                <c:pt idx="5">
                  <c:v>Chennai</c:v>
                </c:pt>
                <c:pt idx="6">
                  <c:v>Delhi</c:v>
                </c:pt>
                <c:pt idx="7">
                  <c:v>Gangtok</c:v>
                </c:pt>
                <c:pt idx="8">
                  <c:v>Goa</c:v>
                </c:pt>
                <c:pt idx="9">
                  <c:v>Hyderabad</c:v>
                </c:pt>
                <c:pt idx="10">
                  <c:v>Indore</c:v>
                </c:pt>
                <c:pt idx="11">
                  <c:v>Jaipur</c:v>
                </c:pt>
                <c:pt idx="12">
                  <c:v>Kashmir</c:v>
                </c:pt>
                <c:pt idx="13">
                  <c:v>Kohima</c:v>
                </c:pt>
                <c:pt idx="14">
                  <c:v>Kolkata</c:v>
                </c:pt>
                <c:pt idx="15">
                  <c:v>Lucknow</c:v>
                </c:pt>
                <c:pt idx="16">
                  <c:v>Mathura</c:v>
                </c:pt>
                <c:pt idx="17">
                  <c:v>Mumbai</c:v>
                </c:pt>
                <c:pt idx="18">
                  <c:v>Patna</c:v>
                </c:pt>
                <c:pt idx="19">
                  <c:v>Prayagraj</c:v>
                </c:pt>
                <c:pt idx="20">
                  <c:v>Pune</c:v>
                </c:pt>
                <c:pt idx="21">
                  <c:v>Simla</c:v>
                </c:pt>
                <c:pt idx="22">
                  <c:v>Surat</c:v>
                </c:pt>
                <c:pt idx="23">
                  <c:v>Thiruvananthapuram</c:v>
                </c:pt>
                <c:pt idx="24">
                  <c:v>Udaipur</c:v>
                </c:pt>
              </c:strCache>
            </c:strRef>
          </c:cat>
          <c:val>
            <c:numRef>
              <c:f>summarization!$K$12:$K$37</c:f>
              <c:numCache>
                <c:formatCode>General</c:formatCode>
                <c:ptCount val="25"/>
                <c:pt idx="0">
                  <c:v>62</c:v>
                </c:pt>
                <c:pt idx="1">
                  <c:v>15</c:v>
                </c:pt>
                <c:pt idx="2">
                  <c:v>50</c:v>
                </c:pt>
                <c:pt idx="3">
                  <c:v>66</c:v>
                </c:pt>
                <c:pt idx="4">
                  <c:v>71</c:v>
                </c:pt>
                <c:pt idx="5">
                  <c:v>25</c:v>
                </c:pt>
                <c:pt idx="6">
                  <c:v>76</c:v>
                </c:pt>
                <c:pt idx="7">
                  <c:v>24</c:v>
                </c:pt>
                <c:pt idx="8">
                  <c:v>43</c:v>
                </c:pt>
                <c:pt idx="9">
                  <c:v>42</c:v>
                </c:pt>
                <c:pt idx="10">
                  <c:v>248</c:v>
                </c:pt>
                <c:pt idx="11">
                  <c:v>44</c:v>
                </c:pt>
                <c:pt idx="12">
                  <c:v>49</c:v>
                </c:pt>
                <c:pt idx="13">
                  <c:v>45</c:v>
                </c:pt>
                <c:pt idx="14">
                  <c:v>63</c:v>
                </c:pt>
                <c:pt idx="15">
                  <c:v>38</c:v>
                </c:pt>
                <c:pt idx="16">
                  <c:v>37</c:v>
                </c:pt>
                <c:pt idx="17">
                  <c:v>201</c:v>
                </c:pt>
                <c:pt idx="18">
                  <c:v>62</c:v>
                </c:pt>
                <c:pt idx="19">
                  <c:v>12</c:v>
                </c:pt>
                <c:pt idx="20">
                  <c:v>98</c:v>
                </c:pt>
                <c:pt idx="21">
                  <c:v>29</c:v>
                </c:pt>
                <c:pt idx="22">
                  <c:v>25</c:v>
                </c:pt>
                <c:pt idx="23">
                  <c:v>45</c:v>
                </c:pt>
                <c:pt idx="24">
                  <c:v>30</c:v>
                </c:pt>
              </c:numCache>
            </c:numRef>
          </c:val>
          <c:extLst>
            <c:ext xmlns:c16="http://schemas.microsoft.com/office/drawing/2014/chart" uri="{C3380CC4-5D6E-409C-BE32-E72D297353CC}">
              <c16:uniqueId val="{00000000-533C-4A73-B223-B1908CC0F2C7}"/>
            </c:ext>
          </c:extLst>
        </c:ser>
        <c:dLbls>
          <c:showLegendKey val="0"/>
          <c:showVal val="0"/>
          <c:showCatName val="0"/>
          <c:showSerName val="0"/>
          <c:showPercent val="0"/>
          <c:showBubbleSize val="0"/>
        </c:dLbls>
        <c:gapWidth val="182"/>
        <c:axId val="761767456"/>
        <c:axId val="761769256"/>
      </c:barChart>
      <c:catAx>
        <c:axId val="76176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0" i="0" u="none" strike="noStrike" kern="1200" baseline="0">
                <a:solidFill>
                  <a:schemeClr val="bg1">
                    <a:lumMod val="95000"/>
                  </a:schemeClr>
                </a:solidFill>
                <a:latin typeface="+mn-lt"/>
                <a:ea typeface="+mn-ea"/>
                <a:cs typeface="+mn-cs"/>
              </a:defRPr>
            </a:pPr>
            <a:endParaRPr lang="en-US"/>
          </a:p>
        </c:txPr>
        <c:crossAx val="761769256"/>
        <c:crosses val="autoZero"/>
        <c:auto val="1"/>
        <c:lblAlgn val="ctr"/>
        <c:lblOffset val="100"/>
        <c:noMultiLvlLbl val="0"/>
      </c:catAx>
      <c:valAx>
        <c:axId val="761769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bg1">
                    <a:lumMod val="95000"/>
                  </a:schemeClr>
                </a:solidFill>
                <a:latin typeface="+mn-lt"/>
                <a:ea typeface="+mn-ea"/>
                <a:cs typeface="+mn-cs"/>
              </a:defRPr>
            </a:pPr>
            <a:endParaRPr lang="en-US"/>
          </a:p>
        </c:txPr>
        <c:crossAx val="76176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76200</xdr:colOff>
      <xdr:row>4</xdr:row>
      <xdr:rowOff>11430</xdr:rowOff>
    </xdr:from>
    <xdr:to>
      <xdr:col>2</xdr:col>
      <xdr:colOff>434340</xdr:colOff>
      <xdr:row>19</xdr:row>
      <xdr:rowOff>11430</xdr:rowOff>
    </xdr:to>
    <xdr:graphicFrame macro="">
      <xdr:nvGraphicFramePr>
        <xdr:cNvPr id="2" name="Chart 1">
          <a:extLst>
            <a:ext uri="{FF2B5EF4-FFF2-40B4-BE49-F238E27FC236}">
              <a16:creationId xmlns:a16="http://schemas.microsoft.com/office/drawing/2014/main" id="{BBEAD5C6-088F-9DF6-D981-31F0AB2D9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565785</xdr:colOff>
      <xdr:row>1</xdr:row>
      <xdr:rowOff>142875</xdr:rowOff>
    </xdr:from>
    <xdr:to>
      <xdr:col>8</xdr:col>
      <xdr:colOff>207645</xdr:colOff>
      <xdr:row>16</xdr:row>
      <xdr:rowOff>142875</xdr:rowOff>
    </xdr:to>
    <xdr:graphicFrame macro="">
      <xdr:nvGraphicFramePr>
        <xdr:cNvPr id="3" name="Chart 2">
          <a:extLst>
            <a:ext uri="{FF2B5EF4-FFF2-40B4-BE49-F238E27FC236}">
              <a16:creationId xmlns:a16="http://schemas.microsoft.com/office/drawing/2014/main" id="{6C44677B-C84C-9F00-FF3C-F25289729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182880</xdr:colOff>
      <xdr:row>22</xdr:row>
      <xdr:rowOff>140970</xdr:rowOff>
    </xdr:from>
    <xdr:to>
      <xdr:col>7</xdr:col>
      <xdr:colOff>739140</xdr:colOff>
      <xdr:row>37</xdr:row>
      <xdr:rowOff>140970</xdr:rowOff>
    </xdr:to>
    <xdr:graphicFrame macro="">
      <xdr:nvGraphicFramePr>
        <xdr:cNvPr id="4" name="Chart 3">
          <a:extLst>
            <a:ext uri="{FF2B5EF4-FFF2-40B4-BE49-F238E27FC236}">
              <a16:creationId xmlns:a16="http://schemas.microsoft.com/office/drawing/2014/main" id="{C3CB223C-5536-BD7C-9DD7-568597328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104775</xdr:colOff>
      <xdr:row>0</xdr:row>
      <xdr:rowOff>62865</xdr:rowOff>
    </xdr:from>
    <xdr:to>
      <xdr:col>10</xdr:col>
      <xdr:colOff>478155</xdr:colOff>
      <xdr:row>5</xdr:row>
      <xdr:rowOff>66675</xdr:rowOff>
    </xdr:to>
    <xdr:graphicFrame macro="">
      <xdr:nvGraphicFramePr>
        <xdr:cNvPr id="5" name="Chart 4">
          <a:extLst>
            <a:ext uri="{FF2B5EF4-FFF2-40B4-BE49-F238E27FC236}">
              <a16:creationId xmlns:a16="http://schemas.microsoft.com/office/drawing/2014/main" id="{8A31942B-2AAB-26CF-C965-DF078CE25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464820</xdr:colOff>
      <xdr:row>7</xdr:row>
      <xdr:rowOff>87630</xdr:rowOff>
    </xdr:from>
    <xdr:to>
      <xdr:col>14</xdr:col>
      <xdr:colOff>396240</xdr:colOff>
      <xdr:row>16</xdr:row>
      <xdr:rowOff>22860</xdr:rowOff>
    </xdr:to>
    <xdr:graphicFrame macro="">
      <xdr:nvGraphicFramePr>
        <xdr:cNvPr id="7" name="Chart 6">
          <a:extLst>
            <a:ext uri="{FF2B5EF4-FFF2-40B4-BE49-F238E27FC236}">
              <a16:creationId xmlns:a16="http://schemas.microsoft.com/office/drawing/2014/main" id="{E9198690-0680-02BC-50B3-C637826C6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373380</xdr:colOff>
      <xdr:row>25</xdr:row>
      <xdr:rowOff>41910</xdr:rowOff>
    </xdr:from>
    <xdr:to>
      <xdr:col>18</xdr:col>
      <xdr:colOff>53340</xdr:colOff>
      <xdr:row>40</xdr:row>
      <xdr:rowOff>41910</xdr:rowOff>
    </xdr:to>
    <xdr:graphicFrame macro="">
      <xdr:nvGraphicFramePr>
        <xdr:cNvPr id="9" name="Chart 8">
          <a:extLst>
            <a:ext uri="{FF2B5EF4-FFF2-40B4-BE49-F238E27FC236}">
              <a16:creationId xmlns:a16="http://schemas.microsoft.com/office/drawing/2014/main" id="{94628FC6-5D29-EC3C-7899-C3732E403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266700</xdr:colOff>
      <xdr:row>17</xdr:row>
      <xdr:rowOff>205740</xdr:rowOff>
    </xdr:from>
    <xdr:to>
      <xdr:col>9</xdr:col>
      <xdr:colOff>190500</xdr:colOff>
      <xdr:row>29</xdr:row>
      <xdr:rowOff>205740</xdr:rowOff>
    </xdr:to>
    <xdr:graphicFrame macro="">
      <xdr:nvGraphicFramePr>
        <xdr:cNvPr id="8" name="Chart 7">
          <a:extLst>
            <a:ext uri="{FF2B5EF4-FFF2-40B4-BE49-F238E27FC236}">
              <a16:creationId xmlns:a16="http://schemas.microsoft.com/office/drawing/2014/main" id="{437E57C3-AFC5-D3E8-6B9F-CF7E2489B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160020</xdr:colOff>
      <xdr:row>14</xdr:row>
      <xdr:rowOff>213360</xdr:rowOff>
    </xdr:from>
    <xdr:to>
      <xdr:col>14</xdr:col>
      <xdr:colOff>22860</xdr:colOff>
      <xdr:row>26</xdr:row>
      <xdr:rowOff>213360</xdr:rowOff>
    </xdr:to>
    <xdr:graphicFrame macro="">
      <xdr:nvGraphicFramePr>
        <xdr:cNvPr id="11" name="Chart 10">
          <a:extLst>
            <a:ext uri="{FF2B5EF4-FFF2-40B4-BE49-F238E27FC236}">
              <a16:creationId xmlns:a16="http://schemas.microsoft.com/office/drawing/2014/main" id="{B136BC68-5C22-419D-9997-90E692CB3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200025</xdr:colOff>
      <xdr:row>5</xdr:row>
      <xdr:rowOff>198120</xdr:rowOff>
    </xdr:from>
    <xdr:to>
      <xdr:col>7</xdr:col>
      <xdr:colOff>409575</xdr:colOff>
      <xdr:row>18</xdr:row>
      <xdr:rowOff>36195</xdr:rowOff>
    </xdr:to>
    <mc:AlternateContent xmlns:mc="http://schemas.openxmlformats.org/markup-compatibility/2006">
      <mc:Choice xmlns:a14="http://schemas.microsoft.com/office/drawing/2010/main" Requires="a14">
        <xdr:graphicFrame macro="">
          <xdr:nvGraphicFramePr>
            <xdr:cNvPr id="6" name="State">
              <a:extLst>
                <a:ext uri="{FF2B5EF4-FFF2-40B4-BE49-F238E27FC236}">
                  <a16:creationId xmlns:a16="http://schemas.microsoft.com/office/drawing/2014/main" id="{D903F86B-2EA4-D407-918E-B00DB5BD473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5162550" y="1341120"/>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426720</xdr:colOff>
      <xdr:row>6</xdr:row>
      <xdr:rowOff>131445</xdr:rowOff>
    </xdr:from>
    <xdr:to>
      <xdr:col>8</xdr:col>
      <xdr:colOff>93345</xdr:colOff>
      <xdr:row>18</xdr:row>
      <xdr:rowOff>198120</xdr:rowOff>
    </xdr:to>
    <mc:AlternateContent xmlns:mc="http://schemas.openxmlformats.org/markup-compatibility/2006">
      <mc:Choice xmlns:a14="http://schemas.microsoft.com/office/drawing/2010/main" Requires="a14">
        <xdr:graphicFrame macro="">
          <xdr:nvGraphicFramePr>
            <xdr:cNvPr id="10" name="Quantity">
              <a:extLst>
                <a:ext uri="{FF2B5EF4-FFF2-40B4-BE49-F238E27FC236}">
                  <a16:creationId xmlns:a16="http://schemas.microsoft.com/office/drawing/2014/main" id="{2FD2984F-6D19-EEB9-95D2-7959A7AE98E2}"/>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5998845" y="1503045"/>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152399</xdr:colOff>
      <xdr:row>3</xdr:row>
      <xdr:rowOff>145914</xdr:rowOff>
    </xdr:from>
    <xdr:to>
      <xdr:col>31</xdr:col>
      <xdr:colOff>249836</xdr:colOff>
      <xdr:row>40</xdr:row>
      <xdr:rowOff>110836</xdr:rowOff>
    </xdr:to>
    <xdr:sp macro="" textlink="">
      <xdr:nvSpPr>
        <xdr:cNvPr id="2" name="Rectangle 1">
          <a:extLst>
            <a:ext uri="{FF2B5EF4-FFF2-40B4-BE49-F238E27FC236}">
              <a16:creationId xmlns:a16="http://schemas.microsoft.com/office/drawing/2014/main" id="{0D8935CA-B1D5-7682-AC64-EBB142ED25A4}"/>
            </a:ext>
          </a:extLst>
        </xdr:cNvPr>
        <xdr:cNvSpPr/>
      </xdr:nvSpPr>
      <xdr:spPr>
        <a:xfrm>
          <a:off x="3232825" y="826850"/>
          <a:ext cx="16115649" cy="83631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283506</xdr:colOff>
      <xdr:row>4</xdr:row>
      <xdr:rowOff>29421</xdr:rowOff>
    </xdr:from>
    <xdr:to>
      <xdr:col>11</xdr:col>
      <xdr:colOff>454957</xdr:colOff>
      <xdr:row>18</xdr:row>
      <xdr:rowOff>11206</xdr:rowOff>
    </xdr:to>
    <xdr:sp macro="" textlink="">
      <xdr:nvSpPr>
        <xdr:cNvPr id="3" name="Rounded Rectangle 31">
          <a:extLst>
            <a:ext uri="{FF2B5EF4-FFF2-40B4-BE49-F238E27FC236}">
              <a16:creationId xmlns:a16="http://schemas.microsoft.com/office/drawing/2014/main" id="{4EF59DB6-BE82-41ED-81B5-73B7E43C86FF}"/>
            </a:ext>
          </a:extLst>
        </xdr:cNvPr>
        <xdr:cNvSpPr/>
      </xdr:nvSpPr>
      <xdr:spPr>
        <a:xfrm rot="5400000">
          <a:off x="3650457" y="584529"/>
          <a:ext cx="3119432" cy="3802157"/>
        </a:xfrm>
        <a:prstGeom prst="roundRect">
          <a:avLst>
            <a:gd name="adj" fmla="val 6154"/>
          </a:avLst>
        </a:prstGeom>
        <a:solidFill>
          <a:schemeClr val="bg2">
            <a:lumMod val="90000"/>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267819</xdr:colOff>
      <xdr:row>18</xdr:row>
      <xdr:rowOff>103382</xdr:rowOff>
    </xdr:from>
    <xdr:to>
      <xdr:col>18</xdr:col>
      <xdr:colOff>95249</xdr:colOff>
      <xdr:row>32</xdr:row>
      <xdr:rowOff>85167</xdr:rowOff>
    </xdr:to>
    <xdr:sp macro="" textlink="">
      <xdr:nvSpPr>
        <xdr:cNvPr id="6" name="Rounded Rectangle 31">
          <a:extLst>
            <a:ext uri="{FF2B5EF4-FFF2-40B4-BE49-F238E27FC236}">
              <a16:creationId xmlns:a16="http://schemas.microsoft.com/office/drawing/2014/main" id="{2FB31947-8144-48D2-89E3-9F0EFE252708}"/>
            </a:ext>
          </a:extLst>
        </xdr:cNvPr>
        <xdr:cNvSpPr/>
      </xdr:nvSpPr>
      <xdr:spPr>
        <a:xfrm rot="5400000">
          <a:off x="5686769" y="1850475"/>
          <a:ext cx="3159487" cy="7836536"/>
        </a:xfrm>
        <a:prstGeom prst="roundRect">
          <a:avLst>
            <a:gd name="adj" fmla="val 6154"/>
          </a:avLst>
        </a:prstGeom>
        <a:solidFill>
          <a:schemeClr val="bg2">
            <a:lumMod val="90000"/>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177335</xdr:colOff>
      <xdr:row>18</xdr:row>
      <xdr:rowOff>115512</xdr:rowOff>
    </xdr:from>
    <xdr:to>
      <xdr:col>24</xdr:col>
      <xdr:colOff>353624</xdr:colOff>
      <xdr:row>32</xdr:row>
      <xdr:rowOff>97296</xdr:rowOff>
    </xdr:to>
    <xdr:sp macro="" textlink="">
      <xdr:nvSpPr>
        <xdr:cNvPr id="8" name="Rounded Rectangle 31">
          <a:extLst>
            <a:ext uri="{FF2B5EF4-FFF2-40B4-BE49-F238E27FC236}">
              <a16:creationId xmlns:a16="http://schemas.microsoft.com/office/drawing/2014/main" id="{907B0FD4-0B5A-4841-BF5E-33E897305D62}"/>
            </a:ext>
          </a:extLst>
        </xdr:cNvPr>
        <xdr:cNvSpPr/>
      </xdr:nvSpPr>
      <xdr:spPr>
        <a:xfrm rot="5400000">
          <a:off x="11475988" y="3904459"/>
          <a:ext cx="3182184" cy="3833889"/>
        </a:xfrm>
        <a:prstGeom prst="roundRect">
          <a:avLst>
            <a:gd name="adj" fmla="val 6154"/>
          </a:avLst>
        </a:prstGeom>
        <a:solidFill>
          <a:schemeClr val="bg2">
            <a:lumMod val="90000"/>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559034</xdr:colOff>
      <xdr:row>4</xdr:row>
      <xdr:rowOff>49403</xdr:rowOff>
    </xdr:from>
    <xdr:to>
      <xdr:col>18</xdr:col>
      <xdr:colOff>125723</xdr:colOff>
      <xdr:row>18</xdr:row>
      <xdr:rowOff>31188</xdr:rowOff>
    </xdr:to>
    <xdr:sp macro="" textlink="">
      <xdr:nvSpPr>
        <xdr:cNvPr id="9" name="Rounded Rectangle 31">
          <a:extLst>
            <a:ext uri="{FF2B5EF4-FFF2-40B4-BE49-F238E27FC236}">
              <a16:creationId xmlns:a16="http://schemas.microsoft.com/office/drawing/2014/main" id="{89090E43-9371-4309-8917-DA4171492F91}"/>
            </a:ext>
          </a:extLst>
        </xdr:cNvPr>
        <xdr:cNvSpPr/>
      </xdr:nvSpPr>
      <xdr:spPr>
        <a:xfrm rot="5400000">
          <a:off x="7652945" y="587984"/>
          <a:ext cx="3129719" cy="3851377"/>
        </a:xfrm>
        <a:prstGeom prst="roundRect">
          <a:avLst>
            <a:gd name="adj" fmla="val 6154"/>
          </a:avLst>
        </a:prstGeom>
        <a:solidFill>
          <a:schemeClr val="bg2">
            <a:lumMod val="90000"/>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219969</xdr:colOff>
      <xdr:row>4</xdr:row>
      <xdr:rowOff>1815</xdr:rowOff>
    </xdr:from>
    <xdr:to>
      <xdr:col>11</xdr:col>
      <xdr:colOff>290285</xdr:colOff>
      <xdr:row>18</xdr:row>
      <xdr:rowOff>48381</xdr:rowOff>
    </xdr:to>
    <xdr:graphicFrame macro="">
      <xdr:nvGraphicFramePr>
        <xdr:cNvPr id="10" name="Chart 9">
          <a:extLst>
            <a:ext uri="{FF2B5EF4-FFF2-40B4-BE49-F238E27FC236}">
              <a16:creationId xmlns:a16="http://schemas.microsoft.com/office/drawing/2014/main" id="{B519B205-5A50-476E-A94F-75A40618B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466998</xdr:colOff>
      <xdr:row>19</xdr:row>
      <xdr:rowOff>11103</xdr:rowOff>
    </xdr:from>
    <xdr:to>
      <xdr:col>24</xdr:col>
      <xdr:colOff>173869</xdr:colOff>
      <xdr:row>30</xdr:row>
      <xdr:rowOff>225189</xdr:rowOff>
    </xdr:to>
    <xdr:graphicFrame macro="">
      <xdr:nvGraphicFramePr>
        <xdr:cNvPr id="11" name="Chart 10">
          <a:extLst>
            <a:ext uri="{FF2B5EF4-FFF2-40B4-BE49-F238E27FC236}">
              <a16:creationId xmlns:a16="http://schemas.microsoft.com/office/drawing/2014/main" id="{54A965C8-EDF9-4EBA-AAFA-22BCE85D1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333664</xdr:colOff>
      <xdr:row>19</xdr:row>
      <xdr:rowOff>24189</xdr:rowOff>
    </xdr:from>
    <xdr:to>
      <xdr:col>17</xdr:col>
      <xdr:colOff>552450</xdr:colOff>
      <xdr:row>32</xdr:row>
      <xdr:rowOff>96762</xdr:rowOff>
    </xdr:to>
    <xdr:graphicFrame macro="">
      <xdr:nvGraphicFramePr>
        <xdr:cNvPr id="12" name="Chart 11">
          <a:extLst>
            <a:ext uri="{FF2B5EF4-FFF2-40B4-BE49-F238E27FC236}">
              <a16:creationId xmlns:a16="http://schemas.microsoft.com/office/drawing/2014/main" id="{ACAA6445-B0EF-4C5F-A9E6-65889CF13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546541</xdr:colOff>
      <xdr:row>4</xdr:row>
      <xdr:rowOff>74387</xdr:rowOff>
    </xdr:from>
    <xdr:to>
      <xdr:col>17</xdr:col>
      <xdr:colOff>604761</xdr:colOff>
      <xdr:row>18</xdr:row>
      <xdr:rowOff>0</xdr:rowOff>
    </xdr:to>
    <xdr:graphicFrame macro="">
      <xdr:nvGraphicFramePr>
        <xdr:cNvPr id="13" name="Chart 12">
          <a:extLst>
            <a:ext uri="{FF2B5EF4-FFF2-40B4-BE49-F238E27FC236}">
              <a16:creationId xmlns:a16="http://schemas.microsoft.com/office/drawing/2014/main" id="{A38B5FDF-F765-4F55-8A7B-7C7D0CE47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495701</xdr:colOff>
      <xdr:row>18</xdr:row>
      <xdr:rowOff>127116</xdr:rowOff>
    </xdr:from>
    <xdr:to>
      <xdr:col>31</xdr:col>
      <xdr:colOff>55053</xdr:colOff>
      <xdr:row>32</xdr:row>
      <xdr:rowOff>108900</xdr:rowOff>
    </xdr:to>
    <xdr:sp macro="" textlink="">
      <xdr:nvSpPr>
        <xdr:cNvPr id="14" name="Rounded Rectangle 31">
          <a:extLst>
            <a:ext uri="{FF2B5EF4-FFF2-40B4-BE49-F238E27FC236}">
              <a16:creationId xmlns:a16="http://schemas.microsoft.com/office/drawing/2014/main" id="{371D6F6D-5851-4B7B-B476-7414E2F46163}"/>
            </a:ext>
          </a:extLst>
        </xdr:cNvPr>
        <xdr:cNvSpPr/>
      </xdr:nvSpPr>
      <xdr:spPr>
        <a:xfrm rot="5400000">
          <a:off x="15543222" y="3817300"/>
          <a:ext cx="3129719" cy="3844040"/>
        </a:xfrm>
        <a:prstGeom prst="roundRect">
          <a:avLst>
            <a:gd name="adj" fmla="val 6154"/>
          </a:avLst>
        </a:prstGeom>
        <a:solidFill>
          <a:schemeClr val="bg2">
            <a:lumMod val="90000"/>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477900</xdr:colOff>
      <xdr:row>19</xdr:row>
      <xdr:rowOff>18749</xdr:rowOff>
    </xdr:from>
    <xdr:to>
      <xdr:col>30</xdr:col>
      <xdr:colOff>560311</xdr:colOff>
      <xdr:row>32</xdr:row>
      <xdr:rowOff>112485</xdr:rowOff>
    </xdr:to>
    <xdr:graphicFrame macro="">
      <xdr:nvGraphicFramePr>
        <xdr:cNvPr id="15" name="Chart 14">
          <a:extLst>
            <a:ext uri="{FF2B5EF4-FFF2-40B4-BE49-F238E27FC236}">
              <a16:creationId xmlns:a16="http://schemas.microsoft.com/office/drawing/2014/main" id="{C9ED18DE-4B08-4D2E-9624-D3714C2DA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228022</xdr:colOff>
      <xdr:row>4</xdr:row>
      <xdr:rowOff>44565</xdr:rowOff>
    </xdr:from>
    <xdr:to>
      <xdr:col>24</xdr:col>
      <xdr:colOff>399472</xdr:colOff>
      <xdr:row>18</xdr:row>
      <xdr:rowOff>26350</xdr:rowOff>
    </xdr:to>
    <xdr:sp macro="" textlink="">
      <xdr:nvSpPr>
        <xdr:cNvPr id="16" name="Rounded Rectangle 31">
          <a:extLst>
            <a:ext uri="{FF2B5EF4-FFF2-40B4-BE49-F238E27FC236}">
              <a16:creationId xmlns:a16="http://schemas.microsoft.com/office/drawing/2014/main" id="{5B1A7F8D-ADB3-41FC-A26F-77B98DB5C022}"/>
            </a:ext>
          </a:extLst>
        </xdr:cNvPr>
        <xdr:cNvSpPr/>
      </xdr:nvSpPr>
      <xdr:spPr>
        <a:xfrm rot="5400000">
          <a:off x="11602953" y="586814"/>
          <a:ext cx="3129719" cy="3844041"/>
        </a:xfrm>
        <a:prstGeom prst="roundRect">
          <a:avLst>
            <a:gd name="adj" fmla="val 6154"/>
          </a:avLst>
        </a:prstGeom>
        <a:solidFill>
          <a:schemeClr val="bg2">
            <a:lumMod val="90000"/>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205618</xdr:colOff>
      <xdr:row>4</xdr:row>
      <xdr:rowOff>69549</xdr:rowOff>
    </xdr:from>
    <xdr:to>
      <xdr:col>24</xdr:col>
      <xdr:colOff>241904</xdr:colOff>
      <xdr:row>18</xdr:row>
      <xdr:rowOff>0</xdr:rowOff>
    </xdr:to>
    <xdr:graphicFrame macro="">
      <xdr:nvGraphicFramePr>
        <xdr:cNvPr id="17" name="Chart 16">
          <a:extLst>
            <a:ext uri="{FF2B5EF4-FFF2-40B4-BE49-F238E27FC236}">
              <a16:creationId xmlns:a16="http://schemas.microsoft.com/office/drawing/2014/main" id="{C5597560-49B0-47AC-929C-994F4063D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503480</xdr:colOff>
      <xdr:row>4</xdr:row>
      <xdr:rowOff>49354</xdr:rowOff>
    </xdr:from>
    <xdr:to>
      <xdr:col>31</xdr:col>
      <xdr:colOff>62832</xdr:colOff>
      <xdr:row>18</xdr:row>
      <xdr:rowOff>31139</xdr:rowOff>
    </xdr:to>
    <xdr:sp macro="" textlink="">
      <xdr:nvSpPr>
        <xdr:cNvPr id="20" name="Rounded Rectangle 31">
          <a:extLst>
            <a:ext uri="{FF2B5EF4-FFF2-40B4-BE49-F238E27FC236}">
              <a16:creationId xmlns:a16="http://schemas.microsoft.com/office/drawing/2014/main" id="{39A42AD9-C87C-4437-A4AD-C9C72798B23B}"/>
            </a:ext>
          </a:extLst>
        </xdr:cNvPr>
        <xdr:cNvSpPr/>
      </xdr:nvSpPr>
      <xdr:spPr>
        <a:xfrm rot="5400000">
          <a:off x="15551001" y="591604"/>
          <a:ext cx="3129719" cy="3844040"/>
        </a:xfrm>
        <a:prstGeom prst="roundRect">
          <a:avLst>
            <a:gd name="adj" fmla="val 6154"/>
          </a:avLst>
        </a:prstGeom>
        <a:solidFill>
          <a:schemeClr val="bg2">
            <a:lumMod val="90000"/>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534516</xdr:colOff>
      <xdr:row>5</xdr:row>
      <xdr:rowOff>45747</xdr:rowOff>
    </xdr:from>
    <xdr:to>
      <xdr:col>30</xdr:col>
      <xdr:colOff>584891</xdr:colOff>
      <xdr:row>17</xdr:row>
      <xdr:rowOff>153781</xdr:rowOff>
    </xdr:to>
    <xdr:graphicFrame macro="">
      <xdr:nvGraphicFramePr>
        <xdr:cNvPr id="18" name="Chart 17">
          <a:extLst>
            <a:ext uri="{FF2B5EF4-FFF2-40B4-BE49-F238E27FC236}">
              <a16:creationId xmlns:a16="http://schemas.microsoft.com/office/drawing/2014/main" id="{11065B2C-74FF-4490-851E-6BDCA2CE1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319737</xdr:colOff>
      <xdr:row>33</xdr:row>
      <xdr:rowOff>70167</xdr:rowOff>
    </xdr:from>
    <xdr:to>
      <xdr:col>23</xdr:col>
      <xdr:colOff>69901</xdr:colOff>
      <xdr:row>40</xdr:row>
      <xdr:rowOff>20199</xdr:rowOff>
    </xdr:to>
    <xdr:sp macro="" textlink="">
      <xdr:nvSpPr>
        <xdr:cNvPr id="22" name="Rounded Rectangle 31">
          <a:extLst>
            <a:ext uri="{FF2B5EF4-FFF2-40B4-BE49-F238E27FC236}">
              <a16:creationId xmlns:a16="http://schemas.microsoft.com/office/drawing/2014/main" id="{A54098C8-9E92-4ADA-A7C2-A292D5010F2E}"/>
            </a:ext>
          </a:extLst>
        </xdr:cNvPr>
        <xdr:cNvSpPr/>
      </xdr:nvSpPr>
      <xdr:spPr>
        <a:xfrm>
          <a:off x="12025354" y="7560465"/>
          <a:ext cx="2214504" cy="1538883"/>
        </a:xfrm>
        <a:prstGeom prst="roundRect">
          <a:avLst>
            <a:gd name="adj" fmla="val 6154"/>
          </a:avLst>
        </a:prstGeom>
        <a:solidFill>
          <a:schemeClr val="bg2">
            <a:lumMod val="90000"/>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Amonut</a:t>
          </a:r>
        </a:p>
      </xdr:txBody>
    </xdr:sp>
    <xdr:clientData/>
  </xdr:twoCellAnchor>
  <xdr:twoCellAnchor>
    <xdr:from>
      <xdr:col>19</xdr:col>
      <xdr:colOff>500203</xdr:colOff>
      <xdr:row>35</xdr:row>
      <xdr:rowOff>169835</xdr:rowOff>
    </xdr:from>
    <xdr:to>
      <xdr:col>22</xdr:col>
      <xdr:colOff>437744</xdr:colOff>
      <xdr:row>38</xdr:row>
      <xdr:rowOff>219803</xdr:rowOff>
    </xdr:to>
    <xdr:sp macro="" textlink="summarization!B27">
      <xdr:nvSpPr>
        <xdr:cNvPr id="7" name="TextBox 6">
          <a:extLst>
            <a:ext uri="{FF2B5EF4-FFF2-40B4-BE49-F238E27FC236}">
              <a16:creationId xmlns:a16="http://schemas.microsoft.com/office/drawing/2014/main" id="{F7E50BBB-A559-667D-CA2F-FA0758705C3F}"/>
            </a:ext>
          </a:extLst>
        </xdr:cNvPr>
        <xdr:cNvSpPr txBox="1"/>
      </xdr:nvSpPr>
      <xdr:spPr>
        <a:xfrm>
          <a:off x="12205820" y="8114090"/>
          <a:ext cx="1785796" cy="730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D234C1-D398-45EC-A04A-F5D3FCCFFF7B}" type="TxLink">
            <a:rPr lang="en-US" sz="3200" b="0" i="0" u="none" strike="noStrike">
              <a:solidFill>
                <a:schemeClr val="bg1"/>
              </a:solidFill>
              <a:latin typeface="Gill Sans MT"/>
            </a:rPr>
            <a:t>437771</a:t>
          </a:fld>
          <a:endParaRPr lang="en-US" sz="3200">
            <a:solidFill>
              <a:schemeClr val="bg1"/>
            </a:solidFill>
          </a:endParaRPr>
        </a:p>
      </xdr:txBody>
    </xdr:sp>
    <xdr:clientData/>
  </xdr:twoCellAnchor>
  <xdr:twoCellAnchor>
    <xdr:from>
      <xdr:col>12</xdr:col>
      <xdr:colOff>17648</xdr:colOff>
      <xdr:row>33</xdr:row>
      <xdr:rowOff>11534</xdr:rowOff>
    </xdr:from>
    <xdr:to>
      <xdr:col>15</xdr:col>
      <xdr:colOff>379909</xdr:colOff>
      <xdr:row>39</xdr:row>
      <xdr:rowOff>188545</xdr:rowOff>
    </xdr:to>
    <xdr:sp macro="" textlink="">
      <xdr:nvSpPr>
        <xdr:cNvPr id="19" name="Rounded Rectangle 31">
          <a:extLst>
            <a:ext uri="{FF2B5EF4-FFF2-40B4-BE49-F238E27FC236}">
              <a16:creationId xmlns:a16="http://schemas.microsoft.com/office/drawing/2014/main" id="{75B47C80-8FDB-48FD-AA26-CAA6FB412B46}"/>
            </a:ext>
          </a:extLst>
        </xdr:cNvPr>
        <xdr:cNvSpPr/>
      </xdr:nvSpPr>
      <xdr:spPr>
        <a:xfrm>
          <a:off x="7410669" y="7501832"/>
          <a:ext cx="2210517" cy="1538883"/>
        </a:xfrm>
        <a:prstGeom prst="roundRect">
          <a:avLst>
            <a:gd name="adj" fmla="val 6154"/>
          </a:avLst>
        </a:prstGeom>
        <a:solidFill>
          <a:schemeClr val="bg2">
            <a:lumMod val="90000"/>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Profit</a:t>
          </a:r>
        </a:p>
        <a:p>
          <a:pPr algn="l"/>
          <a:endParaRPr lang="en-US" sz="2800"/>
        </a:p>
      </xdr:txBody>
    </xdr:sp>
    <xdr:clientData/>
  </xdr:twoCellAnchor>
  <xdr:twoCellAnchor>
    <xdr:from>
      <xdr:col>12</xdr:col>
      <xdr:colOff>252494</xdr:colOff>
      <xdr:row>35</xdr:row>
      <xdr:rowOff>211032</xdr:rowOff>
    </xdr:from>
    <xdr:to>
      <xdr:col>15</xdr:col>
      <xdr:colOff>264985</xdr:colOff>
      <xdr:row>39</xdr:row>
      <xdr:rowOff>136081</xdr:rowOff>
    </xdr:to>
    <xdr:sp macro="" textlink="summarization!$E$17">
      <xdr:nvSpPr>
        <xdr:cNvPr id="21" name="TextBox 20">
          <a:extLst>
            <a:ext uri="{FF2B5EF4-FFF2-40B4-BE49-F238E27FC236}">
              <a16:creationId xmlns:a16="http://schemas.microsoft.com/office/drawing/2014/main" id="{561A4361-7D01-90F9-BCB5-8BFA5F743BC1}"/>
            </a:ext>
          </a:extLst>
        </xdr:cNvPr>
        <xdr:cNvSpPr txBox="1"/>
      </xdr:nvSpPr>
      <xdr:spPr>
        <a:xfrm>
          <a:off x="7645515" y="8155287"/>
          <a:ext cx="1860747" cy="83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FEE1BB-4892-43E7-A265-CD12F081374E}" type="TxLink">
            <a:rPr lang="en-US" sz="3600" b="0" i="0" u="none" strike="noStrike">
              <a:solidFill>
                <a:schemeClr val="bg1">
                  <a:lumMod val="95000"/>
                </a:schemeClr>
              </a:solidFill>
              <a:latin typeface="Gill Sans MT"/>
            </a:rPr>
            <a:t>36963</a:t>
          </a:fld>
          <a:endParaRPr lang="en-US" sz="3600">
            <a:solidFill>
              <a:schemeClr val="bg1">
                <a:lumMod val="95000"/>
              </a:schemeClr>
            </a:solidFill>
          </a:endParaRPr>
        </a:p>
      </xdr:txBody>
    </xdr:sp>
    <xdr:clientData/>
  </xdr:twoCellAnchor>
  <xdr:twoCellAnchor>
    <xdr:from>
      <xdr:col>15</xdr:col>
      <xdr:colOff>469851</xdr:colOff>
      <xdr:row>33</xdr:row>
      <xdr:rowOff>46457</xdr:rowOff>
    </xdr:from>
    <xdr:to>
      <xdr:col>19</xdr:col>
      <xdr:colOff>220015</xdr:colOff>
      <xdr:row>39</xdr:row>
      <xdr:rowOff>223468</xdr:rowOff>
    </xdr:to>
    <xdr:sp macro="" textlink="">
      <xdr:nvSpPr>
        <xdr:cNvPr id="23" name="Rounded Rectangle 31">
          <a:extLst>
            <a:ext uri="{FF2B5EF4-FFF2-40B4-BE49-F238E27FC236}">
              <a16:creationId xmlns:a16="http://schemas.microsoft.com/office/drawing/2014/main" id="{B240D09D-CF7E-408C-BAAE-9E62C8E559E1}"/>
            </a:ext>
          </a:extLst>
        </xdr:cNvPr>
        <xdr:cNvSpPr/>
      </xdr:nvSpPr>
      <xdr:spPr>
        <a:xfrm>
          <a:off x="9711128" y="7536755"/>
          <a:ext cx="2214504" cy="1538883"/>
        </a:xfrm>
        <a:prstGeom prst="roundRect">
          <a:avLst>
            <a:gd name="adj" fmla="val 6154"/>
          </a:avLst>
        </a:prstGeom>
        <a:solidFill>
          <a:schemeClr val="bg2">
            <a:lumMod val="90000"/>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Quantity</a:t>
          </a:r>
        </a:p>
        <a:p>
          <a:pPr algn="l"/>
          <a:endParaRPr lang="en-US" sz="2800"/>
        </a:p>
      </xdr:txBody>
    </xdr:sp>
    <xdr:clientData/>
  </xdr:twoCellAnchor>
  <xdr:twoCellAnchor>
    <xdr:from>
      <xdr:col>15</xdr:col>
      <xdr:colOff>606250</xdr:colOff>
      <xdr:row>35</xdr:row>
      <xdr:rowOff>193490</xdr:rowOff>
    </xdr:from>
    <xdr:to>
      <xdr:col>19</xdr:col>
      <xdr:colOff>115084</xdr:colOff>
      <xdr:row>39</xdr:row>
      <xdr:rowOff>93555</xdr:rowOff>
    </xdr:to>
    <xdr:sp macro="" textlink="summarization!K9">
      <xdr:nvSpPr>
        <xdr:cNvPr id="24" name="TextBox 23">
          <a:extLst>
            <a:ext uri="{FF2B5EF4-FFF2-40B4-BE49-F238E27FC236}">
              <a16:creationId xmlns:a16="http://schemas.microsoft.com/office/drawing/2014/main" id="{814B25CB-C69F-D787-D649-84402F625A15}"/>
            </a:ext>
          </a:extLst>
        </xdr:cNvPr>
        <xdr:cNvSpPr txBox="1"/>
      </xdr:nvSpPr>
      <xdr:spPr>
        <a:xfrm>
          <a:off x="9847527" y="8137745"/>
          <a:ext cx="1973174" cy="80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BA34BE-D6FC-4D7C-B5BB-011C0C604D70}" type="TxLink">
            <a:rPr lang="en-US" sz="3600" b="0" i="0" u="none" strike="noStrike">
              <a:solidFill>
                <a:schemeClr val="bg1"/>
              </a:solidFill>
              <a:effectLst/>
              <a:latin typeface="Gill Sans MT"/>
            </a:rPr>
            <a:t>5615</a:t>
          </a:fld>
          <a:endParaRPr lang="en-US" sz="3600">
            <a:solidFill>
              <a:schemeClr val="bg1"/>
            </a:solidFill>
          </a:endParaRPr>
        </a:p>
      </xdr:txBody>
    </xdr:sp>
    <xdr:clientData/>
  </xdr:twoCellAnchor>
  <xdr:twoCellAnchor editAs="oneCell">
    <xdr:from>
      <xdr:col>23</xdr:col>
      <xdr:colOff>170856</xdr:colOff>
      <xdr:row>33</xdr:row>
      <xdr:rowOff>101064</xdr:rowOff>
    </xdr:from>
    <xdr:to>
      <xdr:col>28</xdr:col>
      <xdr:colOff>32425</xdr:colOff>
      <xdr:row>39</xdr:row>
      <xdr:rowOff>196518</xdr:rowOff>
    </xdr:to>
    <mc:AlternateContent xmlns:mc="http://schemas.openxmlformats.org/markup-compatibility/2006">
      <mc:Choice xmlns:a14="http://schemas.microsoft.com/office/drawing/2010/main" Requires="a14">
        <xdr:graphicFrame macro="">
          <xdr:nvGraphicFramePr>
            <xdr:cNvPr id="25" name="State 1">
              <a:extLst>
                <a:ext uri="{FF2B5EF4-FFF2-40B4-BE49-F238E27FC236}">
                  <a16:creationId xmlns:a16="http://schemas.microsoft.com/office/drawing/2014/main" id="{06C0C1D2-BDE3-4871-A23E-5A3BF47F511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4340813" y="7591362"/>
              <a:ext cx="2941995" cy="1457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87915</xdr:colOff>
      <xdr:row>33</xdr:row>
      <xdr:rowOff>97277</xdr:rowOff>
    </xdr:from>
    <xdr:to>
      <xdr:col>31</xdr:col>
      <xdr:colOff>80989</xdr:colOff>
      <xdr:row>39</xdr:row>
      <xdr:rowOff>178342</xdr:rowOff>
    </xdr:to>
    <mc:AlternateContent xmlns:mc="http://schemas.openxmlformats.org/markup-compatibility/2006">
      <mc:Choice xmlns:a14="http://schemas.microsoft.com/office/drawing/2010/main" Requires="a14">
        <xdr:graphicFrame macro="">
          <xdr:nvGraphicFramePr>
            <xdr:cNvPr id="26" name="Quantity 1">
              <a:extLst>
                <a:ext uri="{FF2B5EF4-FFF2-40B4-BE49-F238E27FC236}">
                  <a16:creationId xmlns:a16="http://schemas.microsoft.com/office/drawing/2014/main" id="{69248D9D-2B82-44BA-B112-3A96F70FB2A0}"/>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17338298" y="7587575"/>
              <a:ext cx="1841329" cy="1442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281257</xdr:colOff>
      <xdr:row>33</xdr:row>
      <xdr:rowOff>0</xdr:rowOff>
    </xdr:from>
    <xdr:to>
      <xdr:col>11</xdr:col>
      <xdr:colOff>535021</xdr:colOff>
      <xdr:row>40</xdr:row>
      <xdr:rowOff>0</xdr:rowOff>
    </xdr:to>
    <xdr:sp macro="" textlink="">
      <xdr:nvSpPr>
        <xdr:cNvPr id="27" name="Rounded Rectangle 31">
          <a:extLst>
            <a:ext uri="{FF2B5EF4-FFF2-40B4-BE49-F238E27FC236}">
              <a16:creationId xmlns:a16="http://schemas.microsoft.com/office/drawing/2014/main" id="{1EF6542A-5C22-40E1-AA50-1D8A99C4D438}"/>
            </a:ext>
          </a:extLst>
        </xdr:cNvPr>
        <xdr:cNvSpPr/>
      </xdr:nvSpPr>
      <xdr:spPr>
        <a:xfrm>
          <a:off x="3361683" y="7490298"/>
          <a:ext cx="3950274" cy="1588851"/>
        </a:xfrm>
        <a:prstGeom prst="roundRect">
          <a:avLst>
            <a:gd name="adj" fmla="val 6154"/>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3600"/>
            <a:t>E-Commerce-Store</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Sheet2"/>
    </sheetNames>
    <sheetDataSet>
      <sheetData sheetId="0">
        <row r="1">
          <cell r="A1" t="str">
            <v>Order ID</v>
          </cell>
          <cell r="B1" t="str">
            <v>Order Date</v>
          </cell>
          <cell r="C1" t="str">
            <v>CustomerName</v>
          </cell>
          <cell r="D1" t="str">
            <v>State</v>
          </cell>
          <cell r="E1" t="str">
            <v>City</v>
          </cell>
        </row>
        <row r="2">
          <cell r="A2" t="str">
            <v>B-26055</v>
          </cell>
          <cell r="B2">
            <v>43169</v>
          </cell>
          <cell r="C2" t="str">
            <v>Harivansh</v>
          </cell>
          <cell r="D2" t="str">
            <v>Uttar Pradesh</v>
          </cell>
          <cell r="E2" t="str">
            <v>Mathura</v>
          </cell>
        </row>
        <row r="3">
          <cell r="A3" t="str">
            <v>B-25993</v>
          </cell>
          <cell r="B3">
            <v>43134</v>
          </cell>
          <cell r="C3" t="str">
            <v>Madhav</v>
          </cell>
          <cell r="D3" t="str">
            <v>Delhi</v>
          </cell>
          <cell r="E3" t="str">
            <v>Delhi</v>
          </cell>
        </row>
        <row r="4">
          <cell r="A4" t="str">
            <v>B-25973</v>
          </cell>
          <cell r="B4">
            <v>43124</v>
          </cell>
          <cell r="C4" t="str">
            <v>Madan Mohan</v>
          </cell>
          <cell r="D4" t="str">
            <v>Uttar Pradesh</v>
          </cell>
          <cell r="E4" t="str">
            <v>Mathura</v>
          </cell>
        </row>
        <row r="5">
          <cell r="A5" t="str">
            <v>B-25923</v>
          </cell>
          <cell r="B5">
            <v>43461</v>
          </cell>
          <cell r="C5" t="str">
            <v>Gopal</v>
          </cell>
          <cell r="D5" t="str">
            <v>Maharashtra</v>
          </cell>
          <cell r="E5" t="str">
            <v>Mumbai</v>
          </cell>
        </row>
        <row r="6">
          <cell r="A6" t="str">
            <v>B-25757</v>
          </cell>
          <cell r="B6">
            <v>43333</v>
          </cell>
          <cell r="C6" t="str">
            <v>Vishakha</v>
          </cell>
          <cell r="D6" t="str">
            <v>Madhya Pradesh</v>
          </cell>
          <cell r="E6" t="str">
            <v>Indore</v>
          </cell>
        </row>
        <row r="7">
          <cell r="A7" t="str">
            <v>B-25967</v>
          </cell>
          <cell r="B7">
            <v>43121</v>
          </cell>
          <cell r="C7" t="str">
            <v>Sudevi</v>
          </cell>
          <cell r="D7" t="str">
            <v>Uttar Pradesh</v>
          </cell>
          <cell r="E7" t="str">
            <v>Prayagraj</v>
          </cell>
        </row>
        <row r="8">
          <cell r="A8" t="str">
            <v>B-25955</v>
          </cell>
          <cell r="B8">
            <v>43116</v>
          </cell>
          <cell r="C8" t="str">
            <v>Shiva</v>
          </cell>
          <cell r="D8" t="str">
            <v>Maharashtra</v>
          </cell>
          <cell r="E8" t="str">
            <v>Pune</v>
          </cell>
        </row>
        <row r="9">
          <cell r="A9" t="str">
            <v>B-26093</v>
          </cell>
          <cell r="B9">
            <v>43186</v>
          </cell>
          <cell r="C9" t="str">
            <v>Sarita</v>
          </cell>
          <cell r="D9" t="str">
            <v>Maharashtra</v>
          </cell>
          <cell r="E9" t="str">
            <v>Pune</v>
          </cell>
        </row>
        <row r="10">
          <cell r="A10" t="str">
            <v>B-25798</v>
          </cell>
          <cell r="B10">
            <v>43374</v>
          </cell>
          <cell r="C10" t="str">
            <v>Shishu</v>
          </cell>
          <cell r="D10" t="str">
            <v>Andhra Pradesh</v>
          </cell>
          <cell r="E10" t="str">
            <v>Hyderabad</v>
          </cell>
        </row>
        <row r="11">
          <cell r="A11" t="str">
            <v>B-25602</v>
          </cell>
          <cell r="B11">
            <v>43191</v>
          </cell>
          <cell r="C11" t="str">
            <v>Vrinda</v>
          </cell>
          <cell r="D11" t="str">
            <v>Maharashtra</v>
          </cell>
          <cell r="E11" t="str">
            <v>Pune</v>
          </cell>
        </row>
        <row r="12">
          <cell r="A12" t="str">
            <v>B-25858</v>
          </cell>
          <cell r="B12">
            <v>43417</v>
          </cell>
          <cell r="C12" t="str">
            <v>Uudhav</v>
          </cell>
          <cell r="D12" t="str">
            <v>Maharashtra</v>
          </cell>
          <cell r="E12" t="str">
            <v>Mumbai</v>
          </cell>
        </row>
        <row r="13">
          <cell r="A13" t="str">
            <v>B-25969</v>
          </cell>
          <cell r="B13">
            <v>43121</v>
          </cell>
          <cell r="C13" t="str">
            <v>Shreyshi</v>
          </cell>
          <cell r="D13" t="str">
            <v>Gujarat</v>
          </cell>
          <cell r="E13" t="str">
            <v>Surat</v>
          </cell>
        </row>
        <row r="14">
          <cell r="A14" t="str">
            <v>B-26099</v>
          </cell>
          <cell r="B14">
            <v>43189</v>
          </cell>
          <cell r="C14" t="str">
            <v>Bhishm</v>
          </cell>
          <cell r="D14" t="str">
            <v>Maharashtra</v>
          </cell>
          <cell r="E14" t="str">
            <v>Mumbai</v>
          </cell>
        </row>
        <row r="15">
          <cell r="A15" t="str">
            <v>B-25997</v>
          </cell>
          <cell r="B15">
            <v>43135</v>
          </cell>
          <cell r="C15" t="str">
            <v>Yogesh</v>
          </cell>
          <cell r="D15" t="str">
            <v>Maharashtra</v>
          </cell>
          <cell r="E15" t="str">
            <v>Pune</v>
          </cell>
        </row>
        <row r="16">
          <cell r="A16" t="str">
            <v>B-25881</v>
          </cell>
          <cell r="B16">
            <v>43429</v>
          </cell>
          <cell r="C16" t="str">
            <v>Lalita</v>
          </cell>
          <cell r="D16" t="str">
            <v>Uttar Pradesh</v>
          </cell>
          <cell r="E16" t="str">
            <v>Mathura</v>
          </cell>
        </row>
        <row r="17">
          <cell r="A17" t="str">
            <v>B-25761</v>
          </cell>
          <cell r="B17">
            <v>43337</v>
          </cell>
          <cell r="C17" t="str">
            <v>Madhav</v>
          </cell>
          <cell r="D17" t="str">
            <v>Uttar Pradesh</v>
          </cell>
          <cell r="E17" t="str">
            <v>Mathura</v>
          </cell>
        </row>
        <row r="18">
          <cell r="A18" t="str">
            <v>B-25887</v>
          </cell>
          <cell r="B18">
            <v>43435</v>
          </cell>
          <cell r="C18" t="str">
            <v>Vishakha</v>
          </cell>
          <cell r="D18" t="str">
            <v>Uttar Pradesh</v>
          </cell>
          <cell r="E18" t="str">
            <v>Prayagraj</v>
          </cell>
        </row>
        <row r="19">
          <cell r="A19" t="str">
            <v>B-25823</v>
          </cell>
          <cell r="B19">
            <v>43391</v>
          </cell>
          <cell r="C19" t="str">
            <v>Rohan</v>
          </cell>
          <cell r="D19" t="str">
            <v>Maharashtra</v>
          </cell>
          <cell r="E19" t="str">
            <v>Mumbai</v>
          </cell>
        </row>
        <row r="20">
          <cell r="A20" t="str">
            <v>B-25853</v>
          </cell>
          <cell r="B20">
            <v>43412</v>
          </cell>
          <cell r="C20" t="str">
            <v>Gaurav</v>
          </cell>
          <cell r="D20" t="str">
            <v>Gujarat</v>
          </cell>
          <cell r="E20" t="str">
            <v>Ahmedabad</v>
          </cell>
        </row>
        <row r="21">
          <cell r="A21" t="str">
            <v>B-25862</v>
          </cell>
          <cell r="B21">
            <v>43419</v>
          </cell>
          <cell r="C21" t="str">
            <v>Amol</v>
          </cell>
          <cell r="D21" t="str">
            <v>Bihar</v>
          </cell>
          <cell r="E21" t="str">
            <v>Patna</v>
          </cell>
        </row>
        <row r="22">
          <cell r="A22" t="str">
            <v>B-25830</v>
          </cell>
          <cell r="B22">
            <v>43399</v>
          </cell>
          <cell r="C22" t="str">
            <v>Aastha</v>
          </cell>
          <cell r="D22" t="str">
            <v>Himachal Pradesh</v>
          </cell>
          <cell r="E22" t="str">
            <v>Simla</v>
          </cell>
        </row>
        <row r="23">
          <cell r="A23" t="str">
            <v>B-25786</v>
          </cell>
          <cell r="B23">
            <v>43362</v>
          </cell>
          <cell r="C23" t="str">
            <v>Madan Mohan</v>
          </cell>
          <cell r="D23" t="str">
            <v>Uttar Pradesh</v>
          </cell>
          <cell r="E23" t="str">
            <v>Mathura</v>
          </cell>
        </row>
        <row r="24">
          <cell r="A24" t="str">
            <v>B-25686</v>
          </cell>
          <cell r="B24">
            <v>43262</v>
          </cell>
          <cell r="C24" t="str">
            <v>Pooja</v>
          </cell>
          <cell r="D24" t="str">
            <v>Himachal Pradesh</v>
          </cell>
          <cell r="E24" t="str">
            <v>Simla</v>
          </cell>
        </row>
        <row r="25">
          <cell r="A25" t="str">
            <v>B-26022</v>
          </cell>
          <cell r="B25">
            <v>43149</v>
          </cell>
          <cell r="C25" t="str">
            <v>Shrichand</v>
          </cell>
          <cell r="D25" t="str">
            <v>Punjab</v>
          </cell>
          <cell r="E25" t="str">
            <v>Chandigarh</v>
          </cell>
        </row>
        <row r="26">
          <cell r="A26" t="str">
            <v>B-26003</v>
          </cell>
          <cell r="B26">
            <v>43139</v>
          </cell>
          <cell r="C26" t="str">
            <v>Hitesh</v>
          </cell>
          <cell r="D26" t="str">
            <v>Madhya Pradesh</v>
          </cell>
          <cell r="E26" t="str">
            <v>Bhopal</v>
          </cell>
        </row>
        <row r="27">
          <cell r="A27" t="str">
            <v>B-25755</v>
          </cell>
          <cell r="B27">
            <v>43331</v>
          </cell>
          <cell r="C27" t="str">
            <v>Shourya</v>
          </cell>
          <cell r="D27" t="str">
            <v xml:space="preserve">Kerala </v>
          </cell>
          <cell r="E27" t="str">
            <v>Thiruvananthapuram</v>
          </cell>
        </row>
        <row r="28">
          <cell r="A28" t="str">
            <v>B-25902</v>
          </cell>
          <cell r="B28">
            <v>43444</v>
          </cell>
          <cell r="C28" t="str">
            <v>Ishpreet</v>
          </cell>
          <cell r="D28" t="str">
            <v>Maharashtra</v>
          </cell>
          <cell r="E28" t="str">
            <v>Mumbai</v>
          </cell>
        </row>
        <row r="29">
          <cell r="A29" t="str">
            <v>B-25935</v>
          </cell>
          <cell r="B29">
            <v>43104</v>
          </cell>
          <cell r="C29" t="str">
            <v>Sudhir</v>
          </cell>
          <cell r="D29" t="str">
            <v>Nagaland</v>
          </cell>
          <cell r="E29" t="str">
            <v>Kohima</v>
          </cell>
        </row>
        <row r="30">
          <cell r="A30" t="str">
            <v>B-25797</v>
          </cell>
          <cell r="B30">
            <v>43373</v>
          </cell>
          <cell r="C30" t="str">
            <v>Sauptik</v>
          </cell>
          <cell r="D30" t="str">
            <v>Madhya Pradesh</v>
          </cell>
          <cell r="E30" t="str">
            <v>Indore</v>
          </cell>
        </row>
        <row r="31">
          <cell r="A31" t="str">
            <v>B-25639</v>
          </cell>
          <cell r="B31">
            <v>43217</v>
          </cell>
          <cell r="C31" t="str">
            <v>Lisha</v>
          </cell>
          <cell r="D31" t="str">
            <v>Madhya Pradesh</v>
          </cell>
          <cell r="E31" t="str">
            <v>Bhopal</v>
          </cell>
        </row>
        <row r="32">
          <cell r="A32" t="str">
            <v>B-25681</v>
          </cell>
          <cell r="B32">
            <v>43255</v>
          </cell>
          <cell r="C32" t="str">
            <v>Bhawna</v>
          </cell>
          <cell r="D32" t="str">
            <v>Madhya Pradesh</v>
          </cell>
          <cell r="E32" t="str">
            <v>Indore</v>
          </cell>
        </row>
        <row r="33">
          <cell r="A33" t="str">
            <v>B-25909</v>
          </cell>
          <cell r="B33">
            <v>43447</v>
          </cell>
          <cell r="C33" t="str">
            <v>Sujay</v>
          </cell>
          <cell r="D33" t="str">
            <v>Maharashtra</v>
          </cell>
          <cell r="E33" t="str">
            <v>Pune</v>
          </cell>
        </row>
        <row r="34">
          <cell r="A34" t="str">
            <v>B-25910</v>
          </cell>
          <cell r="B34">
            <v>43448</v>
          </cell>
          <cell r="C34" t="str">
            <v>Jay</v>
          </cell>
          <cell r="D34" t="str">
            <v>Delhi</v>
          </cell>
          <cell r="E34" t="str">
            <v>Delhi</v>
          </cell>
        </row>
        <row r="35">
          <cell r="A35" t="str">
            <v>B-25950</v>
          </cell>
          <cell r="B35">
            <v>43113</v>
          </cell>
          <cell r="C35" t="str">
            <v>Shruti</v>
          </cell>
          <cell r="D35" t="str">
            <v>Madhya Pradesh</v>
          </cell>
          <cell r="E35" t="str">
            <v>Indore</v>
          </cell>
        </row>
        <row r="36">
          <cell r="A36" t="str">
            <v>B-25613</v>
          </cell>
          <cell r="B36">
            <v>43202</v>
          </cell>
          <cell r="C36" t="str">
            <v>Mohan</v>
          </cell>
          <cell r="D36" t="str">
            <v>Haryana</v>
          </cell>
          <cell r="E36" t="str">
            <v>Chandigarh</v>
          </cell>
        </row>
        <row r="37">
          <cell r="A37" t="str">
            <v>B-25919</v>
          </cell>
          <cell r="B37">
            <v>43457</v>
          </cell>
          <cell r="C37" t="str">
            <v>Neha</v>
          </cell>
          <cell r="D37" t="str">
            <v>Rajasthan</v>
          </cell>
          <cell r="E37" t="str">
            <v>Udaipur</v>
          </cell>
        </row>
        <row r="38">
          <cell r="A38" t="str">
            <v>B-25768</v>
          </cell>
          <cell r="B38">
            <v>43344</v>
          </cell>
          <cell r="C38" t="str">
            <v>Shreyoshe</v>
          </cell>
          <cell r="D38" t="str">
            <v>Karnataka</v>
          </cell>
          <cell r="E38" t="str">
            <v>Bangalore</v>
          </cell>
        </row>
        <row r="39">
          <cell r="A39" t="str">
            <v>B-25629</v>
          </cell>
          <cell r="B39">
            <v>43214</v>
          </cell>
          <cell r="C39" t="str">
            <v>Hemant</v>
          </cell>
          <cell r="D39" t="str">
            <v xml:space="preserve">Kerala </v>
          </cell>
          <cell r="E39" t="str">
            <v>Thiruvananthapuram</v>
          </cell>
        </row>
        <row r="40">
          <cell r="A40" t="str">
            <v>B-25729</v>
          </cell>
          <cell r="B40">
            <v>43303</v>
          </cell>
          <cell r="C40" t="str">
            <v>Madhulika</v>
          </cell>
          <cell r="D40" t="str">
            <v>Madhya Pradesh</v>
          </cell>
          <cell r="E40" t="str">
            <v>Bhopal</v>
          </cell>
        </row>
        <row r="41">
          <cell r="A41" t="str">
            <v>B-25943</v>
          </cell>
          <cell r="B41">
            <v>43109</v>
          </cell>
          <cell r="C41" t="str">
            <v>Shardul</v>
          </cell>
          <cell r="D41" t="str">
            <v>Gujarat</v>
          </cell>
          <cell r="E41" t="str">
            <v>Ahmedabad</v>
          </cell>
        </row>
        <row r="42">
          <cell r="A42" t="str">
            <v>B-25842</v>
          </cell>
          <cell r="B42">
            <v>43406</v>
          </cell>
          <cell r="C42" t="str">
            <v>Sheetal</v>
          </cell>
          <cell r="D42" t="str">
            <v>Maharashtra</v>
          </cell>
          <cell r="E42" t="str">
            <v>Pune</v>
          </cell>
        </row>
        <row r="43">
          <cell r="A43" t="str">
            <v>B-26073</v>
          </cell>
          <cell r="B43">
            <v>43180</v>
          </cell>
          <cell r="C43" t="str">
            <v>Pournamasi</v>
          </cell>
          <cell r="D43" t="str">
            <v>Madhya Pradesh</v>
          </cell>
          <cell r="E43" t="str">
            <v>Indore</v>
          </cell>
        </row>
        <row r="44">
          <cell r="A44" t="str">
            <v>B-25778</v>
          </cell>
          <cell r="B44">
            <v>43354</v>
          </cell>
          <cell r="C44" t="str">
            <v>Surabhi</v>
          </cell>
          <cell r="D44" t="str">
            <v>Maharashtra</v>
          </cell>
          <cell r="E44" t="str">
            <v>Mumbai</v>
          </cell>
        </row>
        <row r="45">
          <cell r="A45" t="str">
            <v>B-25717</v>
          </cell>
          <cell r="B45">
            <v>43293</v>
          </cell>
          <cell r="C45" t="str">
            <v>Manshul</v>
          </cell>
          <cell r="D45" t="str">
            <v>Uttar Pradesh</v>
          </cell>
          <cell r="E45" t="str">
            <v>Lucknow</v>
          </cell>
        </row>
        <row r="46">
          <cell r="A46" t="str">
            <v>B-26085</v>
          </cell>
          <cell r="B46">
            <v>43185</v>
          </cell>
          <cell r="C46" t="str">
            <v>Shrichand</v>
          </cell>
          <cell r="D46" t="str">
            <v>Punjab</v>
          </cell>
          <cell r="E46" t="str">
            <v>Chandigarh</v>
          </cell>
        </row>
        <row r="47">
          <cell r="A47" t="str">
            <v>B-26048</v>
          </cell>
          <cell r="B47">
            <v>43163</v>
          </cell>
          <cell r="C47" t="str">
            <v>Parth</v>
          </cell>
          <cell r="D47" t="str">
            <v>Maharashtra</v>
          </cell>
          <cell r="E47" t="str">
            <v>Pune</v>
          </cell>
        </row>
        <row r="48">
          <cell r="A48" t="str">
            <v>B-25793</v>
          </cell>
          <cell r="B48">
            <v>43367</v>
          </cell>
          <cell r="C48" t="str">
            <v>Siddharth</v>
          </cell>
          <cell r="D48" t="str">
            <v>Madhya Pradesh</v>
          </cell>
          <cell r="E48" t="str">
            <v>Indore</v>
          </cell>
        </row>
        <row r="49">
          <cell r="A49" t="str">
            <v>B-25656</v>
          </cell>
          <cell r="B49">
            <v>43231</v>
          </cell>
          <cell r="C49" t="str">
            <v>Priyanka</v>
          </cell>
          <cell r="D49" t="str">
            <v>Maharashtra</v>
          </cell>
          <cell r="E49" t="str">
            <v>Pune</v>
          </cell>
        </row>
        <row r="50">
          <cell r="A50" t="str">
            <v>B-25608</v>
          </cell>
          <cell r="B50">
            <v>43198</v>
          </cell>
          <cell r="C50" t="str">
            <v>Aarushi</v>
          </cell>
          <cell r="D50" t="str">
            <v>Tamil Nadu</v>
          </cell>
          <cell r="E50" t="str">
            <v>Chennai</v>
          </cell>
        </row>
        <row r="51">
          <cell r="A51" t="str">
            <v>B-25752</v>
          </cell>
          <cell r="B51">
            <v>43326</v>
          </cell>
          <cell r="C51" t="str">
            <v>Vaibhav</v>
          </cell>
          <cell r="D51" t="str">
            <v>Madhya Pradesh</v>
          </cell>
          <cell r="E51" t="str">
            <v>Indore</v>
          </cell>
        </row>
        <row r="52">
          <cell r="A52" t="str">
            <v>B-25779</v>
          </cell>
          <cell r="B52">
            <v>43355</v>
          </cell>
          <cell r="C52" t="str">
            <v>Savi</v>
          </cell>
          <cell r="D52" t="str">
            <v>Maharashtra</v>
          </cell>
          <cell r="E52" t="str">
            <v>Pune</v>
          </cell>
        </row>
        <row r="53">
          <cell r="A53" t="str">
            <v>B-25603</v>
          </cell>
          <cell r="B53">
            <v>43193</v>
          </cell>
          <cell r="C53" t="str">
            <v>Jahan</v>
          </cell>
          <cell r="D53" t="str">
            <v>Madhya Pradesh</v>
          </cell>
          <cell r="E53" t="str">
            <v>Bhopal</v>
          </cell>
        </row>
        <row r="54">
          <cell r="A54" t="str">
            <v>B-26051</v>
          </cell>
          <cell r="B54">
            <v>43166</v>
          </cell>
          <cell r="C54" t="str">
            <v>Parishi</v>
          </cell>
          <cell r="D54" t="str">
            <v>West Bengal</v>
          </cell>
          <cell r="E54" t="str">
            <v>Kolkata</v>
          </cell>
        </row>
        <row r="55">
          <cell r="A55" t="str">
            <v>B-25653</v>
          </cell>
          <cell r="B55">
            <v>43228</v>
          </cell>
          <cell r="C55" t="str">
            <v>Farah</v>
          </cell>
          <cell r="D55" t="str">
            <v>Nagaland</v>
          </cell>
          <cell r="E55" t="str">
            <v>Kohima</v>
          </cell>
        </row>
        <row r="56">
          <cell r="A56" t="str">
            <v>B-25855</v>
          </cell>
          <cell r="B56">
            <v>43412</v>
          </cell>
          <cell r="C56" t="str">
            <v>Abhijeet</v>
          </cell>
          <cell r="D56" t="str">
            <v>Madhya Pradesh</v>
          </cell>
          <cell r="E56" t="str">
            <v>Bhopal</v>
          </cell>
        </row>
        <row r="57">
          <cell r="A57" t="str">
            <v>B-25762</v>
          </cell>
          <cell r="B57">
            <v>43338</v>
          </cell>
          <cell r="C57" t="str">
            <v>Anudeep</v>
          </cell>
          <cell r="D57" t="str">
            <v>Madhya Pradesh</v>
          </cell>
          <cell r="E57" t="str">
            <v>Indore</v>
          </cell>
        </row>
        <row r="58">
          <cell r="A58" t="str">
            <v>B-25995</v>
          </cell>
          <cell r="B58">
            <v>43135</v>
          </cell>
          <cell r="C58" t="str">
            <v>Yohann</v>
          </cell>
          <cell r="D58" t="str">
            <v>Delhi</v>
          </cell>
          <cell r="E58" t="str">
            <v>Delhi</v>
          </cell>
        </row>
        <row r="59">
          <cell r="A59" t="str">
            <v>B-25929</v>
          </cell>
          <cell r="B59">
            <v>43102</v>
          </cell>
          <cell r="C59" t="str">
            <v>Girase</v>
          </cell>
          <cell r="D59" t="str">
            <v xml:space="preserve">Kerala </v>
          </cell>
          <cell r="E59" t="str">
            <v>Thiruvananthapuram</v>
          </cell>
        </row>
        <row r="60">
          <cell r="A60" t="str">
            <v>B-26006</v>
          </cell>
          <cell r="B60">
            <v>43140</v>
          </cell>
          <cell r="C60" t="str">
            <v>Arpita</v>
          </cell>
          <cell r="D60" t="str">
            <v>Karnataka</v>
          </cell>
          <cell r="E60" t="str">
            <v>Bangalore</v>
          </cell>
        </row>
        <row r="61">
          <cell r="A61" t="str">
            <v>B-25697</v>
          </cell>
          <cell r="B61">
            <v>43273</v>
          </cell>
          <cell r="C61" t="str">
            <v>Vijay</v>
          </cell>
          <cell r="D61" t="str">
            <v>Jammu and Kashmir</v>
          </cell>
          <cell r="E61" t="str">
            <v>Kashmir</v>
          </cell>
        </row>
        <row r="62">
          <cell r="A62" t="str">
            <v>B-25836</v>
          </cell>
          <cell r="B62">
            <v>43402</v>
          </cell>
          <cell r="C62" t="str">
            <v>Arti</v>
          </cell>
          <cell r="D62" t="str">
            <v>Maharashtra</v>
          </cell>
          <cell r="E62" t="str">
            <v>Pune</v>
          </cell>
        </row>
        <row r="63">
          <cell r="A63" t="str">
            <v>B-25601</v>
          </cell>
          <cell r="B63">
            <v>43191</v>
          </cell>
          <cell r="C63" t="str">
            <v>Bharat</v>
          </cell>
          <cell r="D63" t="str">
            <v>Gujarat</v>
          </cell>
          <cell r="E63" t="str">
            <v>Ahmedabad</v>
          </cell>
        </row>
        <row r="64">
          <cell r="A64" t="str">
            <v>B-25873</v>
          </cell>
          <cell r="B64">
            <v>43427</v>
          </cell>
          <cell r="C64" t="str">
            <v>Divyeta</v>
          </cell>
          <cell r="D64" t="str">
            <v>Madhya Pradesh</v>
          </cell>
          <cell r="E64" t="str">
            <v>Indore</v>
          </cell>
        </row>
        <row r="65">
          <cell r="A65" t="str">
            <v>B-26028</v>
          </cell>
          <cell r="B65">
            <v>43151</v>
          </cell>
          <cell r="C65" t="str">
            <v>Manju</v>
          </cell>
          <cell r="D65" t="str">
            <v>Andhra Pradesh</v>
          </cell>
          <cell r="E65" t="str">
            <v>Hyderabad</v>
          </cell>
        </row>
        <row r="66">
          <cell r="A66" t="str">
            <v>B-25964</v>
          </cell>
          <cell r="B66">
            <v>43120</v>
          </cell>
          <cell r="C66" t="str">
            <v>Oshin</v>
          </cell>
          <cell r="D66" t="str">
            <v>Maharashtra</v>
          </cell>
          <cell r="E66" t="str">
            <v>Pune</v>
          </cell>
        </row>
        <row r="67">
          <cell r="A67" t="str">
            <v>B-25676</v>
          </cell>
          <cell r="B67">
            <v>43252</v>
          </cell>
          <cell r="C67" t="str">
            <v>Chandni</v>
          </cell>
          <cell r="D67" t="str">
            <v>Rajasthan</v>
          </cell>
          <cell r="E67" t="str">
            <v>Jaipur</v>
          </cell>
        </row>
        <row r="68">
          <cell r="A68" t="str">
            <v>B-25839</v>
          </cell>
          <cell r="B68">
            <v>43403</v>
          </cell>
          <cell r="C68" t="str">
            <v>Pranjali</v>
          </cell>
          <cell r="D68" t="str">
            <v>West Bengal</v>
          </cell>
          <cell r="E68" t="str">
            <v>Kolkata</v>
          </cell>
        </row>
        <row r="69">
          <cell r="A69" t="str">
            <v>B-25894</v>
          </cell>
          <cell r="B69">
            <v>43438</v>
          </cell>
          <cell r="C69" t="str">
            <v>Monu</v>
          </cell>
          <cell r="D69" t="str">
            <v>Punjab</v>
          </cell>
          <cell r="E69" t="str">
            <v>Amritsar</v>
          </cell>
        </row>
        <row r="70">
          <cell r="A70" t="str">
            <v>B-25925</v>
          </cell>
          <cell r="B70">
            <v>43463</v>
          </cell>
          <cell r="C70" t="str">
            <v>Shruti</v>
          </cell>
          <cell r="D70" t="str">
            <v>Maharashtra</v>
          </cell>
          <cell r="E70" t="str">
            <v>Mumbai</v>
          </cell>
        </row>
        <row r="71">
          <cell r="A71" t="str">
            <v>B-25953</v>
          </cell>
          <cell r="B71">
            <v>43114</v>
          </cell>
          <cell r="C71" t="str">
            <v>Krutika</v>
          </cell>
          <cell r="D71" t="str">
            <v>Andhra Pradesh</v>
          </cell>
          <cell r="E71" t="str">
            <v>Hyderabad</v>
          </cell>
        </row>
        <row r="72">
          <cell r="A72" t="str">
            <v>B-25772</v>
          </cell>
          <cell r="B72">
            <v>43345</v>
          </cell>
          <cell r="C72" t="str">
            <v>Sanjana</v>
          </cell>
          <cell r="D72" t="str">
            <v>Bihar</v>
          </cell>
          <cell r="E72" t="str">
            <v>Patna</v>
          </cell>
        </row>
        <row r="73">
          <cell r="A73" t="str">
            <v>B-25957</v>
          </cell>
          <cell r="B73">
            <v>43118</v>
          </cell>
          <cell r="C73" t="str">
            <v>Mahima</v>
          </cell>
          <cell r="D73" t="str">
            <v>Madhya Pradesh</v>
          </cell>
          <cell r="E73" t="str">
            <v>Indore</v>
          </cell>
        </row>
        <row r="74">
          <cell r="A74" t="str">
            <v>B-25730</v>
          </cell>
          <cell r="B74">
            <v>43303</v>
          </cell>
          <cell r="C74" t="str">
            <v>Rishabh</v>
          </cell>
          <cell r="D74" t="str">
            <v>Rajasthan</v>
          </cell>
          <cell r="E74" t="str">
            <v>Jaipur</v>
          </cell>
        </row>
        <row r="75">
          <cell r="A75" t="str">
            <v>B-25877</v>
          </cell>
          <cell r="B75">
            <v>43428</v>
          </cell>
          <cell r="C75" t="str">
            <v>Dashyam</v>
          </cell>
          <cell r="D75" t="str">
            <v>Gujarat</v>
          </cell>
          <cell r="E75" t="str">
            <v>Surat</v>
          </cell>
        </row>
        <row r="76">
          <cell r="A76" t="str">
            <v>B-26067</v>
          </cell>
          <cell r="B76">
            <v>43175</v>
          </cell>
          <cell r="C76" t="str">
            <v>Tulika</v>
          </cell>
          <cell r="D76" t="str">
            <v>Madhya Pradesh</v>
          </cell>
          <cell r="E76" t="str">
            <v>Bhopal</v>
          </cell>
        </row>
        <row r="77">
          <cell r="A77" t="str">
            <v>B-25810</v>
          </cell>
          <cell r="B77">
            <v>43383</v>
          </cell>
          <cell r="C77" t="str">
            <v>Nripraj</v>
          </cell>
          <cell r="D77" t="str">
            <v>Punjab</v>
          </cell>
          <cell r="E77" t="str">
            <v>Chandigarh</v>
          </cell>
        </row>
        <row r="78">
          <cell r="A78" t="str">
            <v>B-25868</v>
          </cell>
          <cell r="B78">
            <v>43422</v>
          </cell>
          <cell r="C78" t="str">
            <v>Vikash</v>
          </cell>
          <cell r="D78" t="str">
            <v>Goa</v>
          </cell>
          <cell r="E78" t="str">
            <v>Goa</v>
          </cell>
        </row>
        <row r="79">
          <cell r="A79" t="str">
            <v>B-26023</v>
          </cell>
          <cell r="B79">
            <v>43150</v>
          </cell>
          <cell r="C79" t="str">
            <v>Mukesh</v>
          </cell>
          <cell r="D79" t="str">
            <v>Haryana</v>
          </cell>
          <cell r="E79" t="str">
            <v>Chandigarh</v>
          </cell>
        </row>
        <row r="80">
          <cell r="A80" t="str">
            <v>B-25626</v>
          </cell>
          <cell r="B80">
            <v>43213</v>
          </cell>
          <cell r="C80" t="str">
            <v>Bhishm</v>
          </cell>
          <cell r="D80" t="str">
            <v>Maharashtra</v>
          </cell>
          <cell r="E80" t="str">
            <v>Mumbai</v>
          </cell>
        </row>
        <row r="81">
          <cell r="A81" t="str">
            <v>B-25937</v>
          </cell>
          <cell r="B81">
            <v>43105</v>
          </cell>
          <cell r="C81" t="str">
            <v>Ankit</v>
          </cell>
          <cell r="D81" t="str">
            <v>Haryana</v>
          </cell>
          <cell r="E81" t="str">
            <v>Chandigarh</v>
          </cell>
        </row>
        <row r="82">
          <cell r="A82" t="str">
            <v>B-25610</v>
          </cell>
          <cell r="B82">
            <v>43199</v>
          </cell>
          <cell r="C82" t="str">
            <v>Yogesh</v>
          </cell>
          <cell r="D82" t="str">
            <v>Bihar</v>
          </cell>
          <cell r="E82" t="str">
            <v>Patna</v>
          </cell>
        </row>
        <row r="83">
          <cell r="A83" t="str">
            <v>B-25777</v>
          </cell>
          <cell r="B83">
            <v>43353</v>
          </cell>
          <cell r="C83" t="str">
            <v>Aditi</v>
          </cell>
          <cell r="D83" t="str">
            <v>Madhya Pradesh</v>
          </cell>
          <cell r="E83" t="str">
            <v>Indore</v>
          </cell>
        </row>
        <row r="84">
          <cell r="A84" t="str">
            <v>B-25738</v>
          </cell>
          <cell r="B84">
            <v>43314</v>
          </cell>
          <cell r="C84" t="str">
            <v>Ayush</v>
          </cell>
          <cell r="D84" t="str">
            <v>Punjab</v>
          </cell>
          <cell r="E84" t="str">
            <v>Chandigarh</v>
          </cell>
        </row>
        <row r="85">
          <cell r="A85" t="str">
            <v>B-25978</v>
          </cell>
          <cell r="B85">
            <v>43127</v>
          </cell>
          <cell r="C85" t="str">
            <v>Parin</v>
          </cell>
          <cell r="D85" t="str">
            <v>Maharashtra</v>
          </cell>
          <cell r="E85" t="str">
            <v>Mumbai</v>
          </cell>
        </row>
        <row r="86">
          <cell r="A86" t="str">
            <v>B-25643</v>
          </cell>
          <cell r="B86">
            <v>43219</v>
          </cell>
          <cell r="C86" t="str">
            <v>Kirti</v>
          </cell>
          <cell r="D86" t="str">
            <v>Jammu and Kashmir</v>
          </cell>
          <cell r="E86" t="str">
            <v>Kashmir</v>
          </cell>
        </row>
        <row r="87">
          <cell r="A87" t="str">
            <v>B-25728</v>
          </cell>
          <cell r="B87">
            <v>43303</v>
          </cell>
          <cell r="C87" t="str">
            <v>Ameesha</v>
          </cell>
          <cell r="D87" t="str">
            <v>Maharashtra</v>
          </cell>
          <cell r="E87" t="str">
            <v>Pune</v>
          </cell>
        </row>
        <row r="88">
          <cell r="A88" t="str">
            <v>B-25749</v>
          </cell>
          <cell r="B88">
            <v>43325</v>
          </cell>
          <cell r="C88" t="str">
            <v>Ayush</v>
          </cell>
          <cell r="D88" t="str">
            <v>Maharashtra</v>
          </cell>
          <cell r="E88" t="str">
            <v>Mumbai</v>
          </cell>
        </row>
        <row r="89">
          <cell r="A89" t="str">
            <v>B-25667</v>
          </cell>
          <cell r="B89">
            <v>43243</v>
          </cell>
          <cell r="C89" t="str">
            <v>Anjali</v>
          </cell>
          <cell r="D89" t="str">
            <v>Haryana</v>
          </cell>
          <cell r="E89" t="str">
            <v>Chandigarh</v>
          </cell>
        </row>
        <row r="90">
          <cell r="A90" t="str">
            <v>B-25657</v>
          </cell>
          <cell r="B90">
            <v>43233</v>
          </cell>
          <cell r="C90" t="str">
            <v>Tulika</v>
          </cell>
          <cell r="D90" t="str">
            <v>Madhya Pradesh</v>
          </cell>
          <cell r="E90" t="str">
            <v>Bhopal</v>
          </cell>
        </row>
        <row r="91">
          <cell r="A91" t="str">
            <v>B-25753</v>
          </cell>
          <cell r="B91">
            <v>43329</v>
          </cell>
          <cell r="C91" t="str">
            <v>Shivam</v>
          </cell>
          <cell r="D91" t="str">
            <v>Uttar Pradesh</v>
          </cell>
          <cell r="E91" t="str">
            <v>Lucknow</v>
          </cell>
        </row>
        <row r="92">
          <cell r="A92" t="str">
            <v>B-26061</v>
          </cell>
          <cell r="B92">
            <v>43173</v>
          </cell>
          <cell r="C92" t="str">
            <v>Anurag</v>
          </cell>
          <cell r="D92" t="str">
            <v>Madhya Pradesh</v>
          </cell>
          <cell r="E92" t="str">
            <v>Indore</v>
          </cell>
        </row>
        <row r="93">
          <cell r="A93" t="str">
            <v>B-25838</v>
          </cell>
          <cell r="B93">
            <v>43402</v>
          </cell>
          <cell r="C93" t="str">
            <v>Sanjana</v>
          </cell>
          <cell r="D93" t="str">
            <v>Madhya Pradesh</v>
          </cell>
          <cell r="E93" t="str">
            <v>Indore</v>
          </cell>
        </row>
        <row r="94">
          <cell r="A94" t="str">
            <v>B-25702</v>
          </cell>
          <cell r="B94">
            <v>43278</v>
          </cell>
          <cell r="C94" t="str">
            <v>Shaily</v>
          </cell>
          <cell r="D94" t="str">
            <v>Maharashtra</v>
          </cell>
          <cell r="E94" t="str">
            <v>Mumbai</v>
          </cell>
        </row>
        <row r="95">
          <cell r="A95" t="str">
            <v>B-25952</v>
          </cell>
          <cell r="B95">
            <v>43113</v>
          </cell>
          <cell r="C95" t="str">
            <v>Priyanka</v>
          </cell>
          <cell r="D95" t="str">
            <v>Madhya Pradesh</v>
          </cell>
          <cell r="E95" t="str">
            <v>Indore</v>
          </cell>
        </row>
        <row r="96">
          <cell r="A96" t="str">
            <v>B-25666</v>
          </cell>
          <cell r="B96">
            <v>43242</v>
          </cell>
          <cell r="C96" t="str">
            <v>Tanvi</v>
          </cell>
          <cell r="D96" t="str">
            <v>Punjab</v>
          </cell>
          <cell r="E96" t="str">
            <v>Chandigarh</v>
          </cell>
        </row>
        <row r="97">
          <cell r="A97" t="str">
            <v>B-25675</v>
          </cell>
          <cell r="B97">
            <v>43251</v>
          </cell>
          <cell r="C97" t="str">
            <v>Shreya</v>
          </cell>
          <cell r="D97" t="str">
            <v>Madhya Pradesh</v>
          </cell>
          <cell r="E97" t="str">
            <v>Bhopal</v>
          </cell>
        </row>
        <row r="98">
          <cell r="A98" t="str">
            <v>B-25650</v>
          </cell>
          <cell r="B98">
            <v>43226</v>
          </cell>
          <cell r="C98" t="str">
            <v>Chirag</v>
          </cell>
          <cell r="D98" t="str">
            <v>Maharashtra</v>
          </cell>
          <cell r="E98" t="str">
            <v>Mumbai</v>
          </cell>
        </row>
        <row r="99">
          <cell r="A99" t="str">
            <v>B-25986</v>
          </cell>
          <cell r="B99">
            <v>43131</v>
          </cell>
          <cell r="C99" t="str">
            <v>Shweta</v>
          </cell>
          <cell r="D99" t="str">
            <v>Rajasthan</v>
          </cell>
          <cell r="E99" t="str">
            <v>Udaipur</v>
          </cell>
        </row>
        <row r="100">
          <cell r="A100" t="str">
            <v>B-25850</v>
          </cell>
          <cell r="B100">
            <v>43409</v>
          </cell>
          <cell r="C100" t="str">
            <v>Abhishek</v>
          </cell>
          <cell r="D100" t="str">
            <v>Goa</v>
          </cell>
          <cell r="E100" t="str">
            <v>Goa</v>
          </cell>
        </row>
        <row r="101">
          <cell r="A101" t="str">
            <v>B-25898</v>
          </cell>
          <cell r="B101">
            <v>43441</v>
          </cell>
          <cell r="C101" t="str">
            <v>Abhishek</v>
          </cell>
          <cell r="D101" t="str">
            <v>Rajasthan</v>
          </cell>
          <cell r="E101" t="str">
            <v>Udaipur</v>
          </cell>
        </row>
        <row r="102">
          <cell r="A102" t="str">
            <v>B-25813</v>
          </cell>
          <cell r="B102">
            <v>43383</v>
          </cell>
          <cell r="C102" t="str">
            <v>Hrisheekesh</v>
          </cell>
          <cell r="D102" t="str">
            <v>Maharashtra</v>
          </cell>
          <cell r="E102" t="str">
            <v>Mumbai</v>
          </cell>
        </row>
        <row r="103">
          <cell r="A103" t="str">
            <v>B-25825</v>
          </cell>
          <cell r="B103">
            <v>43394</v>
          </cell>
          <cell r="C103" t="str">
            <v>Kartik</v>
          </cell>
          <cell r="D103" t="str">
            <v>Madhya Pradesh</v>
          </cell>
          <cell r="E103" t="str">
            <v>Indore</v>
          </cell>
        </row>
        <row r="104">
          <cell r="A104" t="str">
            <v>B-25954</v>
          </cell>
          <cell r="B104">
            <v>43114</v>
          </cell>
          <cell r="C104" t="str">
            <v>Trupti</v>
          </cell>
          <cell r="D104" t="str">
            <v>Gujarat</v>
          </cell>
          <cell r="E104" t="str">
            <v>Ahmedabad</v>
          </cell>
        </row>
        <row r="105">
          <cell r="A105" t="str">
            <v>B-25696</v>
          </cell>
          <cell r="B105">
            <v>43272</v>
          </cell>
          <cell r="C105" t="str">
            <v>Noopur</v>
          </cell>
          <cell r="D105" t="str">
            <v>Karnataka</v>
          </cell>
          <cell r="E105" t="str">
            <v>Bangalore</v>
          </cell>
        </row>
        <row r="106">
          <cell r="A106" t="str">
            <v>B-25638</v>
          </cell>
          <cell r="B106">
            <v>43216</v>
          </cell>
          <cell r="C106" t="str">
            <v>Parth</v>
          </cell>
          <cell r="D106" t="str">
            <v>Maharashtra</v>
          </cell>
          <cell r="E106" t="str">
            <v>Pune</v>
          </cell>
        </row>
        <row r="107">
          <cell r="A107" t="str">
            <v>B-25747</v>
          </cell>
          <cell r="B107">
            <v>43323</v>
          </cell>
          <cell r="C107" t="str">
            <v>Harsh</v>
          </cell>
          <cell r="D107" t="str">
            <v>Madhya Pradesh</v>
          </cell>
          <cell r="E107" t="str">
            <v>Bhopal</v>
          </cell>
        </row>
        <row r="108">
          <cell r="A108" t="str">
            <v>B-25904</v>
          </cell>
          <cell r="B108">
            <v>43444</v>
          </cell>
          <cell r="C108" t="str">
            <v>Swapnil</v>
          </cell>
          <cell r="D108" t="str">
            <v>Delhi</v>
          </cell>
          <cell r="E108" t="str">
            <v>Delhi</v>
          </cell>
        </row>
        <row r="109">
          <cell r="A109" t="str">
            <v>B-25852</v>
          </cell>
          <cell r="B109">
            <v>43411</v>
          </cell>
          <cell r="C109" t="str">
            <v>Soumyabrata</v>
          </cell>
          <cell r="D109" t="str">
            <v>Andhra Pradesh</v>
          </cell>
          <cell r="E109" t="str">
            <v>Hyderabad</v>
          </cell>
        </row>
        <row r="110">
          <cell r="A110" t="str">
            <v>B-25981</v>
          </cell>
          <cell r="B110">
            <v>43128</v>
          </cell>
          <cell r="C110" t="str">
            <v>Amruta</v>
          </cell>
          <cell r="D110" t="str">
            <v>Delhi</v>
          </cell>
          <cell r="E110" t="str">
            <v>Delhi</v>
          </cell>
        </row>
        <row r="111">
          <cell r="A111" t="str">
            <v>B-25899</v>
          </cell>
          <cell r="B111">
            <v>43442</v>
          </cell>
          <cell r="C111" t="str">
            <v>Aishwarya</v>
          </cell>
          <cell r="D111" t="str">
            <v>Uttar Pradesh</v>
          </cell>
          <cell r="E111" t="str">
            <v>Prayagraj</v>
          </cell>
        </row>
        <row r="112">
          <cell r="A112" t="str">
            <v>B-25870</v>
          </cell>
          <cell r="B112">
            <v>43424</v>
          </cell>
          <cell r="C112" t="str">
            <v>Pranav</v>
          </cell>
          <cell r="D112" t="str">
            <v>Andhra Pradesh</v>
          </cell>
          <cell r="E112" t="str">
            <v>Hyderabad</v>
          </cell>
        </row>
        <row r="113">
          <cell r="A113" t="str">
            <v>B-26040</v>
          </cell>
          <cell r="B113">
            <v>43157</v>
          </cell>
          <cell r="C113" t="str">
            <v>Sahil</v>
          </cell>
          <cell r="D113" t="str">
            <v>Punjab</v>
          </cell>
          <cell r="E113" t="str">
            <v>Chandigarh</v>
          </cell>
        </row>
        <row r="114">
          <cell r="A114" t="str">
            <v>B-25671</v>
          </cell>
          <cell r="B114">
            <v>43247</v>
          </cell>
          <cell r="C114" t="str">
            <v>Mitali</v>
          </cell>
          <cell r="D114" t="str">
            <v>Nagaland</v>
          </cell>
          <cell r="E114" t="str">
            <v>Kohima</v>
          </cell>
        </row>
        <row r="115">
          <cell r="A115" t="str">
            <v>B-26100</v>
          </cell>
          <cell r="B115">
            <v>43190</v>
          </cell>
          <cell r="C115" t="str">
            <v>Hitika</v>
          </cell>
          <cell r="D115" t="str">
            <v>Madhya Pradesh</v>
          </cell>
          <cell r="E115" t="str">
            <v>Indore</v>
          </cell>
        </row>
        <row r="116">
          <cell r="A116" t="str">
            <v>B-25651</v>
          </cell>
          <cell r="B116">
            <v>43227</v>
          </cell>
          <cell r="C116" t="str">
            <v>Anurag</v>
          </cell>
          <cell r="D116" t="str">
            <v>Madhya Pradesh</v>
          </cell>
          <cell r="E116" t="str">
            <v>Indore</v>
          </cell>
        </row>
        <row r="117">
          <cell r="A117" t="str">
            <v>B-25968</v>
          </cell>
          <cell r="B117">
            <v>43121</v>
          </cell>
          <cell r="C117" t="str">
            <v>Paromita</v>
          </cell>
          <cell r="D117" t="str">
            <v>Punjab</v>
          </cell>
          <cell r="E117" t="str">
            <v>Amritsar</v>
          </cell>
        </row>
        <row r="118">
          <cell r="A118" t="str">
            <v>B-26019</v>
          </cell>
          <cell r="B118">
            <v>43146</v>
          </cell>
          <cell r="C118" t="str">
            <v>Jitesh</v>
          </cell>
          <cell r="D118" t="str">
            <v>Uttar Pradesh</v>
          </cell>
          <cell r="E118" t="str">
            <v>Lucknow</v>
          </cell>
        </row>
        <row r="119">
          <cell r="A119" t="str">
            <v>B-25664</v>
          </cell>
          <cell r="B119">
            <v>43240</v>
          </cell>
          <cell r="C119" t="str">
            <v>Pratyusmita</v>
          </cell>
          <cell r="D119" t="str">
            <v>Bihar</v>
          </cell>
          <cell r="E119" t="str">
            <v>Patna</v>
          </cell>
        </row>
        <row r="120">
          <cell r="A120" t="str">
            <v>B-26033</v>
          </cell>
          <cell r="B120">
            <v>43153</v>
          </cell>
          <cell r="C120" t="str">
            <v>Atharv</v>
          </cell>
          <cell r="D120" t="str">
            <v>West Bengal</v>
          </cell>
          <cell r="E120" t="str">
            <v>Kolkata</v>
          </cell>
        </row>
        <row r="121">
          <cell r="A121" t="str">
            <v>B-26052</v>
          </cell>
          <cell r="B121">
            <v>43167</v>
          </cell>
          <cell r="C121" t="str">
            <v>Ajay</v>
          </cell>
          <cell r="D121" t="str">
            <v>Karnataka</v>
          </cell>
          <cell r="E121" t="str">
            <v>Bangalore</v>
          </cell>
        </row>
        <row r="122">
          <cell r="A122" t="str">
            <v>B-25999</v>
          </cell>
          <cell r="B122">
            <v>43136</v>
          </cell>
          <cell r="C122" t="str">
            <v>Diwakar</v>
          </cell>
          <cell r="D122" t="str">
            <v>Delhi</v>
          </cell>
          <cell r="E122" t="str">
            <v>Delhi</v>
          </cell>
        </row>
        <row r="123">
          <cell r="A123" t="str">
            <v>B-25781</v>
          </cell>
          <cell r="B123">
            <v>43357</v>
          </cell>
          <cell r="C123" t="str">
            <v>Rutuja</v>
          </cell>
          <cell r="D123" t="str">
            <v>Gujarat</v>
          </cell>
          <cell r="E123" t="str">
            <v>Ahmedabad</v>
          </cell>
        </row>
        <row r="124">
          <cell r="A124" t="str">
            <v>B-25764</v>
          </cell>
          <cell r="B124">
            <v>43340</v>
          </cell>
          <cell r="C124" t="str">
            <v>Sanjova</v>
          </cell>
          <cell r="D124" t="str">
            <v>Maharashtra</v>
          </cell>
          <cell r="E124" t="str">
            <v>Pune</v>
          </cell>
        </row>
        <row r="125">
          <cell r="A125" t="str">
            <v>B-25803</v>
          </cell>
          <cell r="B125">
            <v>43378</v>
          </cell>
          <cell r="C125" t="str">
            <v>Shivanshu</v>
          </cell>
          <cell r="D125" t="str">
            <v>Madhya Pradesh</v>
          </cell>
          <cell r="E125" t="str">
            <v>Indore</v>
          </cell>
        </row>
        <row r="126">
          <cell r="A126" t="str">
            <v>B-25945</v>
          </cell>
          <cell r="B126">
            <v>43111</v>
          </cell>
          <cell r="C126" t="str">
            <v>Mhatre</v>
          </cell>
          <cell r="D126" t="str">
            <v>Madhya Pradesh</v>
          </cell>
          <cell r="E126" t="str">
            <v>Indore</v>
          </cell>
        </row>
        <row r="127">
          <cell r="A127" t="str">
            <v>B-26086</v>
          </cell>
          <cell r="B127">
            <v>43185</v>
          </cell>
          <cell r="C127" t="str">
            <v>Mukesh</v>
          </cell>
          <cell r="D127" t="str">
            <v>Haryana</v>
          </cell>
          <cell r="E127" t="str">
            <v>Chandigarh</v>
          </cell>
        </row>
        <row r="128">
          <cell r="A128" t="str">
            <v>B-25845</v>
          </cell>
          <cell r="B128">
            <v>43407</v>
          </cell>
          <cell r="C128" t="str">
            <v>Snel</v>
          </cell>
          <cell r="D128" t="str">
            <v xml:space="preserve">Kerala </v>
          </cell>
          <cell r="E128" t="str">
            <v>Thiruvananthapuram</v>
          </cell>
        </row>
        <row r="129">
          <cell r="A129" t="str">
            <v>B-25817</v>
          </cell>
          <cell r="B129">
            <v>43386</v>
          </cell>
          <cell r="C129" t="str">
            <v>Praneet</v>
          </cell>
          <cell r="D129" t="str">
            <v>Maharashtra</v>
          </cell>
          <cell r="E129" t="str">
            <v>Mumbai</v>
          </cell>
        </row>
        <row r="130">
          <cell r="A130" t="str">
            <v>B-25951</v>
          </cell>
          <cell r="B130">
            <v>43113</v>
          </cell>
          <cell r="C130" t="str">
            <v>Jesal</v>
          </cell>
          <cell r="D130" t="str">
            <v>West Bengal</v>
          </cell>
          <cell r="E130" t="str">
            <v>Kolkata</v>
          </cell>
        </row>
        <row r="131">
          <cell r="A131" t="str">
            <v>B-25970</v>
          </cell>
          <cell r="B131">
            <v>43122</v>
          </cell>
          <cell r="C131" t="str">
            <v>Rhea</v>
          </cell>
          <cell r="D131" t="str">
            <v>Maharashtra</v>
          </cell>
          <cell r="E131" t="str">
            <v>Mumbai</v>
          </cell>
        </row>
        <row r="132">
          <cell r="A132" t="str">
            <v>B-25878</v>
          </cell>
          <cell r="B132">
            <v>43428</v>
          </cell>
          <cell r="C132" t="str">
            <v>Mrinal</v>
          </cell>
          <cell r="D132" t="str">
            <v>Maharashtra</v>
          </cell>
          <cell r="E132" t="str">
            <v>Mumbai</v>
          </cell>
        </row>
        <row r="133">
          <cell r="A133" t="str">
            <v>B-26057</v>
          </cell>
          <cell r="B133">
            <v>43169</v>
          </cell>
          <cell r="C133" t="str">
            <v>Sharda</v>
          </cell>
          <cell r="D133" t="str">
            <v xml:space="preserve">Kerala </v>
          </cell>
          <cell r="E133" t="str">
            <v>Thiruvananthapuram</v>
          </cell>
        </row>
        <row r="134">
          <cell r="A134" t="str">
            <v>B-25885</v>
          </cell>
          <cell r="B134">
            <v>43432</v>
          </cell>
          <cell r="C134" t="str">
            <v>Shatayu</v>
          </cell>
          <cell r="D134" t="str">
            <v>Madhya Pradesh</v>
          </cell>
          <cell r="E134" t="str">
            <v>Indore</v>
          </cell>
        </row>
        <row r="135">
          <cell r="A135" t="str">
            <v>B-25897</v>
          </cell>
          <cell r="B135">
            <v>43440</v>
          </cell>
          <cell r="C135" t="str">
            <v>Rohan</v>
          </cell>
          <cell r="D135" t="str">
            <v>Madhya Pradesh</v>
          </cell>
          <cell r="E135" t="str">
            <v>Indore</v>
          </cell>
        </row>
        <row r="136">
          <cell r="A136" t="str">
            <v>B-25756</v>
          </cell>
          <cell r="B136">
            <v>43332</v>
          </cell>
          <cell r="C136" t="str">
            <v>Mohan</v>
          </cell>
          <cell r="D136" t="str">
            <v>Maharashtra</v>
          </cell>
          <cell r="E136" t="str">
            <v>Mumbai</v>
          </cell>
        </row>
        <row r="137">
          <cell r="A137" t="str">
            <v>B-25859</v>
          </cell>
          <cell r="B137">
            <v>43418</v>
          </cell>
          <cell r="C137" t="str">
            <v>Chikku</v>
          </cell>
          <cell r="D137" t="str">
            <v>Madhya Pradesh</v>
          </cell>
          <cell r="E137" t="str">
            <v>Indore</v>
          </cell>
        </row>
        <row r="138">
          <cell r="A138" t="str">
            <v>B-25691</v>
          </cell>
          <cell r="B138">
            <v>43267</v>
          </cell>
          <cell r="C138" t="str">
            <v>Akancha</v>
          </cell>
          <cell r="D138" t="str">
            <v>Maharashtra</v>
          </cell>
          <cell r="E138" t="str">
            <v>Mumbai</v>
          </cell>
        </row>
        <row r="139">
          <cell r="A139" t="str">
            <v>B-25633</v>
          </cell>
          <cell r="B139">
            <v>43216</v>
          </cell>
          <cell r="C139" t="str">
            <v>Amit</v>
          </cell>
          <cell r="D139" t="str">
            <v>Sikkim</v>
          </cell>
          <cell r="E139" t="str">
            <v>Gangtok</v>
          </cell>
        </row>
        <row r="140">
          <cell r="A140" t="str">
            <v>B-25708</v>
          </cell>
          <cell r="B140">
            <v>43282</v>
          </cell>
          <cell r="C140" t="str">
            <v>Kishwar</v>
          </cell>
          <cell r="D140" t="str">
            <v>Madhya Pradesh</v>
          </cell>
          <cell r="E140" t="str">
            <v>Indore</v>
          </cell>
        </row>
        <row r="141">
          <cell r="A141" t="str">
            <v>B-25831</v>
          </cell>
          <cell r="B141">
            <v>43400</v>
          </cell>
          <cell r="C141" t="str">
            <v>Mahima</v>
          </cell>
          <cell r="D141" t="str">
            <v>Sikkim</v>
          </cell>
          <cell r="E141" t="str">
            <v>Gangtok</v>
          </cell>
        </row>
        <row r="142">
          <cell r="A142" t="str">
            <v>B-25856</v>
          </cell>
          <cell r="B142">
            <v>43414</v>
          </cell>
          <cell r="C142" t="str">
            <v>Abhijeet</v>
          </cell>
          <cell r="D142" t="str">
            <v>Maharashtra</v>
          </cell>
          <cell r="E142" t="str">
            <v>Mumbai</v>
          </cell>
        </row>
        <row r="143">
          <cell r="A143" t="str">
            <v>B-25893</v>
          </cell>
          <cell r="B143">
            <v>43438</v>
          </cell>
          <cell r="C143" t="str">
            <v>Vrinda</v>
          </cell>
          <cell r="D143" t="str">
            <v>Uttar Pradesh</v>
          </cell>
          <cell r="E143" t="str">
            <v>Mathura</v>
          </cell>
        </row>
        <row r="144">
          <cell r="A144" t="str">
            <v>B-25959</v>
          </cell>
          <cell r="B144">
            <v>43118</v>
          </cell>
          <cell r="C144" t="str">
            <v>Muskan</v>
          </cell>
          <cell r="D144" t="str">
            <v>Madhya Pradesh</v>
          </cell>
          <cell r="E144" t="str">
            <v>Indore</v>
          </cell>
        </row>
        <row r="145">
          <cell r="A145" t="str">
            <v>B-26000</v>
          </cell>
          <cell r="B145">
            <v>43137</v>
          </cell>
          <cell r="C145" t="str">
            <v>Shubham</v>
          </cell>
          <cell r="D145" t="str">
            <v>Delhi</v>
          </cell>
          <cell r="E145" t="str">
            <v>Delhi</v>
          </cell>
        </row>
        <row r="146">
          <cell r="A146" t="str">
            <v>B-26097</v>
          </cell>
          <cell r="B146">
            <v>43187</v>
          </cell>
          <cell r="C146" t="str">
            <v>Vini</v>
          </cell>
          <cell r="D146" t="str">
            <v>Karnataka</v>
          </cell>
          <cell r="E146" t="str">
            <v>Bangalore</v>
          </cell>
        </row>
        <row r="147">
          <cell r="A147" t="str">
            <v>B-25745</v>
          </cell>
          <cell r="B147">
            <v>43321</v>
          </cell>
          <cell r="C147" t="str">
            <v>Kartik</v>
          </cell>
          <cell r="D147" t="str">
            <v>Gujarat</v>
          </cell>
          <cell r="E147" t="str">
            <v>Ahmedabad</v>
          </cell>
        </row>
        <row r="148">
          <cell r="A148" t="str">
            <v>B-25974</v>
          </cell>
          <cell r="B148">
            <v>43125</v>
          </cell>
          <cell r="C148" t="str">
            <v>Manisha</v>
          </cell>
          <cell r="D148" t="str">
            <v>Rajasthan</v>
          </cell>
          <cell r="E148" t="str">
            <v>Udaipur</v>
          </cell>
        </row>
        <row r="149">
          <cell r="A149" t="str">
            <v>B-25670</v>
          </cell>
          <cell r="B149">
            <v>43245</v>
          </cell>
          <cell r="C149" t="str">
            <v>Charika</v>
          </cell>
          <cell r="D149" t="str">
            <v>Goa</v>
          </cell>
          <cell r="E149" t="str">
            <v>Goa</v>
          </cell>
        </row>
        <row r="150">
          <cell r="A150" t="str">
            <v>B-25848</v>
          </cell>
          <cell r="B150">
            <v>43407</v>
          </cell>
          <cell r="C150" t="str">
            <v>Rohan</v>
          </cell>
          <cell r="D150" t="str">
            <v>Himachal Pradesh</v>
          </cell>
          <cell r="E150" t="str">
            <v>Simla</v>
          </cell>
        </row>
        <row r="151">
          <cell r="A151" t="str">
            <v>B-25888</v>
          </cell>
          <cell r="B151">
            <v>43436</v>
          </cell>
          <cell r="C151" t="str">
            <v>Rohan</v>
          </cell>
          <cell r="D151" t="str">
            <v>Punjab</v>
          </cell>
          <cell r="E151" t="str">
            <v>Amritsar</v>
          </cell>
        </row>
        <row r="152">
          <cell r="A152" t="str">
            <v>B-25942</v>
          </cell>
          <cell r="B152">
            <v>43108</v>
          </cell>
          <cell r="C152" t="str">
            <v>Ankur</v>
          </cell>
          <cell r="D152" t="str">
            <v>Andhra Pradesh</v>
          </cell>
          <cell r="E152" t="str">
            <v>Hyderabad</v>
          </cell>
        </row>
        <row r="153">
          <cell r="A153" t="str">
            <v>B-25847</v>
          </cell>
          <cell r="B153">
            <v>43407</v>
          </cell>
          <cell r="C153" t="str">
            <v>Aniket</v>
          </cell>
          <cell r="D153" t="str">
            <v>Haryana</v>
          </cell>
          <cell r="E153" t="str">
            <v>Chandigarh</v>
          </cell>
        </row>
        <row r="154">
          <cell r="A154" t="str">
            <v>B-25636</v>
          </cell>
          <cell r="B154">
            <v>43216</v>
          </cell>
          <cell r="C154" t="str">
            <v>Nishi</v>
          </cell>
          <cell r="D154" t="str">
            <v>Maharashtra</v>
          </cell>
          <cell r="E154" t="str">
            <v>Mumbai</v>
          </cell>
        </row>
        <row r="155">
          <cell r="A155" t="str">
            <v>B-25826</v>
          </cell>
          <cell r="B155">
            <v>43395</v>
          </cell>
          <cell r="C155" t="str">
            <v>Tanushree</v>
          </cell>
          <cell r="D155" t="str">
            <v>Maharashtra</v>
          </cell>
          <cell r="E155" t="str">
            <v>Mumbai</v>
          </cell>
        </row>
        <row r="156">
          <cell r="A156" t="str">
            <v>B-26081</v>
          </cell>
          <cell r="B156">
            <v>43181</v>
          </cell>
          <cell r="C156" t="str">
            <v>Aarushi</v>
          </cell>
          <cell r="D156" t="str">
            <v>Tamil Nadu</v>
          </cell>
          <cell r="E156" t="str">
            <v>Chennai</v>
          </cell>
        </row>
        <row r="157">
          <cell r="A157" t="str">
            <v>B-25625</v>
          </cell>
          <cell r="B157">
            <v>43213</v>
          </cell>
          <cell r="C157" t="str">
            <v>Pinky</v>
          </cell>
          <cell r="D157" t="str">
            <v>Jammu and Kashmir</v>
          </cell>
          <cell r="E157" t="str">
            <v>Kashmir</v>
          </cell>
        </row>
        <row r="158">
          <cell r="A158" t="str">
            <v>B-25802</v>
          </cell>
          <cell r="B158">
            <v>43378</v>
          </cell>
          <cell r="C158" t="str">
            <v>Yash</v>
          </cell>
          <cell r="D158" t="str">
            <v>Maharashtra</v>
          </cell>
          <cell r="E158" t="str">
            <v>Mumbai</v>
          </cell>
        </row>
        <row r="159">
          <cell r="A159" t="str">
            <v>B-25693</v>
          </cell>
          <cell r="B159">
            <v>43269</v>
          </cell>
          <cell r="C159" t="str">
            <v>Parna</v>
          </cell>
          <cell r="D159" t="str">
            <v>Madhya Pradesh</v>
          </cell>
          <cell r="E159" t="str">
            <v>Bhopal</v>
          </cell>
        </row>
        <row r="160">
          <cell r="A160" t="str">
            <v>B-25796</v>
          </cell>
          <cell r="B160">
            <v>43367</v>
          </cell>
          <cell r="C160" t="str">
            <v>Sukrith</v>
          </cell>
          <cell r="D160" t="str">
            <v>Maharashtra</v>
          </cell>
          <cell r="E160" t="str">
            <v>Mumbai</v>
          </cell>
        </row>
        <row r="161">
          <cell r="A161" t="str">
            <v>B-25806</v>
          </cell>
          <cell r="B161">
            <v>43379</v>
          </cell>
          <cell r="C161" t="str">
            <v>Dhanraj</v>
          </cell>
          <cell r="D161" t="str">
            <v>Madhya Pradesh</v>
          </cell>
          <cell r="E161" t="str">
            <v>Indore</v>
          </cell>
        </row>
        <row r="162">
          <cell r="A162" t="str">
            <v>B-25710</v>
          </cell>
          <cell r="B162">
            <v>43286</v>
          </cell>
          <cell r="C162" t="str">
            <v>Megha</v>
          </cell>
          <cell r="D162" t="str">
            <v>Maharashtra</v>
          </cell>
          <cell r="E162" t="str">
            <v>Pune</v>
          </cell>
        </row>
        <row r="163">
          <cell r="A163" t="str">
            <v>B-25669</v>
          </cell>
          <cell r="B163">
            <v>43245</v>
          </cell>
          <cell r="C163" t="str">
            <v>Piyali</v>
          </cell>
          <cell r="D163" t="str">
            <v>Sikkim</v>
          </cell>
          <cell r="E163" t="str">
            <v>Gangtok</v>
          </cell>
        </row>
        <row r="164">
          <cell r="A164" t="str">
            <v>B-25857</v>
          </cell>
          <cell r="B164">
            <v>43414</v>
          </cell>
          <cell r="C164" t="str">
            <v>Anand</v>
          </cell>
          <cell r="D164" t="str">
            <v>Madhya Pradesh</v>
          </cell>
          <cell r="E164" t="str">
            <v>Indore</v>
          </cell>
        </row>
        <row r="165">
          <cell r="A165" t="str">
            <v>B-25785</v>
          </cell>
          <cell r="B165">
            <v>43358</v>
          </cell>
          <cell r="C165" t="str">
            <v>Ayush</v>
          </cell>
          <cell r="D165" t="str">
            <v>West Bengal</v>
          </cell>
          <cell r="E165" t="str">
            <v>Kolkata</v>
          </cell>
        </row>
        <row r="166">
          <cell r="A166" t="str">
            <v>B-25930</v>
          </cell>
          <cell r="B166">
            <v>43103</v>
          </cell>
          <cell r="C166" t="str">
            <v>Monica</v>
          </cell>
          <cell r="D166" t="str">
            <v>Punjab</v>
          </cell>
          <cell r="E166" t="str">
            <v>Chandigarh</v>
          </cell>
        </row>
        <row r="167">
          <cell r="A167" t="str">
            <v>B-26053</v>
          </cell>
          <cell r="B167">
            <v>43168</v>
          </cell>
          <cell r="C167" t="str">
            <v>Kirti</v>
          </cell>
          <cell r="D167" t="str">
            <v>Jammu and Kashmir</v>
          </cell>
          <cell r="E167" t="str">
            <v>Kashmir</v>
          </cell>
        </row>
        <row r="168">
          <cell r="A168" t="str">
            <v>B-26070</v>
          </cell>
          <cell r="B168">
            <v>43177</v>
          </cell>
          <cell r="C168" t="str">
            <v>Shruti</v>
          </cell>
          <cell r="D168" t="str">
            <v>Karnataka</v>
          </cell>
          <cell r="E168" t="str">
            <v>Bangalore</v>
          </cell>
        </row>
        <row r="169">
          <cell r="A169" t="str">
            <v>B-25791</v>
          </cell>
          <cell r="B169">
            <v>43367</v>
          </cell>
          <cell r="C169" t="str">
            <v>Avish</v>
          </cell>
          <cell r="D169" t="str">
            <v xml:space="preserve">Kerala </v>
          </cell>
          <cell r="E169" t="str">
            <v>Thiruvananthapuram</v>
          </cell>
        </row>
        <row r="170">
          <cell r="A170" t="str">
            <v>B-25983</v>
          </cell>
          <cell r="B170">
            <v>43130</v>
          </cell>
          <cell r="C170" t="str">
            <v>Atul</v>
          </cell>
          <cell r="D170" t="str">
            <v>Delhi</v>
          </cell>
          <cell r="E170" t="str">
            <v>Delhi</v>
          </cell>
        </row>
        <row r="171">
          <cell r="A171" t="str">
            <v>B-25979</v>
          </cell>
          <cell r="B171">
            <v>43127</v>
          </cell>
          <cell r="C171" t="str">
            <v>Shivangi</v>
          </cell>
          <cell r="D171" t="str">
            <v>Madhya Pradesh</v>
          </cell>
          <cell r="E171" t="str">
            <v>Indore</v>
          </cell>
        </row>
        <row r="172">
          <cell r="A172" t="str">
            <v>B-26054</v>
          </cell>
          <cell r="B172">
            <v>43169</v>
          </cell>
          <cell r="C172" t="str">
            <v>Mayank</v>
          </cell>
          <cell r="D172" t="str">
            <v>Maharashtra</v>
          </cell>
          <cell r="E172" t="str">
            <v>Mumbai</v>
          </cell>
        </row>
        <row r="173">
          <cell r="A173" t="str">
            <v>B-26078</v>
          </cell>
          <cell r="B173">
            <v>43181</v>
          </cell>
          <cell r="C173" t="str">
            <v>Kasheen</v>
          </cell>
          <cell r="D173" t="str">
            <v>West Bengal</v>
          </cell>
          <cell r="E173" t="str">
            <v>Kolkata</v>
          </cell>
        </row>
        <row r="174">
          <cell r="A174" t="str">
            <v>B-25787</v>
          </cell>
          <cell r="B174">
            <v>43363</v>
          </cell>
          <cell r="C174" t="str">
            <v>Asish</v>
          </cell>
          <cell r="D174" t="str">
            <v>Jammu and Kashmir</v>
          </cell>
          <cell r="E174" t="str">
            <v>Kashmir</v>
          </cell>
        </row>
        <row r="175">
          <cell r="A175" t="str">
            <v>B-25682</v>
          </cell>
          <cell r="B175">
            <v>43258</v>
          </cell>
          <cell r="C175" t="str">
            <v>Krutika</v>
          </cell>
          <cell r="D175" t="str">
            <v>Bihar</v>
          </cell>
          <cell r="E175" t="str">
            <v>Patna</v>
          </cell>
        </row>
        <row r="176">
          <cell r="A176" t="str">
            <v>B-25962</v>
          </cell>
          <cell r="B176">
            <v>43119</v>
          </cell>
          <cell r="C176" t="str">
            <v>Tejeswini</v>
          </cell>
          <cell r="D176" t="str">
            <v>Maharashtra</v>
          </cell>
          <cell r="E176" t="str">
            <v>Pune</v>
          </cell>
        </row>
        <row r="177">
          <cell r="A177" t="str">
            <v>B-25750</v>
          </cell>
          <cell r="B177">
            <v>43326</v>
          </cell>
          <cell r="C177" t="str">
            <v>Priyanshu</v>
          </cell>
          <cell r="D177" t="str">
            <v>Madhya Pradesh</v>
          </cell>
          <cell r="E177" t="str">
            <v>Indore</v>
          </cell>
        </row>
        <row r="178">
          <cell r="A178" t="str">
            <v>B-25828</v>
          </cell>
          <cell r="B178">
            <v>43397</v>
          </cell>
          <cell r="C178" t="str">
            <v>Nikita</v>
          </cell>
          <cell r="D178" t="str">
            <v>Punjab</v>
          </cell>
          <cell r="E178" t="str">
            <v>Chandigarh</v>
          </cell>
        </row>
        <row r="179">
          <cell r="A179" t="str">
            <v>B-25622</v>
          </cell>
          <cell r="B179">
            <v>43212</v>
          </cell>
          <cell r="C179" t="str">
            <v>Monisha</v>
          </cell>
          <cell r="D179" t="str">
            <v>Rajasthan</v>
          </cell>
          <cell r="E179" t="str">
            <v>Jaipur</v>
          </cell>
        </row>
        <row r="180">
          <cell r="A180" t="str">
            <v>B-25751</v>
          </cell>
          <cell r="B180">
            <v>43326</v>
          </cell>
          <cell r="C180" t="str">
            <v>Nishant</v>
          </cell>
          <cell r="D180" t="str">
            <v>Maharashtra</v>
          </cell>
          <cell r="E180" t="str">
            <v>Mumbai</v>
          </cell>
        </row>
        <row r="181">
          <cell r="A181" t="str">
            <v>B-25685</v>
          </cell>
          <cell r="B181">
            <v>43261</v>
          </cell>
          <cell r="C181" t="str">
            <v>Sheetal</v>
          </cell>
          <cell r="D181" t="str">
            <v>Madhya Pradesh</v>
          </cell>
          <cell r="E181" t="str">
            <v>Indore</v>
          </cell>
        </row>
        <row r="182">
          <cell r="A182" t="str">
            <v>B-26010</v>
          </cell>
          <cell r="B182">
            <v>43142</v>
          </cell>
          <cell r="C182" t="str">
            <v>Kartikay</v>
          </cell>
          <cell r="D182" t="str">
            <v>Bihar</v>
          </cell>
          <cell r="E182" t="str">
            <v>Patna</v>
          </cell>
        </row>
        <row r="183">
          <cell r="A183" t="str">
            <v>B-26035</v>
          </cell>
          <cell r="B183">
            <v>43154</v>
          </cell>
          <cell r="C183" t="str">
            <v>Pinky</v>
          </cell>
          <cell r="D183" t="str">
            <v>Jammu and Kashmir</v>
          </cell>
          <cell r="E183" t="str">
            <v>Kashmir</v>
          </cell>
        </row>
        <row r="184">
          <cell r="A184" t="str">
            <v>B-25698</v>
          </cell>
          <cell r="B184">
            <v>43274</v>
          </cell>
          <cell r="C184" t="str">
            <v>Amisha</v>
          </cell>
          <cell r="D184" t="str">
            <v>Tamil Nadu</v>
          </cell>
          <cell r="E184" t="str">
            <v>Chennai</v>
          </cell>
        </row>
        <row r="185">
          <cell r="A185" t="str">
            <v>B-25966</v>
          </cell>
          <cell r="B185">
            <v>43121</v>
          </cell>
          <cell r="C185" t="str">
            <v>Soumya</v>
          </cell>
          <cell r="D185" t="str">
            <v>Rajasthan</v>
          </cell>
          <cell r="E185" t="str">
            <v>Udaipur</v>
          </cell>
        </row>
        <row r="186">
          <cell r="A186" t="str">
            <v>B-25832</v>
          </cell>
          <cell r="B186">
            <v>43401</v>
          </cell>
          <cell r="C186" t="str">
            <v>Harshita</v>
          </cell>
          <cell r="D186" t="str">
            <v>Maharashtra</v>
          </cell>
          <cell r="E186" t="str">
            <v>Mumbai</v>
          </cell>
        </row>
        <row r="187">
          <cell r="A187" t="str">
            <v>B-25743</v>
          </cell>
          <cell r="B187">
            <v>43319</v>
          </cell>
          <cell r="C187" t="str">
            <v>Aman</v>
          </cell>
          <cell r="D187" t="str">
            <v>Nagaland</v>
          </cell>
          <cell r="E187" t="str">
            <v>Kohima</v>
          </cell>
        </row>
        <row r="188">
          <cell r="A188" t="str">
            <v>B-25886</v>
          </cell>
          <cell r="B188">
            <v>43432</v>
          </cell>
          <cell r="C188" t="str">
            <v>Brijesh</v>
          </cell>
          <cell r="D188" t="str">
            <v>Rajasthan</v>
          </cell>
          <cell r="E188" t="str">
            <v>Udaipur</v>
          </cell>
        </row>
        <row r="189">
          <cell r="A189" t="str">
            <v>B-25975</v>
          </cell>
          <cell r="B189">
            <v>43125</v>
          </cell>
          <cell r="C189" t="str">
            <v>Priyanka</v>
          </cell>
          <cell r="D189" t="str">
            <v>Uttar Pradesh</v>
          </cell>
          <cell r="E189" t="str">
            <v>Prayagraj</v>
          </cell>
        </row>
        <row r="190">
          <cell r="A190" t="str">
            <v>B-26098</v>
          </cell>
          <cell r="B190">
            <v>43188</v>
          </cell>
          <cell r="C190" t="str">
            <v>Pinky</v>
          </cell>
          <cell r="D190" t="str">
            <v>Jammu and Kashmir</v>
          </cell>
          <cell r="E190" t="str">
            <v>Kashmir</v>
          </cell>
        </row>
        <row r="191">
          <cell r="A191" t="str">
            <v>B-25614</v>
          </cell>
          <cell r="B191">
            <v>43203</v>
          </cell>
          <cell r="C191" t="str">
            <v>Vandana</v>
          </cell>
          <cell r="D191" t="str">
            <v>Himachal Pradesh</v>
          </cell>
          <cell r="E191" t="str">
            <v>Simla</v>
          </cell>
        </row>
        <row r="192">
          <cell r="A192" t="str">
            <v>B-25726</v>
          </cell>
          <cell r="B192">
            <v>43302</v>
          </cell>
          <cell r="C192" t="str">
            <v>Kiran</v>
          </cell>
          <cell r="D192" t="str">
            <v>Maharashtra</v>
          </cell>
          <cell r="E192" t="str">
            <v>Mumbai</v>
          </cell>
        </row>
        <row r="193">
          <cell r="A193" t="str">
            <v>B-26050</v>
          </cell>
          <cell r="B193">
            <v>43165</v>
          </cell>
          <cell r="C193" t="str">
            <v>Paridhi</v>
          </cell>
          <cell r="D193" t="str">
            <v>Rajasthan</v>
          </cell>
          <cell r="E193" t="str">
            <v>Jaipur</v>
          </cell>
        </row>
        <row r="194">
          <cell r="A194" t="str">
            <v>B-25609</v>
          </cell>
          <cell r="B194">
            <v>43199</v>
          </cell>
          <cell r="C194" t="str">
            <v>Jitesh</v>
          </cell>
          <cell r="D194" t="str">
            <v>Uttar Pradesh</v>
          </cell>
          <cell r="E194" t="str">
            <v>Lucknow</v>
          </cell>
        </row>
        <row r="195">
          <cell r="A195" t="str">
            <v>B-25741</v>
          </cell>
          <cell r="B195">
            <v>43315</v>
          </cell>
          <cell r="C195" t="str">
            <v>Navdeep</v>
          </cell>
          <cell r="D195" t="str">
            <v>Madhya Pradesh</v>
          </cell>
          <cell r="E195" t="str">
            <v>Indore</v>
          </cell>
        </row>
        <row r="196">
          <cell r="A196" t="str">
            <v>B-25956</v>
          </cell>
          <cell r="B196">
            <v>43117</v>
          </cell>
          <cell r="C196" t="str">
            <v>Shreya</v>
          </cell>
          <cell r="D196" t="str">
            <v>Maharashtra</v>
          </cell>
          <cell r="E196" t="str">
            <v>Mumbai</v>
          </cell>
        </row>
        <row r="197">
          <cell r="A197" t="str">
            <v>B-25689</v>
          </cell>
          <cell r="B197">
            <v>43265</v>
          </cell>
          <cell r="C197" t="str">
            <v>Bhaggyasree</v>
          </cell>
          <cell r="D197" t="str">
            <v>Maharashtra</v>
          </cell>
          <cell r="E197" t="str">
            <v>Mumbai</v>
          </cell>
        </row>
        <row r="198">
          <cell r="A198" t="str">
            <v>B-25939</v>
          </cell>
          <cell r="B198">
            <v>43105</v>
          </cell>
          <cell r="C198" t="str">
            <v>Vineet</v>
          </cell>
          <cell r="D198" t="str">
            <v>Sikkim</v>
          </cell>
          <cell r="E198" t="str">
            <v>Gangtok</v>
          </cell>
        </row>
        <row r="199">
          <cell r="A199" t="str">
            <v>B-25890</v>
          </cell>
          <cell r="B199">
            <v>43438</v>
          </cell>
          <cell r="C199" t="str">
            <v>Divyansha</v>
          </cell>
          <cell r="D199" t="str">
            <v>Maharashtra</v>
          </cell>
          <cell r="E199" t="str">
            <v>Mumbai</v>
          </cell>
        </row>
        <row r="200">
          <cell r="A200" t="str">
            <v>B-25814</v>
          </cell>
          <cell r="B200">
            <v>43383</v>
          </cell>
          <cell r="C200" t="str">
            <v>Swapnil</v>
          </cell>
          <cell r="D200" t="str">
            <v>Madhya Pradesh</v>
          </cell>
          <cell r="E200" t="str">
            <v>Indore</v>
          </cell>
        </row>
        <row r="201">
          <cell r="A201" t="str">
            <v>B-25718</v>
          </cell>
          <cell r="B201">
            <v>43293</v>
          </cell>
          <cell r="C201" t="str">
            <v>Anjali</v>
          </cell>
          <cell r="D201" t="str">
            <v>Maharashtra</v>
          </cell>
          <cell r="E201" t="str">
            <v>Mumbai</v>
          </cell>
        </row>
        <row r="202">
          <cell r="A202" t="str">
            <v>B-25914</v>
          </cell>
          <cell r="B202">
            <v>43452</v>
          </cell>
          <cell r="C202" t="str">
            <v>Kajal</v>
          </cell>
          <cell r="D202" t="str">
            <v>Delhi</v>
          </cell>
          <cell r="E202" t="str">
            <v>Delhi</v>
          </cell>
        </row>
        <row r="203">
          <cell r="A203" t="str">
            <v>B-25903</v>
          </cell>
          <cell r="B203">
            <v>43444</v>
          </cell>
          <cell r="C203" t="str">
            <v>Amlan</v>
          </cell>
          <cell r="D203" t="str">
            <v>Madhya Pradesh</v>
          </cell>
          <cell r="E203" t="str">
            <v>Indore</v>
          </cell>
        </row>
        <row r="204">
          <cell r="A204" t="str">
            <v>B-26096</v>
          </cell>
          <cell r="B204">
            <v>43187</v>
          </cell>
          <cell r="C204" t="str">
            <v>Atharv</v>
          </cell>
          <cell r="D204" t="str">
            <v>West Bengal</v>
          </cell>
          <cell r="E204" t="str">
            <v>Kolkata</v>
          </cell>
        </row>
        <row r="205">
          <cell r="A205" t="str">
            <v>B-25654</v>
          </cell>
          <cell r="B205">
            <v>43230</v>
          </cell>
          <cell r="C205" t="str">
            <v>Sabah</v>
          </cell>
          <cell r="D205" t="str">
            <v>Maharashtra</v>
          </cell>
          <cell r="E205" t="str">
            <v>Mumbai</v>
          </cell>
        </row>
        <row r="206">
          <cell r="A206" t="str">
            <v>B-26076</v>
          </cell>
          <cell r="B206">
            <v>43180</v>
          </cell>
          <cell r="C206" t="str">
            <v>Jahan</v>
          </cell>
          <cell r="D206" t="str">
            <v>Madhya Pradesh</v>
          </cell>
          <cell r="E206" t="str">
            <v>Bhopal</v>
          </cell>
        </row>
        <row r="207">
          <cell r="A207" t="str">
            <v>B-25961</v>
          </cell>
          <cell r="B207">
            <v>43118</v>
          </cell>
          <cell r="C207" t="str">
            <v>Surbhi</v>
          </cell>
          <cell r="D207" t="str">
            <v>Gujarat</v>
          </cell>
          <cell r="E207" t="str">
            <v>Ahmedabad</v>
          </cell>
        </row>
        <row r="208">
          <cell r="A208" t="str">
            <v>B-25854</v>
          </cell>
          <cell r="B208">
            <v>43412</v>
          </cell>
          <cell r="C208" t="str">
            <v>Shubham</v>
          </cell>
          <cell r="D208" t="str">
            <v>Maharashtra</v>
          </cell>
          <cell r="E208" t="str">
            <v>Pune</v>
          </cell>
        </row>
        <row r="209">
          <cell r="A209" t="str">
            <v>B-25642</v>
          </cell>
          <cell r="B209">
            <v>43218</v>
          </cell>
          <cell r="C209" t="str">
            <v>Ajay</v>
          </cell>
          <cell r="D209" t="str">
            <v>Karnataka</v>
          </cell>
          <cell r="E209" t="str">
            <v>Bangalore</v>
          </cell>
        </row>
        <row r="210">
          <cell r="A210" t="str">
            <v>B-25683</v>
          </cell>
          <cell r="B210">
            <v>43259</v>
          </cell>
          <cell r="C210" t="str">
            <v>Shreya</v>
          </cell>
          <cell r="D210" t="str">
            <v xml:space="preserve">Kerala </v>
          </cell>
          <cell r="E210" t="str">
            <v>Thiruvananthapuram</v>
          </cell>
        </row>
        <row r="211">
          <cell r="A211" t="str">
            <v>B-26016</v>
          </cell>
          <cell r="B211">
            <v>43145</v>
          </cell>
          <cell r="C211" t="str">
            <v>Hazel</v>
          </cell>
          <cell r="D211" t="str">
            <v>Karnataka</v>
          </cell>
          <cell r="E211" t="str">
            <v>Bangalore</v>
          </cell>
        </row>
        <row r="212">
          <cell r="A212" t="str">
            <v>B-26034</v>
          </cell>
          <cell r="B212">
            <v>43154</v>
          </cell>
          <cell r="C212" t="str">
            <v>Vini</v>
          </cell>
          <cell r="D212" t="str">
            <v>Karnataka</v>
          </cell>
          <cell r="E212" t="str">
            <v>Bangalore</v>
          </cell>
        </row>
        <row r="213">
          <cell r="A213" t="str">
            <v>B-26056</v>
          </cell>
          <cell r="B213">
            <v>43169</v>
          </cell>
          <cell r="C213" t="str">
            <v>Sonal</v>
          </cell>
          <cell r="D213" t="str">
            <v>Bihar</v>
          </cell>
          <cell r="E213" t="str">
            <v>Patna</v>
          </cell>
        </row>
        <row r="214">
          <cell r="A214" t="str">
            <v>B-25819</v>
          </cell>
          <cell r="B214">
            <v>43388</v>
          </cell>
          <cell r="C214" t="str">
            <v>Ankur</v>
          </cell>
          <cell r="D214" t="str">
            <v>Madhya Pradesh</v>
          </cell>
          <cell r="E214" t="str">
            <v>Bhopal</v>
          </cell>
        </row>
        <row r="215">
          <cell r="A215" t="str">
            <v>B-25715</v>
          </cell>
          <cell r="B215">
            <v>43291</v>
          </cell>
          <cell r="C215" t="str">
            <v>Srishti</v>
          </cell>
          <cell r="D215" t="str">
            <v>Jammu and Kashmir</v>
          </cell>
          <cell r="E215" t="str">
            <v>Kashmir</v>
          </cell>
        </row>
        <row r="216">
          <cell r="A216" t="str">
            <v>B-25933</v>
          </cell>
          <cell r="B216">
            <v>43104</v>
          </cell>
          <cell r="C216" t="str">
            <v>Shikhar</v>
          </cell>
          <cell r="D216" t="str">
            <v>Maharashtra</v>
          </cell>
          <cell r="E216" t="str">
            <v>Mumbai</v>
          </cell>
        </row>
        <row r="217">
          <cell r="A217" t="str">
            <v>B-26014</v>
          </cell>
          <cell r="B217">
            <v>43144</v>
          </cell>
          <cell r="C217" t="str">
            <v>Divsha</v>
          </cell>
          <cell r="D217" t="str">
            <v>Rajasthan</v>
          </cell>
          <cell r="E217" t="str">
            <v>Jaipur</v>
          </cell>
        </row>
        <row r="218">
          <cell r="A218" t="str">
            <v>B-25655</v>
          </cell>
          <cell r="B218">
            <v>43231</v>
          </cell>
          <cell r="C218" t="str">
            <v>Nida</v>
          </cell>
          <cell r="D218" t="str">
            <v>Madhya Pradesh</v>
          </cell>
          <cell r="E218" t="str">
            <v>Indore</v>
          </cell>
        </row>
        <row r="219">
          <cell r="A219" t="str">
            <v>B-25816</v>
          </cell>
          <cell r="B219">
            <v>43385</v>
          </cell>
          <cell r="C219" t="str">
            <v>Mane</v>
          </cell>
          <cell r="D219" t="str">
            <v>Andhra Pradesh</v>
          </cell>
          <cell r="E219" t="str">
            <v>Hyderabad</v>
          </cell>
        </row>
        <row r="220">
          <cell r="A220" t="str">
            <v>B-25634</v>
          </cell>
          <cell r="B220">
            <v>43216</v>
          </cell>
          <cell r="C220" t="str">
            <v>Sanjay</v>
          </cell>
          <cell r="D220" t="str">
            <v>Goa</v>
          </cell>
          <cell r="E220" t="str">
            <v>Goa</v>
          </cell>
        </row>
        <row r="221">
          <cell r="A221" t="str">
            <v>B-25895</v>
          </cell>
          <cell r="B221">
            <v>43438</v>
          </cell>
          <cell r="C221" t="str">
            <v>Sathya</v>
          </cell>
          <cell r="D221" t="str">
            <v>Gujarat</v>
          </cell>
          <cell r="E221" t="str">
            <v>Surat</v>
          </cell>
        </row>
        <row r="222">
          <cell r="A222" t="str">
            <v>B-25687</v>
          </cell>
          <cell r="B222">
            <v>43262</v>
          </cell>
          <cell r="C222" t="str">
            <v>Sanjna</v>
          </cell>
          <cell r="D222" t="str">
            <v>Maharashtra</v>
          </cell>
          <cell r="E222" t="str">
            <v>Mumbai</v>
          </cell>
        </row>
        <row r="223">
          <cell r="A223" t="str">
            <v>B-25662</v>
          </cell>
          <cell r="B223">
            <v>43237</v>
          </cell>
          <cell r="C223" t="str">
            <v>Sweta</v>
          </cell>
          <cell r="D223" t="str">
            <v>Maharashtra</v>
          </cell>
          <cell r="E223" t="str">
            <v>Mumbai</v>
          </cell>
        </row>
        <row r="224">
          <cell r="A224" t="str">
            <v>B-25635</v>
          </cell>
          <cell r="B224">
            <v>43216</v>
          </cell>
          <cell r="C224" t="str">
            <v>Nidhi</v>
          </cell>
          <cell r="D224" t="str">
            <v>Nagaland</v>
          </cell>
          <cell r="E224" t="str">
            <v>Kohima</v>
          </cell>
        </row>
        <row r="225">
          <cell r="A225" t="str">
            <v>B-26060</v>
          </cell>
          <cell r="B225">
            <v>43172</v>
          </cell>
          <cell r="C225" t="str">
            <v>Chirag</v>
          </cell>
          <cell r="D225" t="str">
            <v>Maharashtra</v>
          </cell>
          <cell r="E225" t="str">
            <v>Mumbai</v>
          </cell>
        </row>
        <row r="226">
          <cell r="A226" t="str">
            <v>B-26045</v>
          </cell>
          <cell r="B226">
            <v>43162</v>
          </cell>
          <cell r="C226" t="str">
            <v>Nidhi</v>
          </cell>
          <cell r="D226" t="str">
            <v>Nagaland</v>
          </cell>
          <cell r="E226" t="str">
            <v>Kohima</v>
          </cell>
        </row>
        <row r="227">
          <cell r="A227" t="str">
            <v>B-25770</v>
          </cell>
          <cell r="B227">
            <v>43345</v>
          </cell>
          <cell r="C227" t="str">
            <v>Sakshi</v>
          </cell>
          <cell r="D227" t="str">
            <v>Madhya Pradesh</v>
          </cell>
          <cell r="E227" t="str">
            <v>Indore</v>
          </cell>
        </row>
        <row r="228">
          <cell r="A228" t="str">
            <v>B-25744</v>
          </cell>
          <cell r="B228">
            <v>43320</v>
          </cell>
          <cell r="C228" t="str">
            <v>Devendra</v>
          </cell>
          <cell r="D228" t="str">
            <v>Andhra Pradesh</v>
          </cell>
          <cell r="E228" t="str">
            <v>Hyderabad</v>
          </cell>
        </row>
        <row r="229">
          <cell r="A229" t="str">
            <v>B-25618</v>
          </cell>
          <cell r="B229">
            <v>43208</v>
          </cell>
          <cell r="C229" t="str">
            <v>Manju</v>
          </cell>
          <cell r="D229" t="str">
            <v>Andhra Pradesh</v>
          </cell>
          <cell r="E229" t="str">
            <v>Hyderabad</v>
          </cell>
        </row>
        <row r="230">
          <cell r="A230" t="str">
            <v>B-25958</v>
          </cell>
          <cell r="B230">
            <v>43118</v>
          </cell>
          <cell r="C230" t="str">
            <v>Aparajita</v>
          </cell>
          <cell r="D230" t="str">
            <v>West Bengal</v>
          </cell>
          <cell r="E230" t="str">
            <v>Kolkata</v>
          </cell>
        </row>
        <row r="231">
          <cell r="A231" t="str">
            <v>B-25769</v>
          </cell>
          <cell r="B231">
            <v>43345</v>
          </cell>
          <cell r="C231" t="str">
            <v>Surbhi</v>
          </cell>
          <cell r="D231" t="str">
            <v>Maharashtra</v>
          </cell>
          <cell r="E231" t="str">
            <v>Mumbai</v>
          </cell>
        </row>
        <row r="232">
          <cell r="A232" t="str">
            <v>B-25619</v>
          </cell>
          <cell r="B232">
            <v>43208</v>
          </cell>
          <cell r="C232" t="str">
            <v>Ramesh</v>
          </cell>
          <cell r="D232" t="str">
            <v>Gujarat</v>
          </cell>
          <cell r="E232" t="str">
            <v>Ahmedabad</v>
          </cell>
        </row>
        <row r="233">
          <cell r="A233" t="str">
            <v>B-25688</v>
          </cell>
          <cell r="B233">
            <v>43262</v>
          </cell>
          <cell r="C233" t="str">
            <v>Swetha</v>
          </cell>
          <cell r="D233" t="str">
            <v>Madhya Pradesh</v>
          </cell>
          <cell r="E233" t="str">
            <v>Indore</v>
          </cell>
        </row>
        <row r="234">
          <cell r="A234" t="str">
            <v>B-25829</v>
          </cell>
          <cell r="B234">
            <v>43398</v>
          </cell>
          <cell r="C234" t="str">
            <v>Apoorva</v>
          </cell>
          <cell r="D234" t="str">
            <v>Haryana</v>
          </cell>
          <cell r="E234" t="str">
            <v>Chandigarh</v>
          </cell>
        </row>
        <row r="235">
          <cell r="A235" t="str">
            <v>B-26036</v>
          </cell>
          <cell r="B235">
            <v>43154</v>
          </cell>
          <cell r="C235" t="str">
            <v>Bhishm</v>
          </cell>
          <cell r="D235" t="str">
            <v>Maharashtra</v>
          </cell>
          <cell r="E235" t="str">
            <v>Mumbai</v>
          </cell>
        </row>
        <row r="236">
          <cell r="A236" t="str">
            <v>B-25714</v>
          </cell>
          <cell r="B236">
            <v>43290</v>
          </cell>
          <cell r="C236" t="str">
            <v>Stuti</v>
          </cell>
          <cell r="D236" t="str">
            <v>Karnataka</v>
          </cell>
          <cell r="E236" t="str">
            <v>Bangalore</v>
          </cell>
        </row>
        <row r="237">
          <cell r="A237" t="str">
            <v>B-25989</v>
          </cell>
          <cell r="B237">
            <v>43132</v>
          </cell>
          <cell r="C237" t="str">
            <v>Anjali</v>
          </cell>
          <cell r="D237" t="str">
            <v>Delhi</v>
          </cell>
          <cell r="E237" t="str">
            <v>Delhi</v>
          </cell>
        </row>
        <row r="238">
          <cell r="A238" t="str">
            <v>B-25849</v>
          </cell>
          <cell r="B238">
            <v>43408</v>
          </cell>
          <cell r="C238" t="str">
            <v>K</v>
          </cell>
          <cell r="D238" t="str">
            <v>Sikkim</v>
          </cell>
          <cell r="E238" t="str">
            <v>Gangtok</v>
          </cell>
        </row>
        <row r="239">
          <cell r="A239" t="str">
            <v>B-25851</v>
          </cell>
          <cell r="B239">
            <v>43410</v>
          </cell>
          <cell r="C239" t="str">
            <v>Kushal</v>
          </cell>
          <cell r="D239" t="str">
            <v>Nagaland</v>
          </cell>
          <cell r="E239" t="str">
            <v>Kohima</v>
          </cell>
        </row>
        <row r="240">
          <cell r="A240" t="str">
            <v>B-25782</v>
          </cell>
          <cell r="B240">
            <v>43358</v>
          </cell>
          <cell r="C240" t="str">
            <v>Aayushi</v>
          </cell>
          <cell r="D240" t="str">
            <v>Maharashtra</v>
          </cell>
          <cell r="E240" t="str">
            <v>Mumbai</v>
          </cell>
        </row>
        <row r="241">
          <cell r="A241" t="str">
            <v>B-25621</v>
          </cell>
          <cell r="B241">
            <v>43210</v>
          </cell>
          <cell r="C241" t="str">
            <v>Deepak</v>
          </cell>
          <cell r="D241" t="str">
            <v>Madhya Pradesh</v>
          </cell>
          <cell r="E241" t="str">
            <v>Bhopal</v>
          </cell>
        </row>
        <row r="242">
          <cell r="A242" t="str">
            <v>B-25996</v>
          </cell>
          <cell r="B242">
            <v>43135</v>
          </cell>
          <cell r="C242" t="str">
            <v>Prashant</v>
          </cell>
          <cell r="D242" t="str">
            <v>Delhi</v>
          </cell>
          <cell r="E242" t="str">
            <v>Delhi</v>
          </cell>
        </row>
        <row r="243">
          <cell r="A243" t="str">
            <v>B-25678</v>
          </cell>
          <cell r="B243">
            <v>43254</v>
          </cell>
          <cell r="C243" t="str">
            <v>Bathina</v>
          </cell>
          <cell r="D243" t="str">
            <v>Karnataka</v>
          </cell>
          <cell r="E243" t="str">
            <v>Bangalore</v>
          </cell>
        </row>
        <row r="244">
          <cell r="A244" t="str">
            <v>B-25727</v>
          </cell>
          <cell r="B244">
            <v>43303</v>
          </cell>
          <cell r="C244" t="str">
            <v>Turumella</v>
          </cell>
          <cell r="D244" t="str">
            <v>Madhya Pradesh</v>
          </cell>
          <cell r="E244" t="str">
            <v>Indore</v>
          </cell>
        </row>
        <row r="245">
          <cell r="A245" t="str">
            <v>B-26018</v>
          </cell>
          <cell r="B245">
            <v>43145</v>
          </cell>
          <cell r="C245" t="str">
            <v>Aarushi</v>
          </cell>
          <cell r="D245" t="str">
            <v>Tamil Nadu</v>
          </cell>
          <cell r="E245" t="str">
            <v>Chennai</v>
          </cell>
        </row>
        <row r="246">
          <cell r="A246" t="str">
            <v>B-25760</v>
          </cell>
          <cell r="B246">
            <v>43336</v>
          </cell>
          <cell r="C246" t="str">
            <v>Pooja</v>
          </cell>
          <cell r="D246" t="str">
            <v>Goa</v>
          </cell>
          <cell r="E246" t="str">
            <v>Goa</v>
          </cell>
        </row>
        <row r="247">
          <cell r="A247" t="str">
            <v>B-25804</v>
          </cell>
          <cell r="B247">
            <v>43378</v>
          </cell>
          <cell r="C247" t="str">
            <v>Sudheer</v>
          </cell>
          <cell r="D247" t="str">
            <v>Karnataka</v>
          </cell>
          <cell r="E247" t="str">
            <v>Bangalore</v>
          </cell>
        </row>
        <row r="248">
          <cell r="A248" t="str">
            <v>B-25754</v>
          </cell>
          <cell r="B248">
            <v>43330</v>
          </cell>
          <cell r="C248" t="str">
            <v>Akshay</v>
          </cell>
          <cell r="D248" t="str">
            <v>Bihar</v>
          </cell>
          <cell r="E248" t="str">
            <v>Patna</v>
          </cell>
        </row>
        <row r="249">
          <cell r="A249" t="str">
            <v>B-26020</v>
          </cell>
          <cell r="B249">
            <v>43147</v>
          </cell>
          <cell r="C249" t="str">
            <v>Yogesh</v>
          </cell>
          <cell r="D249" t="str">
            <v>Bihar</v>
          </cell>
          <cell r="E249" t="str">
            <v>Patna</v>
          </cell>
        </row>
        <row r="250">
          <cell r="A250" t="str">
            <v>B-25640</v>
          </cell>
          <cell r="B250">
            <v>43217</v>
          </cell>
          <cell r="C250" t="str">
            <v>Paridhi</v>
          </cell>
          <cell r="D250" t="str">
            <v>Rajasthan</v>
          </cell>
          <cell r="E250" t="str">
            <v>Jaipur</v>
          </cell>
        </row>
        <row r="251">
          <cell r="A251" t="str">
            <v>B-25789</v>
          </cell>
          <cell r="B251">
            <v>43365</v>
          </cell>
          <cell r="C251" t="str">
            <v>Akshay</v>
          </cell>
          <cell r="D251" t="str">
            <v>Uttar Pradesh</v>
          </cell>
          <cell r="E251" t="str">
            <v>Lucknow</v>
          </cell>
        </row>
        <row r="252">
          <cell r="A252" t="str">
            <v>B-26072</v>
          </cell>
          <cell r="B252">
            <v>43179</v>
          </cell>
          <cell r="C252" t="str">
            <v>Sweta</v>
          </cell>
          <cell r="D252" t="str">
            <v>Maharashtra</v>
          </cell>
          <cell r="E252" t="str">
            <v>Mumbai</v>
          </cell>
        </row>
        <row r="253">
          <cell r="A253" t="str">
            <v>B-26007</v>
          </cell>
          <cell r="B253">
            <v>43140</v>
          </cell>
          <cell r="C253" t="str">
            <v>Shubham</v>
          </cell>
          <cell r="D253" t="str">
            <v>Jammu and Kashmir</v>
          </cell>
          <cell r="E253" t="str">
            <v>Kashmir</v>
          </cell>
        </row>
        <row r="254">
          <cell r="A254" t="str">
            <v>B-26087</v>
          </cell>
          <cell r="B254">
            <v>43185</v>
          </cell>
          <cell r="C254" t="str">
            <v>Vandana</v>
          </cell>
          <cell r="D254" t="str">
            <v>Himachal Pradesh</v>
          </cell>
          <cell r="E254" t="str">
            <v>Simla</v>
          </cell>
        </row>
        <row r="255">
          <cell r="A255" t="str">
            <v>B-25617</v>
          </cell>
          <cell r="B255">
            <v>43207</v>
          </cell>
          <cell r="C255" t="str">
            <v>Sagar</v>
          </cell>
          <cell r="D255" t="str">
            <v>Nagaland</v>
          </cell>
          <cell r="E255" t="str">
            <v>Kohima</v>
          </cell>
        </row>
        <row r="256">
          <cell r="A256" t="str">
            <v>B-25984</v>
          </cell>
          <cell r="B256">
            <v>43130</v>
          </cell>
          <cell r="C256" t="str">
            <v>Kajal</v>
          </cell>
          <cell r="D256" t="str">
            <v>Delhi</v>
          </cell>
          <cell r="E256" t="str">
            <v>Delhi</v>
          </cell>
        </row>
        <row r="257">
          <cell r="A257" t="str">
            <v>B-25767</v>
          </cell>
          <cell r="B257">
            <v>43343</v>
          </cell>
          <cell r="C257" t="str">
            <v>Ashmeet</v>
          </cell>
          <cell r="D257" t="str">
            <v>West Bengal</v>
          </cell>
          <cell r="E257" t="str">
            <v>Kolkata</v>
          </cell>
        </row>
        <row r="258">
          <cell r="A258" t="str">
            <v>B-25987</v>
          </cell>
          <cell r="B258">
            <v>43131</v>
          </cell>
          <cell r="C258" t="str">
            <v>Manjiri</v>
          </cell>
          <cell r="D258" t="str">
            <v>Delhi</v>
          </cell>
          <cell r="E258" t="str">
            <v>Delhi</v>
          </cell>
        </row>
        <row r="259">
          <cell r="A259" t="str">
            <v>B-25840</v>
          </cell>
          <cell r="B259">
            <v>43404</v>
          </cell>
          <cell r="C259" t="str">
            <v>Sneha</v>
          </cell>
          <cell r="D259" t="str">
            <v>Karnataka</v>
          </cell>
          <cell r="E259" t="str">
            <v>Bangalore</v>
          </cell>
        </row>
        <row r="260">
          <cell r="A260" t="str">
            <v>B-25663</v>
          </cell>
          <cell r="B260">
            <v>43239</v>
          </cell>
          <cell r="C260" t="str">
            <v>Pournamasi</v>
          </cell>
          <cell r="D260" t="str">
            <v>Madhya Pradesh</v>
          </cell>
          <cell r="E260" t="str">
            <v>Indore</v>
          </cell>
        </row>
        <row r="261">
          <cell r="A261" t="str">
            <v>B-26030</v>
          </cell>
          <cell r="B261">
            <v>43152</v>
          </cell>
          <cell r="C261" t="str">
            <v>Sarita</v>
          </cell>
          <cell r="D261" t="str">
            <v>Maharashtra</v>
          </cell>
          <cell r="E261" t="str">
            <v>Pune</v>
          </cell>
        </row>
        <row r="262">
          <cell r="A262" t="str">
            <v>B-25947</v>
          </cell>
          <cell r="B262">
            <v>43113</v>
          </cell>
          <cell r="C262" t="str">
            <v>Chetan</v>
          </cell>
          <cell r="D262" t="str">
            <v>Gujarat</v>
          </cell>
          <cell r="E262" t="str">
            <v>Ahmedabad</v>
          </cell>
        </row>
        <row r="263">
          <cell r="A263" t="str">
            <v>B-25896</v>
          </cell>
          <cell r="B263">
            <v>43439</v>
          </cell>
          <cell r="C263" t="str">
            <v>Aman</v>
          </cell>
          <cell r="D263" t="str">
            <v>Maharashtra</v>
          </cell>
          <cell r="E263" t="str">
            <v>Mumbai</v>
          </cell>
        </row>
        <row r="264">
          <cell r="A264" t="str">
            <v>B-26009</v>
          </cell>
          <cell r="B264">
            <v>43141</v>
          </cell>
          <cell r="C264" t="str">
            <v>Komal</v>
          </cell>
          <cell r="D264" t="str">
            <v>Uttar Pradesh</v>
          </cell>
          <cell r="E264" t="str">
            <v>Lucknow</v>
          </cell>
        </row>
        <row r="265">
          <cell r="A265" t="str">
            <v>B-25876</v>
          </cell>
          <cell r="B265">
            <v>43428</v>
          </cell>
          <cell r="C265" t="str">
            <v>Bhosale</v>
          </cell>
          <cell r="D265" t="str">
            <v>Punjab</v>
          </cell>
          <cell r="E265" t="str">
            <v>Amritsar</v>
          </cell>
        </row>
        <row r="266">
          <cell r="A266" t="str">
            <v>B-25915</v>
          </cell>
          <cell r="B266">
            <v>43453</v>
          </cell>
          <cell r="C266" t="str">
            <v>Sukruta</v>
          </cell>
          <cell r="D266" t="str">
            <v>Punjab</v>
          </cell>
          <cell r="E266" t="str">
            <v>Amritsar</v>
          </cell>
        </row>
        <row r="267">
          <cell r="A267" t="str">
            <v>B-25795</v>
          </cell>
          <cell r="B267">
            <v>43367</v>
          </cell>
          <cell r="C267" t="str">
            <v>Sukant</v>
          </cell>
          <cell r="D267" t="str">
            <v>Sikkim</v>
          </cell>
          <cell r="E267" t="str">
            <v>Gangtok</v>
          </cell>
        </row>
        <row r="268">
          <cell r="A268" t="str">
            <v>B-26002</v>
          </cell>
          <cell r="B268">
            <v>43139</v>
          </cell>
          <cell r="C268" t="str">
            <v>Harsh</v>
          </cell>
          <cell r="D268" t="str">
            <v>Delhi</v>
          </cell>
          <cell r="E268" t="str">
            <v>Delhi</v>
          </cell>
        </row>
        <row r="269">
          <cell r="A269" t="str">
            <v>B-25645</v>
          </cell>
          <cell r="B269">
            <v>43221</v>
          </cell>
          <cell r="C269" t="str">
            <v>Yaanvi</v>
          </cell>
          <cell r="D269" t="str">
            <v>Madhya Pradesh</v>
          </cell>
          <cell r="E269" t="str">
            <v>Indore</v>
          </cell>
        </row>
        <row r="270">
          <cell r="A270" t="str">
            <v>B-25837</v>
          </cell>
          <cell r="B270">
            <v>43402</v>
          </cell>
          <cell r="C270" t="str">
            <v>Palak</v>
          </cell>
          <cell r="D270" t="str">
            <v>Maharashtra</v>
          </cell>
          <cell r="E270" t="str">
            <v>Mumbai</v>
          </cell>
        </row>
        <row r="271">
          <cell r="A271" t="str">
            <v>B-25612</v>
          </cell>
          <cell r="B271">
            <v>43202</v>
          </cell>
          <cell r="C271" t="str">
            <v>Shrichand</v>
          </cell>
          <cell r="D271" t="str">
            <v>Punjab</v>
          </cell>
          <cell r="E271" t="str">
            <v>Chandigarh</v>
          </cell>
        </row>
        <row r="272">
          <cell r="A272" t="str">
            <v>B-25812</v>
          </cell>
          <cell r="B272">
            <v>43383</v>
          </cell>
          <cell r="C272" t="str">
            <v>Kshitij</v>
          </cell>
          <cell r="D272" t="str">
            <v>Madhya Pradesh</v>
          </cell>
          <cell r="E272" t="str">
            <v>Indore</v>
          </cell>
        </row>
        <row r="273">
          <cell r="A273" t="str">
            <v>B-25843</v>
          </cell>
          <cell r="B273">
            <v>43407</v>
          </cell>
          <cell r="C273" t="str">
            <v>Mrunal</v>
          </cell>
          <cell r="D273" t="str">
            <v>Maharashtra</v>
          </cell>
          <cell r="E273" t="str">
            <v>Mumbai</v>
          </cell>
        </row>
        <row r="274">
          <cell r="A274" t="str">
            <v>B-26026</v>
          </cell>
          <cell r="B274">
            <v>43150</v>
          </cell>
          <cell r="C274" t="str">
            <v>Kanak</v>
          </cell>
          <cell r="D274" t="str">
            <v>Goa</v>
          </cell>
          <cell r="E274" t="str">
            <v>Goa</v>
          </cell>
        </row>
        <row r="275">
          <cell r="A275" t="str">
            <v>B-25773</v>
          </cell>
          <cell r="B275">
            <v>43349</v>
          </cell>
          <cell r="C275" t="str">
            <v>Shreya</v>
          </cell>
          <cell r="D275" t="str">
            <v xml:space="preserve">Kerala </v>
          </cell>
          <cell r="E275" t="str">
            <v>Thiruvananthapuram</v>
          </cell>
        </row>
        <row r="276">
          <cell r="A276" t="str">
            <v>B-25875</v>
          </cell>
          <cell r="B276">
            <v>43428</v>
          </cell>
          <cell r="C276" t="str">
            <v>Divyeshkumar</v>
          </cell>
          <cell r="D276" t="str">
            <v>Uttar Pradesh</v>
          </cell>
          <cell r="E276" t="str">
            <v>Prayagraj</v>
          </cell>
        </row>
        <row r="277">
          <cell r="A277" t="str">
            <v>B-25660</v>
          </cell>
          <cell r="B277">
            <v>43236</v>
          </cell>
          <cell r="C277" t="str">
            <v>Shruti</v>
          </cell>
          <cell r="D277" t="str">
            <v>Karnataka</v>
          </cell>
          <cell r="E277" t="str">
            <v>Bangalore</v>
          </cell>
        </row>
        <row r="278">
          <cell r="A278" t="str">
            <v>B-25918</v>
          </cell>
          <cell r="B278">
            <v>43456</v>
          </cell>
          <cell r="C278" t="str">
            <v>Karandeep</v>
          </cell>
          <cell r="D278" t="str">
            <v>Madhya Pradesh</v>
          </cell>
          <cell r="E278" t="str">
            <v>Indore</v>
          </cell>
        </row>
        <row r="279">
          <cell r="A279" t="str">
            <v>B-25971</v>
          </cell>
          <cell r="B279">
            <v>43122</v>
          </cell>
          <cell r="C279" t="str">
            <v>Mitali</v>
          </cell>
          <cell r="D279" t="str">
            <v>Madhya Pradesh</v>
          </cell>
          <cell r="E279" t="str">
            <v>Indore</v>
          </cell>
        </row>
        <row r="280">
          <cell r="A280" t="str">
            <v>B-26063</v>
          </cell>
          <cell r="B280">
            <v>43174</v>
          </cell>
          <cell r="C280" t="str">
            <v>Farah</v>
          </cell>
          <cell r="D280" t="str">
            <v>Nagaland</v>
          </cell>
          <cell r="E280" t="str">
            <v>Kohima</v>
          </cell>
        </row>
        <row r="281">
          <cell r="A281" t="str">
            <v>B-25867</v>
          </cell>
          <cell r="B281">
            <v>43421</v>
          </cell>
          <cell r="C281" t="str">
            <v>Ankit</v>
          </cell>
          <cell r="D281" t="str">
            <v>Sikkim</v>
          </cell>
          <cell r="E281" t="str">
            <v>Gangtok</v>
          </cell>
        </row>
        <row r="282">
          <cell r="A282" t="str">
            <v>B-25703</v>
          </cell>
          <cell r="B282">
            <v>43279</v>
          </cell>
          <cell r="C282" t="str">
            <v>Ekta</v>
          </cell>
          <cell r="D282" t="str">
            <v>Madhya Pradesh</v>
          </cell>
          <cell r="E282" t="str">
            <v>Indore</v>
          </cell>
        </row>
        <row r="283">
          <cell r="A283" t="str">
            <v>B-25661</v>
          </cell>
          <cell r="B283">
            <v>43237</v>
          </cell>
          <cell r="C283" t="str">
            <v>Subhashree</v>
          </cell>
          <cell r="D283" t="str">
            <v>Jammu and Kashmir</v>
          </cell>
          <cell r="E283" t="str">
            <v>Kashmir</v>
          </cell>
        </row>
        <row r="284">
          <cell r="A284" t="str">
            <v>B-25748</v>
          </cell>
          <cell r="B284">
            <v>43324</v>
          </cell>
          <cell r="C284" t="str">
            <v>Nitant</v>
          </cell>
          <cell r="D284" t="str">
            <v>Rajasthan</v>
          </cell>
          <cell r="E284" t="str">
            <v>Jaipur</v>
          </cell>
        </row>
        <row r="285">
          <cell r="A285" t="str">
            <v>B-25766</v>
          </cell>
          <cell r="B285">
            <v>43342</v>
          </cell>
          <cell r="C285" t="str">
            <v>Surabhi</v>
          </cell>
          <cell r="D285" t="str">
            <v>Rajasthan</v>
          </cell>
          <cell r="E285" t="str">
            <v>Jaipur</v>
          </cell>
        </row>
        <row r="286">
          <cell r="A286" t="str">
            <v>B-25861</v>
          </cell>
          <cell r="B286">
            <v>43419</v>
          </cell>
          <cell r="C286" t="str">
            <v>Aayush</v>
          </cell>
          <cell r="D286" t="str">
            <v>Uttar Pradesh</v>
          </cell>
          <cell r="E286" t="str">
            <v>Lucknow</v>
          </cell>
        </row>
        <row r="287">
          <cell r="A287" t="str">
            <v>B-26058</v>
          </cell>
          <cell r="B287">
            <v>43170</v>
          </cell>
          <cell r="C287" t="str">
            <v>Aditya</v>
          </cell>
          <cell r="D287" t="str">
            <v>Punjab</v>
          </cell>
          <cell r="E287" t="str">
            <v>Chandigarh</v>
          </cell>
        </row>
        <row r="288">
          <cell r="A288" t="str">
            <v>B-25808</v>
          </cell>
          <cell r="B288">
            <v>43381</v>
          </cell>
          <cell r="C288" t="str">
            <v>Apsingekar</v>
          </cell>
          <cell r="D288" t="str">
            <v>Bihar</v>
          </cell>
          <cell r="E288" t="str">
            <v>Patna</v>
          </cell>
        </row>
        <row r="289">
          <cell r="A289" t="str">
            <v>B-25900</v>
          </cell>
          <cell r="B289">
            <v>43443</v>
          </cell>
          <cell r="C289" t="str">
            <v>Anand</v>
          </cell>
          <cell r="D289" t="str">
            <v>Punjab</v>
          </cell>
          <cell r="E289" t="str">
            <v>Amritsar</v>
          </cell>
        </row>
        <row r="290">
          <cell r="A290" t="str">
            <v>B-26084</v>
          </cell>
          <cell r="B290">
            <v>43184</v>
          </cell>
          <cell r="C290" t="str">
            <v>Anita</v>
          </cell>
          <cell r="D290" t="str">
            <v xml:space="preserve">Kerala </v>
          </cell>
          <cell r="E290" t="str">
            <v>Thiruvananthapuram</v>
          </cell>
        </row>
        <row r="291">
          <cell r="A291" t="str">
            <v>B-25652</v>
          </cell>
          <cell r="B291">
            <v>43228</v>
          </cell>
          <cell r="C291" t="str">
            <v>Tushina</v>
          </cell>
          <cell r="D291" t="str">
            <v>Goa</v>
          </cell>
          <cell r="E291" t="str">
            <v>Goa</v>
          </cell>
        </row>
        <row r="292">
          <cell r="A292" t="str">
            <v>B-26008</v>
          </cell>
          <cell r="B292">
            <v>43140</v>
          </cell>
          <cell r="C292" t="str">
            <v>Kalyani</v>
          </cell>
          <cell r="D292" t="str">
            <v>Tamil Nadu</v>
          </cell>
          <cell r="E292" t="str">
            <v>Chennai</v>
          </cell>
        </row>
        <row r="293">
          <cell r="A293" t="str">
            <v>B-25799</v>
          </cell>
          <cell r="B293">
            <v>43374</v>
          </cell>
          <cell r="C293" t="str">
            <v>Divyansh</v>
          </cell>
          <cell r="D293" t="str">
            <v>Gujarat</v>
          </cell>
          <cell r="E293" t="str">
            <v>Ahmedabad</v>
          </cell>
        </row>
        <row r="294">
          <cell r="A294" t="str">
            <v>B-25927</v>
          </cell>
          <cell r="B294">
            <v>43465</v>
          </cell>
          <cell r="C294" t="str">
            <v>Shreya</v>
          </cell>
          <cell r="D294" t="str">
            <v>Uttar Pradesh</v>
          </cell>
          <cell r="E294" t="str">
            <v>Lucknow</v>
          </cell>
        </row>
        <row r="295">
          <cell r="A295" t="str">
            <v>B-25985</v>
          </cell>
          <cell r="B295">
            <v>43131</v>
          </cell>
          <cell r="C295" t="str">
            <v>Ginny</v>
          </cell>
          <cell r="D295" t="str">
            <v>Madhya Pradesh</v>
          </cell>
          <cell r="E295" t="str">
            <v>Indore</v>
          </cell>
        </row>
        <row r="296">
          <cell r="A296" t="str">
            <v>B-25994</v>
          </cell>
          <cell r="B296">
            <v>43134</v>
          </cell>
          <cell r="C296" t="str">
            <v>Omkar</v>
          </cell>
          <cell r="D296" t="str">
            <v>Delhi</v>
          </cell>
          <cell r="E296" t="str">
            <v>Delhi</v>
          </cell>
        </row>
        <row r="297">
          <cell r="A297" t="str">
            <v>B-25620</v>
          </cell>
          <cell r="B297">
            <v>43210</v>
          </cell>
          <cell r="C297" t="str">
            <v>Sarita</v>
          </cell>
          <cell r="D297" t="str">
            <v>Maharashtra</v>
          </cell>
          <cell r="E297" t="str">
            <v>Pune</v>
          </cell>
        </row>
        <row r="298">
          <cell r="A298" t="str">
            <v>B-25712</v>
          </cell>
          <cell r="B298">
            <v>43288</v>
          </cell>
          <cell r="C298" t="str">
            <v>Adhvaita</v>
          </cell>
          <cell r="D298" t="str">
            <v>Rajasthan</v>
          </cell>
          <cell r="E298" t="str">
            <v>Jaipur</v>
          </cell>
        </row>
        <row r="299">
          <cell r="A299" t="str">
            <v>B-25976</v>
          </cell>
          <cell r="B299">
            <v>43125</v>
          </cell>
          <cell r="C299" t="str">
            <v>Piyam</v>
          </cell>
          <cell r="D299" t="str">
            <v>Punjab</v>
          </cell>
          <cell r="E299" t="str">
            <v>Amritsar</v>
          </cell>
        </row>
        <row r="300">
          <cell r="A300" t="str">
            <v>B-26068</v>
          </cell>
          <cell r="B300">
            <v>43175</v>
          </cell>
          <cell r="C300" t="str">
            <v>Shefali</v>
          </cell>
          <cell r="D300" t="str">
            <v>Rajasthan</v>
          </cell>
          <cell r="E300" t="str">
            <v>Jaipur</v>
          </cell>
        </row>
        <row r="301">
          <cell r="A301" t="str">
            <v>B-25721</v>
          </cell>
          <cell r="B301">
            <v>43297</v>
          </cell>
          <cell r="C301" t="str">
            <v>Anchal</v>
          </cell>
          <cell r="D301" t="str">
            <v>Haryana</v>
          </cell>
          <cell r="E301" t="str">
            <v>Chandigarh</v>
          </cell>
        </row>
        <row r="302">
          <cell r="A302" t="str">
            <v>B-25863</v>
          </cell>
          <cell r="B302">
            <v>43419</v>
          </cell>
          <cell r="C302" t="str">
            <v>Manibalan</v>
          </cell>
          <cell r="D302" t="str">
            <v xml:space="preserve">Kerala </v>
          </cell>
          <cell r="E302" t="str">
            <v>Thiruvananthapuram</v>
          </cell>
        </row>
        <row r="303">
          <cell r="A303" t="str">
            <v>B-25991</v>
          </cell>
          <cell r="B303">
            <v>43134</v>
          </cell>
          <cell r="C303" t="str">
            <v>Mansi</v>
          </cell>
          <cell r="D303" t="str">
            <v>Madhya Pradesh</v>
          </cell>
          <cell r="E303" t="str">
            <v>Indore</v>
          </cell>
        </row>
        <row r="304">
          <cell r="A304" t="str">
            <v>B-25737</v>
          </cell>
          <cell r="B304">
            <v>43313</v>
          </cell>
          <cell r="C304" t="str">
            <v>Shubham</v>
          </cell>
          <cell r="D304" t="str">
            <v>Madhya Pradesh</v>
          </cell>
          <cell r="E304" t="str">
            <v>Indore</v>
          </cell>
        </row>
        <row r="305">
          <cell r="A305" t="str">
            <v>B-26043</v>
          </cell>
          <cell r="B305">
            <v>43160</v>
          </cell>
          <cell r="C305" t="str">
            <v>Amit</v>
          </cell>
          <cell r="D305" t="str">
            <v>Sikkim</v>
          </cell>
          <cell r="E305" t="str">
            <v>Gangtok</v>
          </cell>
        </row>
        <row r="306">
          <cell r="A306" t="str">
            <v>B-25977</v>
          </cell>
          <cell r="B306">
            <v>43127</v>
          </cell>
          <cell r="C306" t="str">
            <v>Aayushi</v>
          </cell>
          <cell r="D306" t="str">
            <v>Gujarat</v>
          </cell>
          <cell r="E306" t="str">
            <v>Surat</v>
          </cell>
        </row>
        <row r="307">
          <cell r="A307" t="str">
            <v>B-25908</v>
          </cell>
          <cell r="B307">
            <v>43446</v>
          </cell>
          <cell r="C307" t="str">
            <v>Pradeep</v>
          </cell>
          <cell r="D307" t="str">
            <v>Delhi</v>
          </cell>
          <cell r="E307" t="str">
            <v>Delhi</v>
          </cell>
        </row>
        <row r="308">
          <cell r="A308" t="str">
            <v>B-25941</v>
          </cell>
          <cell r="B308">
            <v>43107</v>
          </cell>
          <cell r="C308" t="str">
            <v>Jaideep</v>
          </cell>
          <cell r="D308" t="str">
            <v>Nagaland</v>
          </cell>
          <cell r="E308" t="str">
            <v>Kohima</v>
          </cell>
        </row>
        <row r="309">
          <cell r="A309" t="str">
            <v>B-25794</v>
          </cell>
          <cell r="B309">
            <v>43367</v>
          </cell>
          <cell r="C309" t="str">
            <v>Aditya</v>
          </cell>
          <cell r="D309" t="str">
            <v>Himachal Pradesh</v>
          </cell>
          <cell r="E309" t="str">
            <v>Simla</v>
          </cell>
        </row>
        <row r="310">
          <cell r="A310" t="str">
            <v>B-26041</v>
          </cell>
          <cell r="B310">
            <v>43158</v>
          </cell>
          <cell r="C310" t="str">
            <v>Ritu</v>
          </cell>
          <cell r="D310" t="str">
            <v>Haryana</v>
          </cell>
          <cell r="E310" t="str">
            <v>Chandigarh</v>
          </cell>
        </row>
        <row r="311">
          <cell r="A311" t="str">
            <v>B-25695</v>
          </cell>
          <cell r="B311">
            <v>43269</v>
          </cell>
          <cell r="C311" t="str">
            <v>Suhani</v>
          </cell>
          <cell r="D311" t="str">
            <v>West Bengal</v>
          </cell>
          <cell r="E311" t="str">
            <v>Kolkata</v>
          </cell>
        </row>
        <row r="312">
          <cell r="A312" t="str">
            <v>B-25960</v>
          </cell>
          <cell r="B312">
            <v>43118</v>
          </cell>
          <cell r="C312" t="str">
            <v>Shreya</v>
          </cell>
          <cell r="D312" t="str">
            <v>Andhra Pradesh</v>
          </cell>
          <cell r="E312" t="str">
            <v>Hyderabad</v>
          </cell>
        </row>
        <row r="313">
          <cell r="A313" t="str">
            <v>B-26037</v>
          </cell>
          <cell r="B313">
            <v>43154</v>
          </cell>
          <cell r="C313" t="str">
            <v>Hitika</v>
          </cell>
          <cell r="D313" t="str">
            <v>Madhya Pradesh</v>
          </cell>
          <cell r="E313" t="str">
            <v>Indore</v>
          </cell>
        </row>
        <row r="314">
          <cell r="A314" t="str">
            <v>B-25921</v>
          </cell>
          <cell r="B314">
            <v>43459</v>
          </cell>
          <cell r="C314" t="str">
            <v>Sandra</v>
          </cell>
          <cell r="D314" t="str">
            <v>Punjab</v>
          </cell>
          <cell r="E314" t="str">
            <v>Amritsar</v>
          </cell>
        </row>
        <row r="315">
          <cell r="A315" t="str">
            <v>B-25944</v>
          </cell>
          <cell r="B315">
            <v>43110</v>
          </cell>
          <cell r="C315" t="str">
            <v>Syed</v>
          </cell>
          <cell r="D315" t="str">
            <v>Maharashtra</v>
          </cell>
          <cell r="E315" t="str">
            <v>Pune</v>
          </cell>
        </row>
        <row r="316">
          <cell r="A316" t="str">
            <v>B-25724</v>
          </cell>
          <cell r="B316">
            <v>43300</v>
          </cell>
          <cell r="C316" t="str">
            <v>Sheetal</v>
          </cell>
          <cell r="D316" t="str">
            <v>Madhya Pradesh</v>
          </cell>
          <cell r="E316" t="str">
            <v>Indore</v>
          </cell>
        </row>
        <row r="317">
          <cell r="A317" t="str">
            <v>B-26024</v>
          </cell>
          <cell r="B317">
            <v>43150</v>
          </cell>
          <cell r="C317" t="str">
            <v>Vandana</v>
          </cell>
          <cell r="D317" t="str">
            <v>Himachal Pradesh</v>
          </cell>
          <cell r="E317" t="str">
            <v>Simla</v>
          </cell>
        </row>
        <row r="318">
          <cell r="A318" t="str">
            <v>B-25694</v>
          </cell>
          <cell r="B318">
            <v>43269</v>
          </cell>
          <cell r="C318" t="str">
            <v>Subhasmita</v>
          </cell>
          <cell r="D318" t="str">
            <v>Rajasthan</v>
          </cell>
          <cell r="E318" t="str">
            <v>Jaipur</v>
          </cell>
        </row>
        <row r="319">
          <cell r="A319" t="str">
            <v>B-25665</v>
          </cell>
          <cell r="B319">
            <v>43241</v>
          </cell>
          <cell r="C319" t="str">
            <v>Chayanika</v>
          </cell>
          <cell r="D319" t="str">
            <v xml:space="preserve">Kerala </v>
          </cell>
          <cell r="E319" t="str">
            <v>Thiruvananthapuram</v>
          </cell>
        </row>
        <row r="320">
          <cell r="A320" t="str">
            <v>B-26004</v>
          </cell>
          <cell r="B320">
            <v>43139</v>
          </cell>
          <cell r="C320" t="str">
            <v>Nandita</v>
          </cell>
          <cell r="D320" t="str">
            <v>Rajasthan</v>
          </cell>
          <cell r="E320" t="str">
            <v>Jaipur</v>
          </cell>
        </row>
        <row r="321">
          <cell r="A321" t="str">
            <v>B-25611</v>
          </cell>
          <cell r="B321">
            <v>43201</v>
          </cell>
          <cell r="C321" t="str">
            <v>Anita</v>
          </cell>
          <cell r="D321" t="str">
            <v xml:space="preserve">Kerala </v>
          </cell>
          <cell r="E321" t="str">
            <v>Thiruvananthapuram</v>
          </cell>
        </row>
        <row r="322">
          <cell r="A322" t="str">
            <v>B-25901</v>
          </cell>
          <cell r="B322">
            <v>43444</v>
          </cell>
          <cell r="C322" t="str">
            <v>Suraj</v>
          </cell>
          <cell r="D322" t="str">
            <v>Gujarat</v>
          </cell>
          <cell r="E322" t="str">
            <v>Surat</v>
          </cell>
        </row>
        <row r="323">
          <cell r="A323" t="str">
            <v>B-25623</v>
          </cell>
          <cell r="B323">
            <v>43212</v>
          </cell>
          <cell r="C323" t="str">
            <v>Atharv</v>
          </cell>
          <cell r="D323" t="str">
            <v>West Bengal</v>
          </cell>
          <cell r="E323" t="str">
            <v>Kolkata</v>
          </cell>
        </row>
        <row r="324">
          <cell r="A324" t="str">
            <v>B-25713</v>
          </cell>
          <cell r="B324">
            <v>43289</v>
          </cell>
          <cell r="C324" t="str">
            <v>Raksha</v>
          </cell>
          <cell r="D324" t="str">
            <v>West Bengal</v>
          </cell>
          <cell r="E324" t="str">
            <v>Kolkata</v>
          </cell>
        </row>
        <row r="325">
          <cell r="A325" t="str">
            <v>B-26091</v>
          </cell>
          <cell r="B325">
            <v>43186</v>
          </cell>
          <cell r="C325" t="str">
            <v>Manju</v>
          </cell>
          <cell r="D325" t="str">
            <v>Andhra Pradesh</v>
          </cell>
          <cell r="E325" t="str">
            <v>Hyderabad</v>
          </cell>
        </row>
        <row r="326">
          <cell r="A326" t="str">
            <v>B-25604</v>
          </cell>
          <cell r="B326">
            <v>43193</v>
          </cell>
          <cell r="C326" t="str">
            <v>Divsha</v>
          </cell>
          <cell r="D326" t="str">
            <v>Rajasthan</v>
          </cell>
          <cell r="E326" t="str">
            <v>Jaipur</v>
          </cell>
        </row>
        <row r="327">
          <cell r="A327" t="str">
            <v>B-25827</v>
          </cell>
          <cell r="B327">
            <v>43396</v>
          </cell>
          <cell r="C327" t="str">
            <v>Sheetal</v>
          </cell>
          <cell r="D327" t="str">
            <v>Madhya Pradesh</v>
          </cell>
          <cell r="E327" t="str">
            <v>Indore</v>
          </cell>
        </row>
        <row r="328">
          <cell r="A328" t="str">
            <v>B-25835</v>
          </cell>
          <cell r="B328">
            <v>43402</v>
          </cell>
          <cell r="C328" t="str">
            <v>Moumita</v>
          </cell>
          <cell r="D328" t="str">
            <v>Gujarat</v>
          </cell>
          <cell r="E328" t="str">
            <v>Ahmedabad</v>
          </cell>
        </row>
        <row r="329">
          <cell r="A329" t="str">
            <v>B-26025</v>
          </cell>
          <cell r="B329">
            <v>43150</v>
          </cell>
          <cell r="C329" t="str">
            <v>Bhavna</v>
          </cell>
          <cell r="D329" t="str">
            <v>Sikkim</v>
          </cell>
          <cell r="E329" t="str">
            <v>Gangtok</v>
          </cell>
        </row>
        <row r="330">
          <cell r="A330" t="str">
            <v>B-25809</v>
          </cell>
          <cell r="B330">
            <v>43382</v>
          </cell>
          <cell r="C330" t="str">
            <v>Suman</v>
          </cell>
          <cell r="D330" t="str">
            <v xml:space="preserve">Kerala </v>
          </cell>
          <cell r="E330" t="str">
            <v>Thiruvananthapuram</v>
          </cell>
        </row>
        <row r="331">
          <cell r="A331" t="str">
            <v>B-25905</v>
          </cell>
          <cell r="B331">
            <v>43445</v>
          </cell>
          <cell r="C331" t="str">
            <v>Bhargav</v>
          </cell>
          <cell r="D331" t="str">
            <v>Delhi</v>
          </cell>
          <cell r="E331" t="str">
            <v>Delhi</v>
          </cell>
        </row>
        <row r="332">
          <cell r="A332" t="str">
            <v>B-25948</v>
          </cell>
          <cell r="B332">
            <v>43113</v>
          </cell>
          <cell r="C332" t="str">
            <v>Mukund</v>
          </cell>
          <cell r="D332" t="str">
            <v>Maharashtra</v>
          </cell>
          <cell r="E332" t="str">
            <v>Pune</v>
          </cell>
        </row>
        <row r="333">
          <cell r="A333" t="str">
            <v>B-26094</v>
          </cell>
          <cell r="B333">
            <v>43186</v>
          </cell>
          <cell r="C333" t="str">
            <v>Deepak</v>
          </cell>
          <cell r="D333" t="str">
            <v>Madhya Pradesh</v>
          </cell>
          <cell r="E333" t="str">
            <v>Bhopal</v>
          </cell>
        </row>
        <row r="334">
          <cell r="A334" t="str">
            <v>B-25949</v>
          </cell>
          <cell r="B334">
            <v>43113</v>
          </cell>
          <cell r="C334" t="str">
            <v>Shantanu</v>
          </cell>
          <cell r="D334" t="str">
            <v>Maharashtra</v>
          </cell>
          <cell r="E334" t="str">
            <v>Mumbai</v>
          </cell>
        </row>
        <row r="335">
          <cell r="A335" t="str">
            <v>B-26001</v>
          </cell>
          <cell r="B335">
            <v>43138</v>
          </cell>
          <cell r="C335" t="str">
            <v>Patil</v>
          </cell>
          <cell r="D335" t="str">
            <v>Delhi</v>
          </cell>
          <cell r="E335" t="str">
            <v>Delhi</v>
          </cell>
        </row>
        <row r="336">
          <cell r="A336" t="str">
            <v>B-25771</v>
          </cell>
          <cell r="B336">
            <v>43345</v>
          </cell>
          <cell r="C336" t="str">
            <v>Vaibhavi</v>
          </cell>
          <cell r="D336" t="str">
            <v>Uttar Pradesh</v>
          </cell>
          <cell r="E336" t="str">
            <v>Lucknow</v>
          </cell>
        </row>
        <row r="337">
          <cell r="A337" t="str">
            <v>B-25659</v>
          </cell>
          <cell r="B337">
            <v>43235</v>
          </cell>
          <cell r="C337" t="str">
            <v>Sanskriti</v>
          </cell>
          <cell r="D337" t="str">
            <v>West Bengal</v>
          </cell>
          <cell r="E337" t="str">
            <v>Kolkata</v>
          </cell>
        </row>
        <row r="338">
          <cell r="A338" t="str">
            <v>B-25924</v>
          </cell>
          <cell r="B338">
            <v>43462</v>
          </cell>
          <cell r="C338" t="str">
            <v>Prajakta</v>
          </cell>
          <cell r="D338" t="str">
            <v>Karnataka</v>
          </cell>
          <cell r="E338" t="str">
            <v>Bangalore</v>
          </cell>
        </row>
        <row r="339">
          <cell r="A339" t="str">
            <v>B-25883</v>
          </cell>
          <cell r="B339">
            <v>43431</v>
          </cell>
          <cell r="C339" t="str">
            <v>Saptadeep</v>
          </cell>
          <cell r="D339" t="str">
            <v>Gujarat</v>
          </cell>
          <cell r="E339" t="str">
            <v>Surat</v>
          </cell>
        </row>
        <row r="340">
          <cell r="A340" t="str">
            <v>B-25946</v>
          </cell>
          <cell r="B340">
            <v>43112</v>
          </cell>
          <cell r="C340" t="str">
            <v>Saurabh</v>
          </cell>
          <cell r="D340" t="str">
            <v>Andhra Pradesh</v>
          </cell>
          <cell r="E340" t="str">
            <v>Hyderabad</v>
          </cell>
        </row>
        <row r="341">
          <cell r="A341" t="str">
            <v>B-26065</v>
          </cell>
          <cell r="B341">
            <v>43175</v>
          </cell>
          <cell r="C341" t="str">
            <v>Nida</v>
          </cell>
          <cell r="D341" t="str">
            <v>Madhya Pradesh</v>
          </cell>
          <cell r="E341" t="str">
            <v>Indore</v>
          </cell>
        </row>
        <row r="342">
          <cell r="A342" t="str">
            <v>B-26083</v>
          </cell>
          <cell r="B342">
            <v>43183</v>
          </cell>
          <cell r="C342" t="str">
            <v>Yogesh</v>
          </cell>
          <cell r="D342" t="str">
            <v>Bihar</v>
          </cell>
          <cell r="E342" t="str">
            <v>Patna</v>
          </cell>
        </row>
        <row r="343">
          <cell r="A343" t="str">
            <v>B-25725</v>
          </cell>
          <cell r="B343">
            <v>43301</v>
          </cell>
          <cell r="C343" t="str">
            <v>Anisha</v>
          </cell>
          <cell r="D343" t="str">
            <v>Nagaland</v>
          </cell>
          <cell r="E343" t="str">
            <v>Kohima</v>
          </cell>
        </row>
        <row r="344">
          <cell r="A344" t="str">
            <v>B-25630</v>
          </cell>
          <cell r="B344">
            <v>43214</v>
          </cell>
          <cell r="C344" t="str">
            <v>Sahil</v>
          </cell>
          <cell r="D344" t="str">
            <v>Punjab</v>
          </cell>
          <cell r="E344" t="str">
            <v>Chandigarh</v>
          </cell>
        </row>
        <row r="345">
          <cell r="A345" t="str">
            <v>B-25673</v>
          </cell>
          <cell r="B345">
            <v>43248</v>
          </cell>
          <cell r="C345" t="str">
            <v>Arsheen</v>
          </cell>
          <cell r="D345" t="str">
            <v>Gujarat</v>
          </cell>
          <cell r="E345" t="str">
            <v>Ahmedabad</v>
          </cell>
        </row>
        <row r="346">
          <cell r="A346" t="str">
            <v>B-25692</v>
          </cell>
          <cell r="B346">
            <v>43268</v>
          </cell>
          <cell r="C346" t="str">
            <v>Rashmi</v>
          </cell>
          <cell r="D346" t="str">
            <v>Madhya Pradesh</v>
          </cell>
          <cell r="E346" t="str">
            <v>Indore</v>
          </cell>
        </row>
        <row r="347">
          <cell r="A347" t="str">
            <v>B-25992</v>
          </cell>
          <cell r="B347">
            <v>43134</v>
          </cell>
          <cell r="C347" t="str">
            <v>Gaurav</v>
          </cell>
          <cell r="D347" t="str">
            <v>Rajasthan</v>
          </cell>
          <cell r="E347" t="str">
            <v>Udaipur</v>
          </cell>
        </row>
        <row r="348">
          <cell r="A348" t="str">
            <v>B-25765</v>
          </cell>
          <cell r="B348">
            <v>43341</v>
          </cell>
          <cell r="C348" t="str">
            <v>Meghana</v>
          </cell>
          <cell r="D348" t="str">
            <v>Madhya Pradesh</v>
          </cell>
          <cell r="E348" t="str">
            <v>Bhopal</v>
          </cell>
        </row>
        <row r="349">
          <cell r="A349" t="str">
            <v>B-25892</v>
          </cell>
          <cell r="B349">
            <v>43438</v>
          </cell>
          <cell r="C349" t="str">
            <v>Aditi</v>
          </cell>
          <cell r="D349" t="str">
            <v>Rajasthan</v>
          </cell>
          <cell r="E349" t="str">
            <v>Udaipur</v>
          </cell>
        </row>
        <row r="350">
          <cell r="A350" t="str">
            <v>B-26089</v>
          </cell>
          <cell r="B350">
            <v>43185</v>
          </cell>
          <cell r="C350" t="str">
            <v>Kanak</v>
          </cell>
          <cell r="D350" t="str">
            <v>Goa</v>
          </cell>
          <cell r="E350" t="str">
            <v>Goa</v>
          </cell>
        </row>
        <row r="351">
          <cell r="A351" t="str">
            <v>B-25780</v>
          </cell>
          <cell r="B351">
            <v>43356</v>
          </cell>
          <cell r="C351" t="str">
            <v>Teena</v>
          </cell>
          <cell r="D351" t="str">
            <v>Andhra Pradesh</v>
          </cell>
          <cell r="E351" t="str">
            <v>Hyderabad</v>
          </cell>
        </row>
        <row r="352">
          <cell r="A352" t="str">
            <v>B-25684</v>
          </cell>
          <cell r="B352">
            <v>43260</v>
          </cell>
          <cell r="C352" t="str">
            <v>Samiksha</v>
          </cell>
          <cell r="D352" t="str">
            <v>Maharashtra</v>
          </cell>
          <cell r="E352" t="str">
            <v>Mumbai</v>
          </cell>
        </row>
        <row r="353">
          <cell r="A353" t="str">
            <v>B-25739</v>
          </cell>
          <cell r="B353">
            <v>43315</v>
          </cell>
          <cell r="C353" t="str">
            <v>Daksh</v>
          </cell>
          <cell r="D353" t="str">
            <v>Haryana</v>
          </cell>
          <cell r="E353" t="str">
            <v>Chandigarh</v>
          </cell>
        </row>
        <row r="354">
          <cell r="A354" t="str">
            <v>B-25731</v>
          </cell>
          <cell r="B354">
            <v>43307</v>
          </cell>
          <cell r="C354" t="str">
            <v>Akash</v>
          </cell>
          <cell r="D354" t="str">
            <v>West Bengal</v>
          </cell>
          <cell r="E354" t="str">
            <v>Kolkata</v>
          </cell>
        </row>
        <row r="355">
          <cell r="A355" t="str">
            <v>B-25648</v>
          </cell>
          <cell r="B355">
            <v>43224</v>
          </cell>
          <cell r="C355" t="str">
            <v>Aditya</v>
          </cell>
          <cell r="D355" t="str">
            <v>Punjab</v>
          </cell>
          <cell r="E355" t="str">
            <v>Chandigarh</v>
          </cell>
        </row>
        <row r="356">
          <cell r="A356" t="str">
            <v>B-26038</v>
          </cell>
          <cell r="B356">
            <v>43155</v>
          </cell>
          <cell r="C356" t="str">
            <v>Pooja</v>
          </cell>
          <cell r="D356" t="str">
            <v>Bihar</v>
          </cell>
          <cell r="E356" t="str">
            <v>Patna</v>
          </cell>
        </row>
        <row r="357">
          <cell r="A357" t="str">
            <v>B-25700</v>
          </cell>
          <cell r="B357">
            <v>43276</v>
          </cell>
          <cell r="C357" t="str">
            <v>Shubhi</v>
          </cell>
          <cell r="D357" t="str">
            <v>Maharashtra</v>
          </cell>
          <cell r="E357" t="str">
            <v>Mumbai</v>
          </cell>
        </row>
        <row r="358">
          <cell r="A358" t="str">
            <v>B-26015</v>
          </cell>
          <cell r="B358">
            <v>43145</v>
          </cell>
          <cell r="C358" t="str">
            <v>Kasheen</v>
          </cell>
          <cell r="D358" t="str">
            <v>West Bengal</v>
          </cell>
          <cell r="E358" t="str">
            <v>Kolkata</v>
          </cell>
        </row>
        <row r="359">
          <cell r="A359" t="str">
            <v>B-25704</v>
          </cell>
          <cell r="B359">
            <v>43280</v>
          </cell>
          <cell r="C359" t="str">
            <v>Riya</v>
          </cell>
          <cell r="D359" t="str">
            <v>Maharashtra</v>
          </cell>
          <cell r="E359" t="str">
            <v>Mumbai</v>
          </cell>
        </row>
        <row r="360">
          <cell r="A360" t="str">
            <v>B-25811</v>
          </cell>
          <cell r="B360">
            <v>43383</v>
          </cell>
          <cell r="C360" t="str">
            <v>Utsav</v>
          </cell>
          <cell r="D360" t="str">
            <v>Maharashtra</v>
          </cell>
          <cell r="E360" t="str">
            <v>Mumbai</v>
          </cell>
        </row>
        <row r="361">
          <cell r="A361" t="str">
            <v>B-25821</v>
          </cell>
          <cell r="B361">
            <v>43389</v>
          </cell>
          <cell r="C361" t="str">
            <v>Ajay</v>
          </cell>
          <cell r="D361" t="str">
            <v>West Bengal</v>
          </cell>
          <cell r="E361" t="str">
            <v>Kolkata</v>
          </cell>
        </row>
        <row r="362">
          <cell r="A362" t="str">
            <v>B-25874</v>
          </cell>
          <cell r="B362">
            <v>43428</v>
          </cell>
          <cell r="C362" t="str">
            <v>Megha</v>
          </cell>
          <cell r="D362" t="str">
            <v>Rajasthan</v>
          </cell>
          <cell r="E362" t="str">
            <v>Udaipur</v>
          </cell>
        </row>
        <row r="363">
          <cell r="A363" t="str">
            <v>B-25668</v>
          </cell>
          <cell r="B363">
            <v>43244</v>
          </cell>
          <cell r="C363" t="str">
            <v>Rhea</v>
          </cell>
          <cell r="D363" t="str">
            <v>Himachal Pradesh</v>
          </cell>
          <cell r="E363" t="str">
            <v>Simla</v>
          </cell>
        </row>
        <row r="364">
          <cell r="A364" t="str">
            <v>B-25800</v>
          </cell>
          <cell r="B364">
            <v>43374</v>
          </cell>
          <cell r="C364" t="str">
            <v>Ishit</v>
          </cell>
          <cell r="D364" t="str">
            <v>Maharashtra</v>
          </cell>
          <cell r="E364" t="str">
            <v>Pune</v>
          </cell>
        </row>
        <row r="365">
          <cell r="A365" t="str">
            <v>B-25928</v>
          </cell>
          <cell r="B365">
            <v>43101</v>
          </cell>
          <cell r="C365" t="str">
            <v>Smriti</v>
          </cell>
          <cell r="D365" t="str">
            <v>Bihar</v>
          </cell>
          <cell r="E365" t="str">
            <v>Patna</v>
          </cell>
        </row>
        <row r="366">
          <cell r="A366" t="str">
            <v>B-26021</v>
          </cell>
          <cell r="B366">
            <v>43148</v>
          </cell>
          <cell r="C366" t="str">
            <v>Anita</v>
          </cell>
          <cell r="D366" t="str">
            <v xml:space="preserve">Kerala </v>
          </cell>
          <cell r="E366" t="str">
            <v>Thiruvananthapuram</v>
          </cell>
        </row>
        <row r="367">
          <cell r="A367" t="str">
            <v>B-26064</v>
          </cell>
          <cell r="B367">
            <v>43175</v>
          </cell>
          <cell r="C367" t="str">
            <v>Ankita</v>
          </cell>
          <cell r="D367" t="str">
            <v>Maharashtra</v>
          </cell>
          <cell r="E367" t="str">
            <v>Mumbai</v>
          </cell>
        </row>
        <row r="368">
          <cell r="A368" t="str">
            <v>B-25882</v>
          </cell>
          <cell r="B368">
            <v>43430</v>
          </cell>
          <cell r="C368" t="str">
            <v>Masurkar</v>
          </cell>
          <cell r="D368" t="str">
            <v>Punjab</v>
          </cell>
          <cell r="E368" t="str">
            <v>Amritsar</v>
          </cell>
        </row>
        <row r="369">
          <cell r="A369" t="str">
            <v>B-25891</v>
          </cell>
          <cell r="B369">
            <v>43438</v>
          </cell>
          <cell r="C369" t="str">
            <v>Shivani</v>
          </cell>
          <cell r="D369" t="str">
            <v>Madhya Pradesh</v>
          </cell>
          <cell r="E369" t="str">
            <v>Indore</v>
          </cell>
        </row>
        <row r="370">
          <cell r="A370" t="str">
            <v>B-25820</v>
          </cell>
          <cell r="B370">
            <v>43389</v>
          </cell>
          <cell r="C370" t="str">
            <v>Dheeraj</v>
          </cell>
          <cell r="D370" t="str">
            <v>Rajasthan</v>
          </cell>
          <cell r="E370" t="str">
            <v>Jaipur</v>
          </cell>
        </row>
        <row r="371">
          <cell r="A371" t="str">
            <v>B-25889</v>
          </cell>
          <cell r="B371">
            <v>43437</v>
          </cell>
          <cell r="C371" t="str">
            <v>Abhishek</v>
          </cell>
          <cell r="D371" t="str">
            <v>Gujarat</v>
          </cell>
          <cell r="E371" t="str">
            <v>Surat</v>
          </cell>
        </row>
        <row r="372">
          <cell r="A372" t="str">
            <v>B-25871</v>
          </cell>
          <cell r="B372">
            <v>43425</v>
          </cell>
          <cell r="C372" t="str">
            <v>Gunjal</v>
          </cell>
          <cell r="D372" t="str">
            <v>Gujarat</v>
          </cell>
          <cell r="E372" t="str">
            <v>Surat</v>
          </cell>
        </row>
        <row r="373">
          <cell r="A373" t="str">
            <v>B-25637</v>
          </cell>
          <cell r="B373">
            <v>43216</v>
          </cell>
          <cell r="C373" t="str">
            <v>Ashmi</v>
          </cell>
          <cell r="D373" t="str">
            <v>Madhya Pradesh</v>
          </cell>
          <cell r="E373" t="str">
            <v>Indore</v>
          </cell>
        </row>
        <row r="374">
          <cell r="A374" t="str">
            <v>B-25616</v>
          </cell>
          <cell r="B374">
            <v>43205</v>
          </cell>
          <cell r="C374" t="str">
            <v>Kanak</v>
          </cell>
          <cell r="D374" t="str">
            <v>Goa</v>
          </cell>
          <cell r="E374" t="str">
            <v>Goa</v>
          </cell>
        </row>
        <row r="375">
          <cell r="A375" t="str">
            <v>B-25972</v>
          </cell>
          <cell r="B375">
            <v>43123</v>
          </cell>
          <cell r="C375" t="str">
            <v>Jesslyn</v>
          </cell>
          <cell r="D375" t="str">
            <v>Rajasthan</v>
          </cell>
          <cell r="E375" t="str">
            <v>Udaipur</v>
          </cell>
        </row>
        <row r="376">
          <cell r="A376" t="str">
            <v>B-25805</v>
          </cell>
          <cell r="B376">
            <v>43378</v>
          </cell>
          <cell r="C376" t="str">
            <v>Ankit</v>
          </cell>
          <cell r="D376" t="str">
            <v>Maharashtra</v>
          </cell>
          <cell r="E376" t="str">
            <v>Mumbai</v>
          </cell>
        </row>
        <row r="377">
          <cell r="A377" t="str">
            <v>B-25860</v>
          </cell>
          <cell r="B377">
            <v>43419</v>
          </cell>
          <cell r="C377" t="str">
            <v>Akshay</v>
          </cell>
          <cell r="D377" t="str">
            <v>Tamil Nadu</v>
          </cell>
          <cell r="E377" t="str">
            <v>Chennai</v>
          </cell>
        </row>
        <row r="378">
          <cell r="A378" t="str">
            <v>B-26080</v>
          </cell>
          <cell r="B378">
            <v>43181</v>
          </cell>
          <cell r="C378" t="str">
            <v>Sonakshi</v>
          </cell>
          <cell r="D378" t="str">
            <v>Jammu and Kashmir</v>
          </cell>
          <cell r="E378" t="str">
            <v>Kashmir</v>
          </cell>
        </row>
        <row r="379">
          <cell r="A379" t="str">
            <v>B-25807</v>
          </cell>
          <cell r="B379">
            <v>43380</v>
          </cell>
          <cell r="C379" t="str">
            <v>Vipul</v>
          </cell>
          <cell r="D379" t="str">
            <v>Uttar Pradesh</v>
          </cell>
          <cell r="E379" t="str">
            <v>Lucknow</v>
          </cell>
        </row>
        <row r="380">
          <cell r="A380" t="str">
            <v>B-25734</v>
          </cell>
          <cell r="B380">
            <v>43310</v>
          </cell>
          <cell r="C380" t="str">
            <v>Pranav</v>
          </cell>
          <cell r="D380" t="str">
            <v>Madhya Pradesh</v>
          </cell>
          <cell r="E380" t="str">
            <v>Indore</v>
          </cell>
        </row>
        <row r="381">
          <cell r="A381" t="str">
            <v>B-25880</v>
          </cell>
          <cell r="B381">
            <v>43428</v>
          </cell>
          <cell r="C381" t="str">
            <v>Apoorv</v>
          </cell>
          <cell r="D381" t="str">
            <v>Rajasthan</v>
          </cell>
          <cell r="E381" t="str">
            <v>Udaipur</v>
          </cell>
        </row>
        <row r="382">
          <cell r="A382" t="str">
            <v>B-25934</v>
          </cell>
          <cell r="B382">
            <v>43104</v>
          </cell>
          <cell r="C382" t="str">
            <v>Rahul</v>
          </cell>
          <cell r="D382" t="str">
            <v>Madhya Pradesh</v>
          </cell>
          <cell r="E382" t="str">
            <v>Indore</v>
          </cell>
        </row>
        <row r="383">
          <cell r="A383" t="str">
            <v>B-25913</v>
          </cell>
          <cell r="B383">
            <v>43451</v>
          </cell>
          <cell r="C383" t="str">
            <v>Geetanjali</v>
          </cell>
          <cell r="D383" t="str">
            <v>Delhi</v>
          </cell>
          <cell r="E383" t="str">
            <v>Delhi</v>
          </cell>
        </row>
        <row r="384">
          <cell r="A384" t="str">
            <v>B-25912</v>
          </cell>
          <cell r="B384">
            <v>43450</v>
          </cell>
          <cell r="C384" t="str">
            <v>Preksha</v>
          </cell>
          <cell r="D384" t="str">
            <v>Delhi</v>
          </cell>
          <cell r="E384" t="str">
            <v>Delhi</v>
          </cell>
        </row>
        <row r="385">
          <cell r="A385" t="str">
            <v>B-25824</v>
          </cell>
          <cell r="B385">
            <v>43393</v>
          </cell>
          <cell r="C385" t="str">
            <v>Shyam</v>
          </cell>
          <cell r="D385" t="str">
            <v>Madhya Pradesh</v>
          </cell>
          <cell r="E385" t="str">
            <v>Indore</v>
          </cell>
        </row>
        <row r="386">
          <cell r="A386" t="str">
            <v>B-25711</v>
          </cell>
          <cell r="B386">
            <v>43287</v>
          </cell>
          <cell r="C386" t="str">
            <v>Sakshi</v>
          </cell>
          <cell r="D386" t="str">
            <v>Madhya Pradesh</v>
          </cell>
          <cell r="E386" t="str">
            <v>Bhopal</v>
          </cell>
        </row>
        <row r="387">
          <cell r="A387" t="str">
            <v>B-25864</v>
          </cell>
          <cell r="B387">
            <v>43419</v>
          </cell>
          <cell r="C387" t="str">
            <v>Aromal</v>
          </cell>
          <cell r="D387" t="str">
            <v>Maharashtra</v>
          </cell>
          <cell r="E387" t="str">
            <v>Mumbai</v>
          </cell>
        </row>
        <row r="388">
          <cell r="A388" t="str">
            <v>B-25917</v>
          </cell>
          <cell r="B388">
            <v>43455</v>
          </cell>
          <cell r="C388" t="str">
            <v>Sanjay</v>
          </cell>
          <cell r="D388" t="str">
            <v>Maharashtra</v>
          </cell>
          <cell r="E388" t="str">
            <v>Mumbai</v>
          </cell>
        </row>
        <row r="389">
          <cell r="A389" t="str">
            <v>B-26049</v>
          </cell>
          <cell r="B389">
            <v>43164</v>
          </cell>
          <cell r="C389" t="str">
            <v>Lisha</v>
          </cell>
          <cell r="D389" t="str">
            <v>Madhya Pradesh</v>
          </cell>
          <cell r="E389" t="str">
            <v>Bhopal</v>
          </cell>
        </row>
        <row r="390">
          <cell r="A390" t="str">
            <v>B-25920</v>
          </cell>
          <cell r="B390">
            <v>43458</v>
          </cell>
          <cell r="C390" t="str">
            <v>Jayanti</v>
          </cell>
          <cell r="D390" t="str">
            <v>Uttar Pradesh</v>
          </cell>
          <cell r="E390" t="str">
            <v>Prayagraj</v>
          </cell>
        </row>
        <row r="391">
          <cell r="A391" t="str">
            <v>B-25699</v>
          </cell>
          <cell r="B391">
            <v>43275</v>
          </cell>
          <cell r="C391" t="str">
            <v>Kritika</v>
          </cell>
          <cell r="D391" t="str">
            <v>Uttar Pradesh</v>
          </cell>
          <cell r="E391" t="str">
            <v>Lucknow</v>
          </cell>
        </row>
        <row r="392">
          <cell r="A392" t="str">
            <v>B-25735</v>
          </cell>
          <cell r="B392">
            <v>43311</v>
          </cell>
          <cell r="C392" t="str">
            <v>Arindam</v>
          </cell>
          <cell r="D392" t="str">
            <v>Uttar Pradesh</v>
          </cell>
          <cell r="E392" t="str">
            <v>Lucknow</v>
          </cell>
        </row>
        <row r="393">
          <cell r="A393" t="str">
            <v>B-25701</v>
          </cell>
          <cell r="B393">
            <v>43277</v>
          </cell>
          <cell r="C393" t="str">
            <v>Maithilee</v>
          </cell>
          <cell r="D393" t="str">
            <v>Madhya Pradesh</v>
          </cell>
          <cell r="E393" t="str">
            <v>Indore</v>
          </cell>
        </row>
        <row r="394">
          <cell r="A394" t="str">
            <v>B-26092</v>
          </cell>
          <cell r="B394">
            <v>43186</v>
          </cell>
          <cell r="C394" t="str">
            <v>Ramesh</v>
          </cell>
          <cell r="D394" t="str">
            <v>Gujarat</v>
          </cell>
          <cell r="E394" t="str">
            <v>Ahmedabad</v>
          </cell>
        </row>
        <row r="395">
          <cell r="A395" t="str">
            <v>B-26082</v>
          </cell>
          <cell r="B395">
            <v>43182</v>
          </cell>
          <cell r="C395" t="str">
            <v>Jitesh</v>
          </cell>
          <cell r="D395" t="str">
            <v>Uttar Pradesh</v>
          </cell>
          <cell r="E395" t="str">
            <v>Lucknow</v>
          </cell>
        </row>
        <row r="396">
          <cell r="A396" t="str">
            <v>B-25818</v>
          </cell>
          <cell r="B396">
            <v>43387</v>
          </cell>
          <cell r="C396" t="str">
            <v>Sandeep</v>
          </cell>
          <cell r="D396" t="str">
            <v>Madhya Pradesh</v>
          </cell>
          <cell r="E396" t="str">
            <v>Indore</v>
          </cell>
        </row>
        <row r="397">
          <cell r="A397" t="str">
            <v>B-25846</v>
          </cell>
          <cell r="B397">
            <v>43407</v>
          </cell>
          <cell r="C397" t="str">
            <v>Soodesh</v>
          </cell>
          <cell r="D397" t="str">
            <v>Punjab</v>
          </cell>
          <cell r="E397" t="str">
            <v>Chandigarh</v>
          </cell>
        </row>
        <row r="398">
          <cell r="A398" t="str">
            <v>B-26011</v>
          </cell>
          <cell r="B398">
            <v>43143</v>
          </cell>
          <cell r="C398" t="str">
            <v>Bharat</v>
          </cell>
          <cell r="D398" t="str">
            <v>Gujarat</v>
          </cell>
          <cell r="E398" t="str">
            <v>Ahmedabad</v>
          </cell>
        </row>
        <row r="399">
          <cell r="A399" t="str">
            <v>B-25631</v>
          </cell>
          <cell r="B399">
            <v>43214</v>
          </cell>
          <cell r="C399" t="str">
            <v>Ritu</v>
          </cell>
          <cell r="D399" t="str">
            <v>Haryana</v>
          </cell>
          <cell r="E399" t="str">
            <v>Chandigarh</v>
          </cell>
        </row>
        <row r="400">
          <cell r="A400" t="str">
            <v>B-25606</v>
          </cell>
          <cell r="B400">
            <v>43196</v>
          </cell>
          <cell r="C400" t="str">
            <v>Hazel</v>
          </cell>
          <cell r="D400" t="str">
            <v>Karnataka</v>
          </cell>
          <cell r="E400" t="str">
            <v>Bangalore</v>
          </cell>
        </row>
        <row r="401">
          <cell r="A401" t="str">
            <v>B-25746</v>
          </cell>
          <cell r="B401">
            <v>43322</v>
          </cell>
          <cell r="C401" t="str">
            <v>Shivam</v>
          </cell>
          <cell r="D401" t="str">
            <v>Maharashtra</v>
          </cell>
          <cell r="E401" t="str">
            <v>Pune</v>
          </cell>
        </row>
        <row r="402">
          <cell r="A402" t="str">
            <v>B-26005</v>
          </cell>
          <cell r="B402">
            <v>43139</v>
          </cell>
          <cell r="C402" t="str">
            <v>Parnavi</v>
          </cell>
          <cell r="D402" t="str">
            <v>West Bengal</v>
          </cell>
          <cell r="E402" t="str">
            <v>Kolkata</v>
          </cell>
        </row>
        <row r="403">
          <cell r="A403" t="str">
            <v>B-25844</v>
          </cell>
          <cell r="B403">
            <v>43407</v>
          </cell>
          <cell r="C403" t="str">
            <v>Swati</v>
          </cell>
          <cell r="D403" t="str">
            <v>Madhya Pradesh</v>
          </cell>
          <cell r="E403" t="str">
            <v>Indore</v>
          </cell>
        </row>
        <row r="404">
          <cell r="A404" t="str">
            <v>B-25869</v>
          </cell>
          <cell r="B404">
            <v>43423</v>
          </cell>
          <cell r="C404" t="str">
            <v>Parakh</v>
          </cell>
          <cell r="D404" t="str">
            <v>Nagaland</v>
          </cell>
          <cell r="E404" t="str">
            <v>Kohima</v>
          </cell>
        </row>
        <row r="405">
          <cell r="A405" t="str">
            <v>B-26066</v>
          </cell>
          <cell r="B405">
            <v>43175</v>
          </cell>
          <cell r="C405" t="str">
            <v>Priyanka</v>
          </cell>
          <cell r="D405" t="str">
            <v>Maharashtra</v>
          </cell>
          <cell r="E405" t="str">
            <v>Pune</v>
          </cell>
        </row>
        <row r="406">
          <cell r="A406" t="str">
            <v>B-25865</v>
          </cell>
          <cell r="B406">
            <v>43419</v>
          </cell>
          <cell r="C406" t="str">
            <v>Arun</v>
          </cell>
          <cell r="D406" t="str">
            <v>Madhya Pradesh</v>
          </cell>
          <cell r="E406" t="str">
            <v>Indore</v>
          </cell>
        </row>
        <row r="407">
          <cell r="A407" t="str">
            <v>B-26039</v>
          </cell>
          <cell r="B407">
            <v>43156</v>
          </cell>
          <cell r="C407" t="str">
            <v>Hemant</v>
          </cell>
          <cell r="D407" t="str">
            <v xml:space="preserve">Kerala </v>
          </cell>
          <cell r="E407" t="str">
            <v>Thiruvananthapuram</v>
          </cell>
        </row>
        <row r="408">
          <cell r="A408" t="str">
            <v>B-25916</v>
          </cell>
          <cell r="B408">
            <v>43454</v>
          </cell>
          <cell r="C408" t="str">
            <v>Utkarsh</v>
          </cell>
          <cell r="D408" t="str">
            <v>Gujarat</v>
          </cell>
          <cell r="E408" t="str">
            <v>Surat</v>
          </cell>
        </row>
        <row r="409">
          <cell r="A409" t="str">
            <v>B-26090</v>
          </cell>
          <cell r="B409">
            <v>43186</v>
          </cell>
          <cell r="C409" t="str">
            <v>Sagar</v>
          </cell>
          <cell r="D409" t="str">
            <v>Nagaland</v>
          </cell>
          <cell r="E409" t="str">
            <v>Kohima</v>
          </cell>
        </row>
        <row r="410">
          <cell r="A410" t="str">
            <v>B-25988</v>
          </cell>
          <cell r="B410">
            <v>43131</v>
          </cell>
          <cell r="C410" t="str">
            <v>Nirja</v>
          </cell>
          <cell r="D410" t="str">
            <v>Delhi</v>
          </cell>
          <cell r="E410" t="str">
            <v>Delhi</v>
          </cell>
        </row>
        <row r="411">
          <cell r="A411" t="str">
            <v>B-25906</v>
          </cell>
          <cell r="B411">
            <v>43445</v>
          </cell>
          <cell r="C411" t="str">
            <v>Abhijit</v>
          </cell>
          <cell r="D411" t="str">
            <v>Delhi</v>
          </cell>
          <cell r="E411" t="str">
            <v>Delhi</v>
          </cell>
        </row>
        <row r="412">
          <cell r="A412" t="str">
            <v>B-26017</v>
          </cell>
          <cell r="B412">
            <v>43145</v>
          </cell>
          <cell r="C412" t="str">
            <v>Sonakshi</v>
          </cell>
          <cell r="D412" t="str">
            <v>Jammu and Kashmir</v>
          </cell>
          <cell r="E412" t="str">
            <v>Kashmir</v>
          </cell>
        </row>
        <row r="413">
          <cell r="A413" t="str">
            <v>B-25644</v>
          </cell>
          <cell r="B413">
            <v>43220</v>
          </cell>
          <cell r="C413" t="str">
            <v>Mayank</v>
          </cell>
          <cell r="D413" t="str">
            <v>Maharashtra</v>
          </cell>
          <cell r="E413" t="str">
            <v>Mumbai</v>
          </cell>
        </row>
        <row r="414">
          <cell r="A414" t="str">
            <v>B-25679</v>
          </cell>
          <cell r="B414">
            <v>43255</v>
          </cell>
          <cell r="C414" t="str">
            <v>Avni</v>
          </cell>
          <cell r="D414" t="str">
            <v>Maharashtra</v>
          </cell>
          <cell r="E414" t="str">
            <v>Mumbai</v>
          </cell>
        </row>
        <row r="415">
          <cell r="A415" t="str">
            <v>B-25723</v>
          </cell>
          <cell r="B415">
            <v>43299</v>
          </cell>
          <cell r="C415" t="str">
            <v>Wale</v>
          </cell>
          <cell r="D415" t="str">
            <v>Maharashtra</v>
          </cell>
          <cell r="E415" t="str">
            <v>Mumbai</v>
          </cell>
        </row>
        <row r="416">
          <cell r="A416" t="str">
            <v>B-25605</v>
          </cell>
          <cell r="B416">
            <v>43195</v>
          </cell>
          <cell r="C416" t="str">
            <v>Kasheen</v>
          </cell>
          <cell r="D416" t="str">
            <v>West Bengal</v>
          </cell>
          <cell r="E416" t="str">
            <v>Kolkata</v>
          </cell>
        </row>
        <row r="417">
          <cell r="A417" t="str">
            <v>B-25792</v>
          </cell>
          <cell r="B417">
            <v>43367</v>
          </cell>
          <cell r="C417" t="str">
            <v>Abhishek</v>
          </cell>
          <cell r="D417" t="str">
            <v>Maharashtra</v>
          </cell>
          <cell r="E417" t="str">
            <v>Mumbai</v>
          </cell>
        </row>
        <row r="418">
          <cell r="A418" t="str">
            <v>B-25680</v>
          </cell>
          <cell r="B418">
            <v>43255</v>
          </cell>
          <cell r="C418" t="str">
            <v>Aayushi</v>
          </cell>
          <cell r="D418" t="str">
            <v>Madhya Pradesh</v>
          </cell>
          <cell r="E418" t="str">
            <v>Indore</v>
          </cell>
        </row>
        <row r="419">
          <cell r="A419" t="str">
            <v>B-25931</v>
          </cell>
          <cell r="B419">
            <v>43104</v>
          </cell>
          <cell r="C419" t="str">
            <v>Sidharth</v>
          </cell>
          <cell r="D419" t="str">
            <v>Maharashtra</v>
          </cell>
          <cell r="E419" t="str">
            <v>Mumbai</v>
          </cell>
        </row>
        <row r="420">
          <cell r="A420" t="str">
            <v>B-25932</v>
          </cell>
          <cell r="B420">
            <v>43104</v>
          </cell>
          <cell r="C420" t="str">
            <v>Bhutekar</v>
          </cell>
          <cell r="D420" t="str">
            <v>Madhya Pradesh</v>
          </cell>
          <cell r="E420" t="str">
            <v>Indore</v>
          </cell>
        </row>
        <row r="421">
          <cell r="A421" t="str">
            <v>B-25990</v>
          </cell>
          <cell r="B421">
            <v>43133</v>
          </cell>
          <cell r="C421" t="str">
            <v>Mugdha</v>
          </cell>
          <cell r="D421" t="str">
            <v>Delhi</v>
          </cell>
          <cell r="E421" t="str">
            <v>Delhi</v>
          </cell>
        </row>
        <row r="422">
          <cell r="A422" t="str">
            <v>B-25615</v>
          </cell>
          <cell r="B422">
            <v>43205</v>
          </cell>
          <cell r="C422" t="str">
            <v>Bhavna</v>
          </cell>
          <cell r="D422" t="str">
            <v>Sikkim</v>
          </cell>
          <cell r="E422" t="str">
            <v>Gangtok</v>
          </cell>
        </row>
        <row r="423">
          <cell r="A423" t="str">
            <v>B-26031</v>
          </cell>
          <cell r="B423">
            <v>43153</v>
          </cell>
          <cell r="C423" t="str">
            <v>Deepak</v>
          </cell>
          <cell r="D423" t="str">
            <v>Madhya Pradesh</v>
          </cell>
          <cell r="E423" t="str">
            <v>Bhopal</v>
          </cell>
        </row>
        <row r="424">
          <cell r="A424" t="str">
            <v>B-25801</v>
          </cell>
          <cell r="B424">
            <v>43374</v>
          </cell>
          <cell r="C424" t="str">
            <v>Aryan</v>
          </cell>
          <cell r="D424" t="str">
            <v>Madhya Pradesh</v>
          </cell>
          <cell r="E424" t="str">
            <v>Bhopal</v>
          </cell>
        </row>
        <row r="425">
          <cell r="A425" t="str">
            <v>B-25833</v>
          </cell>
          <cell r="B425">
            <v>43402</v>
          </cell>
          <cell r="C425" t="str">
            <v>Krishna</v>
          </cell>
          <cell r="D425" t="str">
            <v>Madhya Pradesh</v>
          </cell>
          <cell r="E425" t="str">
            <v>Indore</v>
          </cell>
        </row>
        <row r="426">
          <cell r="A426" t="str">
            <v>B-26077</v>
          </cell>
          <cell r="B426">
            <v>43181</v>
          </cell>
          <cell r="C426" t="str">
            <v>Divsha</v>
          </cell>
          <cell r="D426" t="str">
            <v>Rajasthan</v>
          </cell>
          <cell r="E426" t="str">
            <v>Jaipur</v>
          </cell>
        </row>
        <row r="427">
          <cell r="A427" t="str">
            <v>B-25936</v>
          </cell>
          <cell r="B427">
            <v>43105</v>
          </cell>
          <cell r="C427" t="str">
            <v>Nikhil</v>
          </cell>
          <cell r="D427" t="str">
            <v>Punjab</v>
          </cell>
          <cell r="E427" t="str">
            <v>Chandigarh</v>
          </cell>
        </row>
        <row r="428">
          <cell r="A428" t="str">
            <v>B-25938</v>
          </cell>
          <cell r="B428">
            <v>43105</v>
          </cell>
          <cell r="C428" t="str">
            <v>Shikhar</v>
          </cell>
          <cell r="D428" t="str">
            <v>Himachal Pradesh</v>
          </cell>
          <cell r="E428" t="str">
            <v>Simla</v>
          </cell>
        </row>
        <row r="429">
          <cell r="A429" t="str">
            <v>B-25716</v>
          </cell>
          <cell r="B429">
            <v>43292</v>
          </cell>
          <cell r="C429" t="str">
            <v>Surabhi</v>
          </cell>
          <cell r="D429" t="str">
            <v>Tamil Nadu</v>
          </cell>
          <cell r="E429" t="str">
            <v>Chennai</v>
          </cell>
        </row>
        <row r="430">
          <cell r="A430" t="str">
            <v>B-25740</v>
          </cell>
          <cell r="B430">
            <v>43315</v>
          </cell>
          <cell r="C430" t="str">
            <v>Rane</v>
          </cell>
          <cell r="D430" t="str">
            <v>Maharashtra</v>
          </cell>
          <cell r="E430" t="str">
            <v>Mumbai</v>
          </cell>
        </row>
        <row r="431">
          <cell r="A431" t="str">
            <v>B-25763</v>
          </cell>
          <cell r="B431">
            <v>43339</v>
          </cell>
          <cell r="C431" t="str">
            <v>Noshiba</v>
          </cell>
          <cell r="D431" t="str">
            <v>Gujarat</v>
          </cell>
          <cell r="E431" t="str">
            <v>Ahmedabad</v>
          </cell>
        </row>
        <row r="432">
          <cell r="A432" t="str">
            <v>B-25872</v>
          </cell>
          <cell r="B432">
            <v>43426</v>
          </cell>
          <cell r="C432" t="str">
            <v>Saurabh</v>
          </cell>
          <cell r="D432" t="str">
            <v>Maharashtra</v>
          </cell>
          <cell r="E432" t="str">
            <v>Mumbai</v>
          </cell>
        </row>
        <row r="433">
          <cell r="A433" t="str">
            <v>B-25879</v>
          </cell>
          <cell r="B433">
            <v>43428</v>
          </cell>
          <cell r="C433" t="str">
            <v>Siddharth</v>
          </cell>
          <cell r="D433" t="str">
            <v>Madhya Pradesh</v>
          </cell>
          <cell r="E433" t="str">
            <v>Indore</v>
          </cell>
        </row>
        <row r="434">
          <cell r="A434" t="str">
            <v>B-25926</v>
          </cell>
          <cell r="B434">
            <v>43464</v>
          </cell>
          <cell r="C434" t="str">
            <v>Dipali</v>
          </cell>
          <cell r="D434" t="str">
            <v>Madhya Pradesh</v>
          </cell>
          <cell r="E434" t="str">
            <v>Indore</v>
          </cell>
        </row>
        <row r="435">
          <cell r="A435" t="str">
            <v>B-26074</v>
          </cell>
          <cell r="B435">
            <v>43180</v>
          </cell>
          <cell r="C435" t="str">
            <v>Bharat</v>
          </cell>
          <cell r="D435" t="str">
            <v>Gujarat</v>
          </cell>
          <cell r="E435" t="str">
            <v>Ahmedabad</v>
          </cell>
        </row>
        <row r="436">
          <cell r="A436" t="str">
            <v>B-25627</v>
          </cell>
          <cell r="B436">
            <v>43213</v>
          </cell>
          <cell r="C436" t="str">
            <v>Hitika</v>
          </cell>
          <cell r="D436" t="str">
            <v>Madhya Pradesh</v>
          </cell>
          <cell r="E436" t="str">
            <v>Indore</v>
          </cell>
        </row>
        <row r="437">
          <cell r="A437" t="str">
            <v>B-25940</v>
          </cell>
          <cell r="B437">
            <v>43106</v>
          </cell>
          <cell r="C437" t="str">
            <v>Vivek</v>
          </cell>
          <cell r="D437" t="str">
            <v>Goa</v>
          </cell>
          <cell r="E437" t="str">
            <v>Goa</v>
          </cell>
        </row>
        <row r="438">
          <cell r="A438" t="str">
            <v>B-26047</v>
          </cell>
          <cell r="B438">
            <v>43163</v>
          </cell>
          <cell r="C438" t="str">
            <v>Ashmi</v>
          </cell>
          <cell r="D438" t="str">
            <v>Madhya Pradesh</v>
          </cell>
          <cell r="E438" t="str">
            <v>Indore</v>
          </cell>
        </row>
        <row r="439">
          <cell r="A439" t="str">
            <v>B-26069</v>
          </cell>
          <cell r="B439">
            <v>43176</v>
          </cell>
          <cell r="C439" t="str">
            <v>Sanskriti</v>
          </cell>
          <cell r="D439" t="str">
            <v>West Bengal</v>
          </cell>
          <cell r="E439" t="str">
            <v>Kolkata</v>
          </cell>
        </row>
        <row r="440">
          <cell r="A440" t="str">
            <v>B-26027</v>
          </cell>
          <cell r="B440">
            <v>43151</v>
          </cell>
          <cell r="C440" t="str">
            <v>Sagar</v>
          </cell>
          <cell r="D440" t="str">
            <v>Nagaland</v>
          </cell>
          <cell r="E440" t="str">
            <v>Kohima</v>
          </cell>
        </row>
        <row r="441">
          <cell r="A441" t="str">
            <v>B-25963</v>
          </cell>
          <cell r="B441">
            <v>43119</v>
          </cell>
          <cell r="C441" t="str">
            <v>Pratiksha</v>
          </cell>
          <cell r="D441" t="str">
            <v>Maharashtra</v>
          </cell>
          <cell r="E441" t="str">
            <v>Mumbai</v>
          </cell>
        </row>
        <row r="442">
          <cell r="A442" t="str">
            <v>B-25922</v>
          </cell>
          <cell r="B442">
            <v>43460</v>
          </cell>
          <cell r="C442" t="str">
            <v>Akshata</v>
          </cell>
          <cell r="D442" t="str">
            <v>Gujarat</v>
          </cell>
          <cell r="E442" t="str">
            <v>Surat</v>
          </cell>
        </row>
        <row r="443">
          <cell r="A443" t="str">
            <v>B-25866</v>
          </cell>
          <cell r="B443">
            <v>43420</v>
          </cell>
          <cell r="C443" t="str">
            <v>Komal</v>
          </cell>
          <cell r="D443" t="str">
            <v>Himachal Pradesh</v>
          </cell>
          <cell r="E443" t="str">
            <v>Simla</v>
          </cell>
        </row>
        <row r="444">
          <cell r="A444" t="str">
            <v>B-25607</v>
          </cell>
          <cell r="B444">
            <v>43196</v>
          </cell>
          <cell r="C444" t="str">
            <v>Sonakshi</v>
          </cell>
          <cell r="D444" t="str">
            <v>Jammu and Kashmir</v>
          </cell>
          <cell r="E444" t="str">
            <v>Kashmir</v>
          </cell>
        </row>
        <row r="445">
          <cell r="A445" t="str">
            <v>B-25775</v>
          </cell>
          <cell r="B445">
            <v>43351</v>
          </cell>
          <cell r="C445" t="str">
            <v>Duhita</v>
          </cell>
          <cell r="D445" t="str">
            <v>Haryana</v>
          </cell>
          <cell r="E445" t="str">
            <v>Chandigarh</v>
          </cell>
        </row>
        <row r="446">
          <cell r="A446" t="str">
            <v>B-25998</v>
          </cell>
          <cell r="B446">
            <v>43135</v>
          </cell>
          <cell r="C446" t="str">
            <v>Anmol</v>
          </cell>
          <cell r="D446" t="str">
            <v>Rajasthan</v>
          </cell>
          <cell r="E446" t="str">
            <v>Udaipur</v>
          </cell>
        </row>
        <row r="447">
          <cell r="A447" t="str">
            <v>B-26062</v>
          </cell>
          <cell r="B447">
            <v>43174</v>
          </cell>
          <cell r="C447" t="str">
            <v>Tushina</v>
          </cell>
          <cell r="D447" t="str">
            <v>Goa</v>
          </cell>
          <cell r="E447" t="str">
            <v>Goa</v>
          </cell>
        </row>
        <row r="448">
          <cell r="A448" t="str">
            <v>B-25722</v>
          </cell>
          <cell r="B448">
            <v>43298</v>
          </cell>
          <cell r="C448" t="str">
            <v>Inderpreet</v>
          </cell>
          <cell r="D448" t="str">
            <v>Himachal Pradesh</v>
          </cell>
          <cell r="E448" t="str">
            <v>Simla</v>
          </cell>
        </row>
        <row r="449">
          <cell r="A449" t="str">
            <v>B-25776</v>
          </cell>
          <cell r="B449">
            <v>43352</v>
          </cell>
          <cell r="C449" t="str">
            <v>Mousam</v>
          </cell>
          <cell r="D449" t="str">
            <v>Maharashtra</v>
          </cell>
          <cell r="E449" t="str">
            <v>Mumbai</v>
          </cell>
        </row>
        <row r="450">
          <cell r="A450" t="str">
            <v>B-26032</v>
          </cell>
          <cell r="B450">
            <v>43153</v>
          </cell>
          <cell r="C450" t="str">
            <v>Monisha</v>
          </cell>
          <cell r="D450" t="str">
            <v>Rajasthan</v>
          </cell>
          <cell r="E450" t="str">
            <v>Jaipur</v>
          </cell>
        </row>
        <row r="451">
          <cell r="A451" t="str">
            <v>B-25705</v>
          </cell>
          <cell r="B451">
            <v>43281</v>
          </cell>
          <cell r="C451" t="str">
            <v>Shweta</v>
          </cell>
          <cell r="D451" t="str">
            <v>Madhya Pradesh</v>
          </cell>
          <cell r="E451" t="str">
            <v>Indore</v>
          </cell>
        </row>
        <row r="452">
          <cell r="A452" t="str">
            <v>B-25628</v>
          </cell>
          <cell r="B452">
            <v>43214</v>
          </cell>
          <cell r="C452" t="str">
            <v>Pooja</v>
          </cell>
          <cell r="D452" t="str">
            <v>Bihar</v>
          </cell>
          <cell r="E452" t="str">
            <v>Patna</v>
          </cell>
        </row>
        <row r="453">
          <cell r="A453" t="str">
            <v>B-25733</v>
          </cell>
          <cell r="B453">
            <v>43309</v>
          </cell>
          <cell r="C453" t="str">
            <v>Dhirajendu</v>
          </cell>
          <cell r="D453" t="str">
            <v>Maharashtra</v>
          </cell>
          <cell r="E453" t="str">
            <v>Mumbai</v>
          </cell>
        </row>
        <row r="454">
          <cell r="A454" t="str">
            <v>B-25647</v>
          </cell>
          <cell r="B454">
            <v>43223</v>
          </cell>
          <cell r="C454" t="str">
            <v>Sharda</v>
          </cell>
          <cell r="D454" t="str">
            <v xml:space="preserve">Kerala </v>
          </cell>
          <cell r="E454" t="str">
            <v>Thiruvananthapuram</v>
          </cell>
        </row>
        <row r="455">
          <cell r="A455" t="str">
            <v>B-25790</v>
          </cell>
          <cell r="B455">
            <v>43366</v>
          </cell>
          <cell r="C455" t="str">
            <v>Sajal</v>
          </cell>
          <cell r="D455" t="str">
            <v>Bihar</v>
          </cell>
          <cell r="E455" t="str">
            <v>Patna</v>
          </cell>
        </row>
        <row r="456">
          <cell r="A456" t="str">
            <v>B-25709</v>
          </cell>
          <cell r="B456">
            <v>43282</v>
          </cell>
          <cell r="C456" t="str">
            <v>Aakanksha</v>
          </cell>
          <cell r="D456" t="str">
            <v>Madhya Pradesh</v>
          </cell>
          <cell r="E456" t="str">
            <v>Indore</v>
          </cell>
        </row>
        <row r="457">
          <cell r="A457" t="str">
            <v>B-25911</v>
          </cell>
          <cell r="B457">
            <v>43449</v>
          </cell>
          <cell r="C457" t="str">
            <v>Phalguni</v>
          </cell>
          <cell r="D457" t="str">
            <v>Madhya Pradesh</v>
          </cell>
          <cell r="E457" t="str">
            <v>Bhopal</v>
          </cell>
        </row>
        <row r="458">
          <cell r="A458" t="str">
            <v>B-25774</v>
          </cell>
          <cell r="B458">
            <v>43350</v>
          </cell>
          <cell r="C458" t="str">
            <v>Snehal</v>
          </cell>
          <cell r="D458" t="str">
            <v>Punjab</v>
          </cell>
          <cell r="E458" t="str">
            <v>Chandigarh</v>
          </cell>
        </row>
        <row r="459">
          <cell r="A459" t="str">
            <v>B-26042</v>
          </cell>
          <cell r="B459">
            <v>43159</v>
          </cell>
          <cell r="C459" t="str">
            <v>Manish</v>
          </cell>
          <cell r="D459" t="str">
            <v>Himachal Pradesh</v>
          </cell>
          <cell r="E459" t="str">
            <v>Simla</v>
          </cell>
        </row>
        <row r="460">
          <cell r="A460" t="str">
            <v>B-25815</v>
          </cell>
          <cell r="B460">
            <v>43383</v>
          </cell>
          <cell r="C460" t="str">
            <v>Harsh</v>
          </cell>
          <cell r="D460" t="str">
            <v>Nagaland</v>
          </cell>
          <cell r="E460" t="str">
            <v>Kohima</v>
          </cell>
        </row>
        <row r="461">
          <cell r="A461" t="str">
            <v>B-25822</v>
          </cell>
          <cell r="B461">
            <v>43391</v>
          </cell>
          <cell r="C461" t="str">
            <v>Tejas</v>
          </cell>
          <cell r="D461" t="str">
            <v>Karnataka</v>
          </cell>
          <cell r="E461" t="str">
            <v>Bangalore</v>
          </cell>
        </row>
        <row r="462">
          <cell r="A462" t="str">
            <v>B-26075</v>
          </cell>
          <cell r="B462">
            <v>43180</v>
          </cell>
          <cell r="C462" t="str">
            <v>Pearl</v>
          </cell>
          <cell r="D462" t="str">
            <v>Maharashtra</v>
          </cell>
          <cell r="E462" t="str">
            <v>Pune</v>
          </cell>
        </row>
        <row r="463">
          <cell r="A463" t="str">
            <v>B-25783</v>
          </cell>
          <cell r="B463">
            <v>43358</v>
          </cell>
          <cell r="C463" t="str">
            <v>Shivangi</v>
          </cell>
          <cell r="D463" t="str">
            <v>Madhya Pradesh</v>
          </cell>
          <cell r="E463" t="str">
            <v>Indore</v>
          </cell>
        </row>
        <row r="464">
          <cell r="A464" t="str">
            <v>B-26046</v>
          </cell>
          <cell r="B464">
            <v>43163</v>
          </cell>
          <cell r="C464" t="str">
            <v>Nishi</v>
          </cell>
          <cell r="D464" t="str">
            <v>Maharashtra</v>
          </cell>
          <cell r="E464" t="str">
            <v>Mumbai</v>
          </cell>
        </row>
        <row r="465">
          <cell r="A465" t="str">
            <v>B-25690</v>
          </cell>
          <cell r="B465">
            <v>43266</v>
          </cell>
          <cell r="C465" t="str">
            <v>Gunjan</v>
          </cell>
          <cell r="D465" t="str">
            <v>Madhya Pradesh</v>
          </cell>
          <cell r="E465" t="str">
            <v>Indore</v>
          </cell>
        </row>
        <row r="466">
          <cell r="A466" t="str">
            <v>B-25706</v>
          </cell>
          <cell r="B466">
            <v>43282</v>
          </cell>
          <cell r="C466" t="str">
            <v>Swetlana</v>
          </cell>
          <cell r="D466" t="str">
            <v>Goa</v>
          </cell>
          <cell r="E466" t="str">
            <v>Goa</v>
          </cell>
        </row>
        <row r="467">
          <cell r="A467" t="str">
            <v>B-25736</v>
          </cell>
          <cell r="B467">
            <v>43312</v>
          </cell>
          <cell r="C467" t="str">
            <v>Akshat</v>
          </cell>
          <cell r="D467" t="str">
            <v>Maharashtra</v>
          </cell>
          <cell r="E467" t="str">
            <v>Mumbai</v>
          </cell>
        </row>
        <row r="468">
          <cell r="A468" t="str">
            <v>B-25720</v>
          </cell>
          <cell r="B468">
            <v>43296</v>
          </cell>
          <cell r="C468" t="str">
            <v>Namrata</v>
          </cell>
          <cell r="D468" t="str">
            <v>Punjab</v>
          </cell>
          <cell r="E468" t="str">
            <v>Chandigarh</v>
          </cell>
        </row>
        <row r="469">
          <cell r="A469" t="str">
            <v>B-25907</v>
          </cell>
          <cell r="B469">
            <v>43445</v>
          </cell>
          <cell r="C469" t="str">
            <v>Jaydeep</v>
          </cell>
          <cell r="D469" t="str">
            <v>Madhya Pradesh</v>
          </cell>
          <cell r="E469" t="str">
            <v>Bhopal</v>
          </cell>
        </row>
        <row r="470">
          <cell r="A470" t="str">
            <v>B-25719</v>
          </cell>
          <cell r="B470">
            <v>43293</v>
          </cell>
          <cell r="C470" t="str">
            <v>Rashmi</v>
          </cell>
          <cell r="D470" t="str">
            <v>Madhya Pradesh</v>
          </cell>
          <cell r="E470" t="str">
            <v>Indore</v>
          </cell>
        </row>
        <row r="471">
          <cell r="A471" t="str">
            <v>B-26013</v>
          </cell>
          <cell r="B471">
            <v>43144</v>
          </cell>
          <cell r="C471" t="str">
            <v>Jahan</v>
          </cell>
          <cell r="D471" t="str">
            <v>Madhya Pradesh</v>
          </cell>
          <cell r="E471" t="str">
            <v>Bhopal</v>
          </cell>
        </row>
        <row r="472">
          <cell r="A472" t="str">
            <v>B-26044</v>
          </cell>
          <cell r="B472">
            <v>43161</v>
          </cell>
          <cell r="C472" t="str">
            <v>Sanjay</v>
          </cell>
          <cell r="D472" t="str">
            <v>Goa</v>
          </cell>
          <cell r="E472" t="str">
            <v>Goa</v>
          </cell>
        </row>
        <row r="473">
          <cell r="A473" t="str">
            <v>B-25649</v>
          </cell>
          <cell r="B473">
            <v>43225</v>
          </cell>
          <cell r="C473" t="str">
            <v>Rachna</v>
          </cell>
          <cell r="D473" t="str">
            <v>Haryana</v>
          </cell>
          <cell r="E473" t="str">
            <v>Chandigarh</v>
          </cell>
        </row>
        <row r="474">
          <cell r="A474" t="str">
            <v>B-25658</v>
          </cell>
          <cell r="B474">
            <v>43234</v>
          </cell>
          <cell r="C474" t="str">
            <v>Shefali</v>
          </cell>
          <cell r="D474" t="str">
            <v>Rajasthan</v>
          </cell>
          <cell r="E474" t="str">
            <v>Jaipur</v>
          </cell>
        </row>
        <row r="475">
          <cell r="A475" t="str">
            <v>B-25672</v>
          </cell>
          <cell r="B475">
            <v>43248</v>
          </cell>
          <cell r="C475" t="str">
            <v>Akanksha</v>
          </cell>
          <cell r="D475" t="str">
            <v>Andhra Pradesh</v>
          </cell>
          <cell r="E475" t="str">
            <v>Hyderabad</v>
          </cell>
        </row>
        <row r="476">
          <cell r="A476" t="str">
            <v>B-25624</v>
          </cell>
          <cell r="B476">
            <v>43212</v>
          </cell>
          <cell r="C476" t="str">
            <v>Vini</v>
          </cell>
          <cell r="D476" t="str">
            <v>Karnataka</v>
          </cell>
          <cell r="E476" t="str">
            <v>Bangalore</v>
          </cell>
        </row>
        <row r="477">
          <cell r="A477" t="str">
            <v>B-25884</v>
          </cell>
          <cell r="B477">
            <v>43432</v>
          </cell>
          <cell r="C477" t="str">
            <v>Sumeet</v>
          </cell>
          <cell r="D477" t="str">
            <v>Maharashtra</v>
          </cell>
          <cell r="E477" t="str">
            <v>Mumbai</v>
          </cell>
        </row>
        <row r="478">
          <cell r="A478" t="str">
            <v>B-25641</v>
          </cell>
          <cell r="B478">
            <v>43217</v>
          </cell>
          <cell r="C478" t="str">
            <v>Parishi</v>
          </cell>
          <cell r="D478" t="str">
            <v>West Bengal</v>
          </cell>
          <cell r="E478" t="str">
            <v>Kolkata</v>
          </cell>
        </row>
        <row r="479">
          <cell r="A479" t="str">
            <v>B-25841</v>
          </cell>
          <cell r="B479">
            <v>43405</v>
          </cell>
          <cell r="C479" t="str">
            <v>Ashvini</v>
          </cell>
          <cell r="D479" t="str">
            <v>Maharashtra</v>
          </cell>
          <cell r="E479" t="str">
            <v>Mumbai</v>
          </cell>
        </row>
        <row r="480">
          <cell r="A480" t="str">
            <v>B-25980</v>
          </cell>
          <cell r="B480">
            <v>43127</v>
          </cell>
          <cell r="C480" t="str">
            <v>Shweta</v>
          </cell>
          <cell r="D480" t="str">
            <v>Rajasthan</v>
          </cell>
          <cell r="E480" t="str">
            <v>Udaipur</v>
          </cell>
        </row>
        <row r="481">
          <cell r="A481" t="str">
            <v>B-26012</v>
          </cell>
          <cell r="B481">
            <v>43144</v>
          </cell>
          <cell r="C481" t="str">
            <v>Pearl</v>
          </cell>
          <cell r="D481" t="str">
            <v>Maharashtra</v>
          </cell>
          <cell r="E481" t="str">
            <v>Pune</v>
          </cell>
        </row>
        <row r="482">
          <cell r="A482" t="str">
            <v>B-26029</v>
          </cell>
          <cell r="B482">
            <v>43151</v>
          </cell>
          <cell r="C482" t="str">
            <v>Ramesh</v>
          </cell>
          <cell r="D482" t="str">
            <v>Gujarat</v>
          </cell>
          <cell r="E482" t="str">
            <v>Ahmedabad</v>
          </cell>
        </row>
        <row r="483">
          <cell r="A483" t="str">
            <v>B-26071</v>
          </cell>
          <cell r="B483">
            <v>43178</v>
          </cell>
          <cell r="C483" t="str">
            <v>Subhashree</v>
          </cell>
          <cell r="D483" t="str">
            <v>Jammu and Kashmir</v>
          </cell>
          <cell r="E483" t="str">
            <v>Kashmir</v>
          </cell>
        </row>
        <row r="484">
          <cell r="A484" t="str">
            <v>B-25646</v>
          </cell>
          <cell r="B484">
            <v>43221</v>
          </cell>
          <cell r="C484" t="str">
            <v>Sonal</v>
          </cell>
          <cell r="D484" t="str">
            <v>Bihar</v>
          </cell>
          <cell r="E484" t="str">
            <v>Patna</v>
          </cell>
        </row>
        <row r="485">
          <cell r="A485" t="str">
            <v>B-25677</v>
          </cell>
          <cell r="B485">
            <v>43253</v>
          </cell>
          <cell r="C485" t="str">
            <v>Ekta</v>
          </cell>
          <cell r="D485" t="str">
            <v>West Bengal</v>
          </cell>
          <cell r="E485" t="str">
            <v>Kolkata</v>
          </cell>
        </row>
        <row r="486">
          <cell r="A486" t="str">
            <v>B-25759</v>
          </cell>
          <cell r="B486">
            <v>43335</v>
          </cell>
          <cell r="C486" t="str">
            <v>Soumya</v>
          </cell>
          <cell r="D486" t="str">
            <v>Sikkim</v>
          </cell>
          <cell r="E486" t="str">
            <v>Gangtok</v>
          </cell>
        </row>
        <row r="487">
          <cell r="A487" t="str">
            <v>B-26059</v>
          </cell>
          <cell r="B487">
            <v>43171</v>
          </cell>
          <cell r="C487" t="str">
            <v>Rachna</v>
          </cell>
          <cell r="D487" t="str">
            <v>Haryana</v>
          </cell>
          <cell r="E487" t="str">
            <v>Chandigarh</v>
          </cell>
        </row>
        <row r="488">
          <cell r="A488" t="str">
            <v>B-25632</v>
          </cell>
          <cell r="B488">
            <v>43215</v>
          </cell>
          <cell r="C488" t="str">
            <v>Manish</v>
          </cell>
          <cell r="D488" t="str">
            <v>Himachal Pradesh</v>
          </cell>
          <cell r="E488" t="str">
            <v>Simla</v>
          </cell>
        </row>
        <row r="489">
          <cell r="A489" t="str">
            <v>B-26079</v>
          </cell>
          <cell r="B489">
            <v>43181</v>
          </cell>
          <cell r="C489" t="str">
            <v>Hazel</v>
          </cell>
          <cell r="D489" t="str">
            <v>Karnataka</v>
          </cell>
          <cell r="E489" t="str">
            <v>Bangalore</v>
          </cell>
        </row>
        <row r="490">
          <cell r="A490" t="str">
            <v>B-25674</v>
          </cell>
          <cell r="B490">
            <v>43248</v>
          </cell>
          <cell r="C490" t="str">
            <v>Mahima</v>
          </cell>
          <cell r="D490" t="str">
            <v>Maharashtra</v>
          </cell>
          <cell r="E490" t="str">
            <v>Pune</v>
          </cell>
        </row>
        <row r="491">
          <cell r="A491" t="str">
            <v>B-25965</v>
          </cell>
          <cell r="B491">
            <v>43121</v>
          </cell>
          <cell r="C491" t="str">
            <v>Saloni</v>
          </cell>
          <cell r="D491" t="str">
            <v>West Bengal</v>
          </cell>
          <cell r="E491" t="str">
            <v>Kolkata</v>
          </cell>
        </row>
        <row r="492">
          <cell r="A492" t="str">
            <v>B-25732</v>
          </cell>
          <cell r="B492">
            <v>43308</v>
          </cell>
          <cell r="C492" t="str">
            <v>Anubhaw</v>
          </cell>
          <cell r="D492" t="str">
            <v>Karnataka</v>
          </cell>
          <cell r="E492" t="str">
            <v>Bangalore</v>
          </cell>
        </row>
        <row r="493">
          <cell r="A493" t="str">
            <v>B-25834</v>
          </cell>
          <cell r="B493">
            <v>43402</v>
          </cell>
          <cell r="C493" t="str">
            <v>Ananya</v>
          </cell>
          <cell r="D493" t="str">
            <v>Andhra Pradesh</v>
          </cell>
          <cell r="E493" t="str">
            <v>Hyderabad</v>
          </cell>
        </row>
        <row r="494">
          <cell r="A494" t="str">
            <v>B-25784</v>
          </cell>
          <cell r="B494">
            <v>43358</v>
          </cell>
          <cell r="C494" t="str">
            <v>Rohit</v>
          </cell>
          <cell r="D494" t="str">
            <v>Rajasthan</v>
          </cell>
          <cell r="E494" t="str">
            <v>Jaipur</v>
          </cell>
        </row>
        <row r="495">
          <cell r="A495" t="str">
            <v>B-25982</v>
          </cell>
          <cell r="B495">
            <v>43129</v>
          </cell>
          <cell r="C495" t="str">
            <v>Hemangi</v>
          </cell>
          <cell r="D495" t="str">
            <v>Delhi</v>
          </cell>
          <cell r="E495" t="str">
            <v>Delhi</v>
          </cell>
        </row>
        <row r="496">
          <cell r="A496" t="str">
            <v>B-25788</v>
          </cell>
          <cell r="B496">
            <v>43364</v>
          </cell>
          <cell r="C496" t="str">
            <v>Dinesh</v>
          </cell>
          <cell r="D496" t="str">
            <v>Tamil Nadu</v>
          </cell>
          <cell r="E496" t="str">
            <v>Chennai</v>
          </cell>
        </row>
        <row r="497">
          <cell r="A497" t="str">
            <v>B-25742</v>
          </cell>
          <cell r="B497">
            <v>43315</v>
          </cell>
          <cell r="C497" t="str">
            <v>Ashwin</v>
          </cell>
          <cell r="D497" t="str">
            <v>Goa</v>
          </cell>
          <cell r="E497" t="str">
            <v>Goa</v>
          </cell>
        </row>
        <row r="498">
          <cell r="A498" t="str">
            <v>B-26088</v>
          </cell>
          <cell r="B498">
            <v>43185</v>
          </cell>
          <cell r="C498" t="str">
            <v>Bhavna</v>
          </cell>
          <cell r="D498" t="str">
            <v>Sikkim</v>
          </cell>
          <cell r="E498" t="str">
            <v>Gangtok</v>
          </cell>
        </row>
        <row r="499">
          <cell r="A499" t="str">
            <v>B-25707</v>
          </cell>
          <cell r="B499">
            <v>43282</v>
          </cell>
          <cell r="C499" t="str">
            <v>Shivani</v>
          </cell>
          <cell r="D499" t="str">
            <v>Maharashtra</v>
          </cell>
          <cell r="E499" t="str">
            <v>Mumbai</v>
          </cell>
        </row>
        <row r="500">
          <cell r="A500" t="str">
            <v>B-25758</v>
          </cell>
          <cell r="B500">
            <v>43334</v>
          </cell>
          <cell r="C500" t="str">
            <v>Shubham</v>
          </cell>
          <cell r="D500" t="str">
            <v>Himachal Pradesh</v>
          </cell>
          <cell r="E500" t="str">
            <v>Simla</v>
          </cell>
        </row>
        <row r="501">
          <cell r="A501" t="str">
            <v>B-26095</v>
          </cell>
          <cell r="B501">
            <v>43187</v>
          </cell>
          <cell r="C501" t="str">
            <v>Monisha</v>
          </cell>
          <cell r="D501" t="str">
            <v>Rajasthan</v>
          </cell>
          <cell r="E501" t="str">
            <v>Jaipur</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q" refreshedDate="46119.119633333336" createdVersion="8" refreshedVersion="8" minRefreshableVersion="3" recordCount="1500" xr:uid="{340800A3-8754-43D5-B4E8-D6DDF1804AE9}">
  <cacheSource type="worksheet">
    <worksheetSource name="Table2"/>
  </cacheSource>
  <cacheFields count="13">
    <cacheField name="Order ID" numFmtId="0">
      <sharedItems count="500">
        <s v="B-25681"/>
        <s v="B-26055"/>
        <s v="B-25955"/>
        <s v="B-26093"/>
        <s v="B-25602"/>
        <s v="B-25881"/>
        <s v="B-25696"/>
        <s v="B-25687"/>
        <s v="B-25643"/>
        <s v="B-25851"/>
        <s v="B-25703"/>
        <s v="B-25887"/>
        <s v="B-25923"/>
        <s v="B-25756"/>
        <s v="B-25761"/>
        <s v="B-25655"/>
        <s v="B-25786"/>
        <s v="B-26095"/>
        <s v="B-25853"/>
        <s v="B-25735"/>
        <s v="B-25910"/>
        <s v="B-25950"/>
        <s v="B-25744"/>
        <s v="B-25845"/>
        <s v="B-26001"/>
        <s v="B-25830"/>
        <s v="B-25842"/>
        <s v="B-25778"/>
        <s v="B-25686"/>
        <s v="B-25754"/>
        <s v="B-26048"/>
        <s v="B-25816"/>
        <s v="B-26022"/>
        <s v="B-25883"/>
        <s v="B-26003"/>
        <s v="B-26097"/>
        <s v="B-25710"/>
        <s v="B-25797"/>
        <s v="B-25618"/>
        <s v="B-25723"/>
        <s v="B-25755"/>
        <s v="B-25788"/>
        <s v="B-25991"/>
        <s v="B-25779"/>
        <s v="B-25909"/>
        <s v="B-25943"/>
        <s v="B-25935"/>
        <s v="B-25613"/>
        <s v="B-25729"/>
        <s v="B-25772"/>
        <s v="B-25640"/>
        <s v="B-25810"/>
        <s v="B-25801"/>
        <s v="B-26085"/>
        <s v="B-25868"/>
        <s v="B-25714"/>
        <s v="B-25784"/>
        <s v="B-25608"/>
        <s v="B-26051"/>
        <s v="B-25900"/>
        <s v="B-25760"/>
        <s v="B-25762"/>
        <s v="B-25995"/>
        <s v="B-25965"/>
        <s v="B-25967"/>
        <s v="B-25674"/>
        <s v="B-25929"/>
        <s v="B-25777"/>
        <s v="B-26006"/>
        <s v="B-25697"/>
        <s v="B-25667"/>
        <s v="B-25836"/>
        <s v="B-25984"/>
        <s v="B-25728"/>
        <s v="B-25757"/>
        <s v="B-25957"/>
        <s v="B-26061"/>
        <s v="B-25616"/>
        <s v="B-25666"/>
        <s v="B-25675"/>
        <s v="B-26079"/>
        <s v="B-25850"/>
        <s v="B-25693"/>
        <s v="B-25852"/>
        <s v="B-25860"/>
        <s v="B-25898"/>
        <s v="B-26100"/>
        <s v="B-25653"/>
        <s v="B-25839"/>
        <s v="B-25651"/>
        <s v="B-25704"/>
        <s v="B-25730"/>
        <s v="B-26052"/>
        <s v="B-25656"/>
        <s v="B-26033"/>
        <s v="B-25945"/>
        <s v="B-26086"/>
        <s v="B-25752"/>
        <s v="B-26098"/>
        <s v="B-26067"/>
        <s v="B-25986"/>
        <s v="B-25953"/>
        <s v="B-25952"/>
        <s v="B-25903"/>
        <s v="B-25650"/>
        <s v="B-25970"/>
        <s v="B-26062"/>
        <s v="B-25632"/>
        <s v="B-25821"/>
        <s v="B-25878"/>
        <s v="B-25750"/>
        <s v="B-25657"/>
        <s v="B-25787"/>
        <s v="B-25808"/>
        <s v="B-25885"/>
        <s v="B-25759"/>
        <s v="B-25747"/>
        <s v="B-25603"/>
        <s v="B-25691"/>
        <s v="B-25607"/>
        <s v="B-25708"/>
        <s v="B-26021"/>
        <s v="B-25831"/>
        <s v="B-25670"/>
        <s v="B-26029"/>
        <s v="B-25959"/>
        <s v="B-25676"/>
        <s v="B-25888"/>
        <s v="B-25911"/>
        <s v="B-25662"/>
        <s v="B-25847"/>
        <s v="B-25796"/>
        <s v="B-25993"/>
        <s v="B-25930"/>
        <s v="B-25785"/>
        <s v="B-26053"/>
        <s v="B-26019"/>
        <s v="B-26070"/>
        <s v="B-25870"/>
        <s v="B-25855"/>
        <s v="B-25803"/>
        <s v="B-25996"/>
        <s v="B-26078"/>
        <s v="B-25682"/>
        <s v="B-25749"/>
        <s v="B-25962"/>
        <s v="B-25899"/>
        <s v="B-25951"/>
        <s v="B-25828"/>
        <s v="B-25658"/>
        <s v="B-25698"/>
        <s v="B-25832"/>
        <s v="B-25886"/>
        <s v="B-25897"/>
        <s v="B-25873"/>
        <s v="B-25858"/>
        <s v="B-25867"/>
        <s v="B-25633"/>
        <s v="B-25609"/>
        <s v="B-25896"/>
        <s v="B-26000"/>
        <s v="B-25940"/>
        <s v="B-26087"/>
        <s v="B-25980"/>
        <s v="B-25877"/>
        <s v="B-25905"/>
        <s v="B-25818"/>
        <s v="B-25835"/>
        <s v="B-26081"/>
        <s v="B-25837"/>
        <s v="B-25893"/>
        <s v="B-25689"/>
        <s v="B-26028"/>
        <s v="B-25654"/>
        <s v="B-25720"/>
        <s v="B-26057"/>
        <s v="B-25798"/>
        <s v="B-25961"/>
        <s v="B-25701"/>
        <s v="B-26056"/>
        <s v="B-26016"/>
        <s v="B-25819"/>
        <s v="B-25848"/>
        <s v="B-25678"/>
        <s v="B-25925"/>
        <s v="B-25977"/>
        <s v="B-25648"/>
        <s v="B-25933"/>
        <s v="B-25942"/>
        <s v="B-25673"/>
        <s v="B-25791"/>
        <s v="B-25983"/>
        <s v="B-25743"/>
        <s v="B-25973"/>
        <s v="B-25895"/>
        <s v="B-25717"/>
        <s v="B-26064"/>
        <s v="B-25630"/>
        <s v="B-26050"/>
        <s v="B-26035"/>
        <s v="B-25966"/>
        <s v="B-26060"/>
        <s v="B-25854"/>
        <s v="B-25964"/>
        <s v="B-25628"/>
        <s v="B-25891"/>
        <s v="B-26089"/>
        <s v="B-25621"/>
        <s v="B-25727"/>
        <s v="B-25843"/>
        <s v="B-25741"/>
        <s v="B-26096"/>
        <s v="B-26007"/>
        <s v="B-26088"/>
        <s v="B-25664"/>
        <s v="B-25642"/>
        <s v="B-25987"/>
        <s v="B-25770"/>
        <s v="B-25840"/>
        <s v="B-25846"/>
        <s v="B-25745"/>
        <s v="B-26073"/>
        <s v="B-26030"/>
        <s v="B-25989"/>
        <s v="B-26009"/>
        <s v="B-25915"/>
        <s v="B-25645"/>
        <s v="B-25635"/>
        <s v="B-26038"/>
        <s v="B-26014"/>
        <s v="B-25751"/>
        <s v="B-26025"/>
        <s v="B-25981"/>
        <s v="B-25610"/>
        <s v="B-25733"/>
        <s v="B-25612"/>
        <s v="B-25700"/>
        <s v="B-25856"/>
        <s v="B-26026"/>
        <s v="B-25861"/>
        <s v="B-25799"/>
        <s v="B-26054"/>
        <s v="B-25660"/>
        <s v="B-26045"/>
        <s v="B-25781"/>
        <s v="B-25918"/>
        <s v="B-25971"/>
        <s v="B-25699"/>
        <s v="B-25776"/>
        <s v="B-25985"/>
        <s v="B-26063"/>
        <s v="B-26032"/>
        <s v="B-25767"/>
        <s v="B-26023"/>
        <s v="B-25809"/>
        <s v="B-25688"/>
        <s v="B-25753"/>
        <s v="B-25773"/>
        <s v="B-25661"/>
        <s v="B-25857"/>
        <s v="B-25999"/>
        <s v="B-25926"/>
        <s v="B-26076"/>
        <s v="B-25913"/>
        <s v="B-26020"/>
        <s v="B-26083"/>
        <s v="B-25625"/>
        <s v="B-26010"/>
        <s v="B-25979"/>
        <s v="B-26002"/>
        <s v="B-26084"/>
        <s v="B-25998"/>
        <s v="B-25872"/>
        <s v="B-25795"/>
        <s v="B-25902"/>
        <s v="B-25793"/>
        <s v="B-25652"/>
        <s v="B-26018"/>
        <s v="B-25823"/>
        <s v="B-25994"/>
        <s v="B-25863"/>
        <s v="B-25680"/>
        <s v="B-25737"/>
        <s v="B-25875"/>
        <s v="B-26031"/>
        <s v="B-25908"/>
        <s v="B-26041"/>
        <s v="B-25794"/>
        <s v="B-25615"/>
        <s v="B-25997"/>
        <s v="B-25990"/>
        <s v="B-26091"/>
        <s v="B-25604"/>
        <s v="B-25724"/>
        <s v="B-25748"/>
        <s v="B-26004"/>
        <s v="B-25954"/>
        <s v="B-26043"/>
        <s v="B-25838"/>
        <s v="B-26042"/>
        <s v="B-26008"/>
        <s v="B-25927"/>
        <s v="B-25948"/>
        <s v="B-26094"/>
        <s v="B-25623"/>
        <s v="B-25800"/>
        <s v="B-26039"/>
        <s v="B-25620"/>
        <s v="B-25721"/>
        <s v="B-25764"/>
        <s v="B-26066"/>
        <s v="B-25712"/>
        <s v="B-25738"/>
        <s v="B-25771"/>
        <s v="B-25601"/>
        <s v="B-25844"/>
        <s v="B-26065"/>
        <s v="B-25825"/>
        <s v="B-25765"/>
        <s v="B-25709"/>
        <s v="B-25684"/>
        <s v="B-25739"/>
        <s v="B-26082"/>
        <s v="B-25731"/>
        <s v="B-25719"/>
        <s v="B-25646"/>
        <s v="B-25874"/>
        <s v="B-25638"/>
        <s v="B-25882"/>
        <s v="B-26040"/>
        <s v="B-26037"/>
        <s v="B-25920"/>
        <s v="B-25960"/>
        <s v="B-25917"/>
        <s v="B-25972"/>
        <s v="B-25736"/>
        <s v="B-25742"/>
        <s v="B-25641"/>
        <s v="B-25958"/>
        <s v="B-25802"/>
        <s v="B-25834"/>
        <s v="B-25774"/>
        <s v="B-25904"/>
        <s v="B-25934"/>
        <s v="B-25912"/>
        <s v="B-25647"/>
        <s v="B-25901"/>
        <s v="B-25804"/>
        <s v="B-25734"/>
        <s v="B-25711"/>
        <s v="B-25864"/>
        <s v="B-25949"/>
        <s v="B-25805"/>
        <s v="B-25919"/>
        <s v="B-25889"/>
        <s v="B-25637"/>
        <s v="B-25783"/>
        <s v="B-25938"/>
        <s v="B-25820"/>
        <s v="B-25924"/>
        <s v="B-25814"/>
        <s v="B-25631"/>
        <s v="B-25956"/>
        <s v="B-25862"/>
        <s v="B-25606"/>
        <s v="B-25928"/>
        <s v="B-26005"/>
        <s v="B-25963"/>
        <s v="B-25683"/>
        <s v="B-25914"/>
        <s v="B-25869"/>
        <s v="B-25921"/>
        <s v="B-25849"/>
        <s v="B-25780"/>
        <s v="B-25892"/>
        <s v="B-25988"/>
        <s v="B-25939"/>
        <s v="B-25906"/>
        <s v="B-26017"/>
        <s v="B-25644"/>
        <s v="B-25679"/>
        <s v="B-25792"/>
        <s v="B-25946"/>
        <s v="B-25992"/>
        <s v="B-25659"/>
        <s v="B-25716"/>
        <s v="B-25725"/>
        <s v="B-25932"/>
        <s v="B-25789"/>
        <s v="B-25732"/>
        <s v="B-25871"/>
        <s v="B-25611"/>
        <s v="B-25833"/>
        <s v="B-25665"/>
        <s v="B-25694"/>
        <s v="B-25668"/>
        <s v="B-26024"/>
        <s v="B-25827"/>
        <s v="B-25713"/>
        <s v="B-25944"/>
        <s v="B-25695"/>
        <s v="B-25880"/>
        <s v="B-25941"/>
        <s v="B-25706"/>
        <s v="B-25969"/>
        <s v="B-25763"/>
        <s v="B-25740"/>
        <s v="B-25879"/>
        <s v="B-25614"/>
        <s v="B-26092"/>
        <s v="B-26011"/>
        <s v="B-26074"/>
        <s v="B-25976"/>
        <s v="B-25865"/>
        <s v="B-26049"/>
        <s v="B-26047"/>
        <s v="B-25766"/>
        <s v="B-25947"/>
        <s v="B-26069"/>
        <s v="B-25627"/>
        <s v="B-26027"/>
        <s v="B-26068"/>
        <s v="B-26080"/>
        <s v="B-26012"/>
        <s v="B-25824"/>
        <s v="B-25922"/>
        <s v="B-26099"/>
        <s v="B-25866"/>
        <s v="B-25775"/>
        <s v="B-25685"/>
        <s v="B-26090"/>
        <s v="B-26072"/>
        <s v="B-25916"/>
        <s v="B-25722"/>
        <s v="B-25746"/>
        <s v="B-25812"/>
        <s v="B-25605"/>
        <s v="B-25702"/>
        <s v="B-25626"/>
        <s v="B-25811"/>
        <s v="B-25876"/>
        <s v="B-25931"/>
        <s v="B-25663"/>
        <s v="B-25677"/>
        <s v="B-25617"/>
        <s v="B-26036"/>
        <s v="B-25978"/>
        <s v="B-26077"/>
        <s v="B-25790"/>
        <s v="B-25829"/>
        <s v="B-25705"/>
        <s v="B-25936"/>
        <s v="B-25782"/>
        <s v="B-25769"/>
        <s v="B-25718"/>
        <s v="B-25715"/>
        <s v="B-26075"/>
        <s v="B-25634"/>
        <s v="B-26015"/>
        <s v="B-25822"/>
        <s v="B-26034"/>
        <s v="B-25692"/>
        <s v="B-26046"/>
        <s v="B-25622"/>
        <s v="B-25690"/>
        <s v="B-25726"/>
        <s v="B-25907"/>
        <s v="B-26013"/>
        <s v="B-25975"/>
        <s v="B-25815"/>
        <s v="B-25619"/>
        <s v="B-26058"/>
        <s v="B-26044"/>
        <s v="B-25636"/>
        <s v="B-25649"/>
        <s v="B-25806"/>
        <s v="B-25826"/>
        <s v="B-25624"/>
        <s v="B-25974"/>
        <s v="B-25884"/>
        <s v="B-25672"/>
        <s v="B-25859"/>
        <s v="B-25817"/>
        <s v="B-25968"/>
        <s v="B-25671"/>
        <s v="B-26059"/>
        <s v="B-25669"/>
        <s v="B-25841"/>
        <s v="B-26071"/>
        <s v="B-25813"/>
        <s v="B-25890"/>
        <s v="B-25807"/>
        <s v="B-25937"/>
        <s v="B-25982"/>
        <s v="B-25639"/>
        <s v="B-25894"/>
        <s v="B-25768"/>
        <s v="B-25629"/>
        <s v="B-25758"/>
        <s v="B-25707"/>
      </sharedItems>
    </cacheField>
    <cacheField name="Amount" numFmtId="0">
      <sharedItems containsSemiMixedTypes="0" containsString="0" containsNumber="1" containsInteger="1" minValue="4" maxValue="5729"/>
    </cacheField>
    <cacheField name="Profit" numFmtId="0">
      <sharedItems containsSemiMixedTypes="0" containsString="0" containsNumber="1" containsInteger="1" minValue="-1981" maxValue="1864"/>
    </cacheField>
    <cacheField name="Quantity" numFmtId="0">
      <sharedItems containsSemiMixedTypes="0" containsString="0" containsNumber="1" containsInteger="1" minValue="1" maxValue="14" count="14">
        <n v="7"/>
        <n v="14"/>
        <n v="8"/>
        <n v="4"/>
        <n v="5"/>
        <n v="2"/>
        <n v="9"/>
        <n v="6"/>
        <n v="1"/>
        <n v="3"/>
        <n v="13"/>
        <n v="11"/>
        <n v="10"/>
        <n v="12"/>
      </sharedItems>
    </cacheField>
    <cacheField name="Category" numFmtId="0">
      <sharedItems count="3">
        <s v="Electronics"/>
        <s v="Furniture"/>
        <s v="Clothing"/>
      </sharedItems>
    </cacheField>
    <cacheField name="Sub-Category" numFmtId="0">
      <sharedItems count="17">
        <s v="Electronic Games"/>
        <s v="Chairs"/>
        <s v="Bookcases"/>
        <s v="Printers"/>
        <s v="Phones"/>
        <s v="Trousers"/>
        <s v="Saree"/>
        <s v="Hankerchief"/>
        <s v="Kurti"/>
        <s v="Skirt"/>
        <s v="Tables"/>
        <s v="Stole"/>
        <s v="Leggings"/>
        <s v="Accessories"/>
        <s v="T-shirt"/>
        <s v="Furnishings"/>
        <s v="Shirt"/>
      </sharedItems>
    </cacheField>
    <cacheField name="PaymentMode" numFmtId="0">
      <sharedItems count="5">
        <s v="COD"/>
        <s v="EMI"/>
        <s v="Credit Card"/>
        <s v="UPI"/>
        <s v="Debit Card"/>
      </sharedItems>
    </cacheField>
    <cacheField name="Order Date" numFmtId="14">
      <sharedItems containsSemiMixedTypes="0" containsNonDate="0" containsDate="1" containsString="0" minDate="2018-01-01T00:00:00" maxDate="2019-01-01T00:00:00" count="307">
        <d v="2018-06-04T00:00:00"/>
        <d v="2018-03-10T00:00:00"/>
        <d v="2018-01-16T00:00:00"/>
        <d v="2018-03-27T00:00:00"/>
        <d v="2018-04-01T00:00:00"/>
        <d v="2018-11-25T00:00:00"/>
        <d v="2018-06-21T00:00:00"/>
        <d v="2018-06-11T00:00:00"/>
        <d v="2018-04-29T00:00:00"/>
        <d v="2018-11-06T00:00:00"/>
        <d v="2018-06-28T00:00:00"/>
        <d v="2018-12-01T00:00:00"/>
        <d v="2018-12-27T00:00:00"/>
        <d v="2018-08-20T00:00:00"/>
        <d v="2018-08-25T00:00:00"/>
        <d v="2018-05-11T00:00:00"/>
        <d v="2018-09-19T00:00:00"/>
        <d v="2018-03-28T00:00:00"/>
        <d v="2018-11-08T00:00:00"/>
        <d v="2018-07-30T00:00:00"/>
        <d v="2018-12-14T00:00:00"/>
        <d v="2018-01-13T00:00:00"/>
        <d v="2018-08-08T00:00:00"/>
        <d v="2018-11-03T00:00:00"/>
        <d v="2018-02-07T00:00:00"/>
        <d v="2018-10-26T00:00:00"/>
        <d v="2018-11-02T00:00:00"/>
        <d v="2018-09-11T00:00:00"/>
        <d v="2018-08-18T00:00:00"/>
        <d v="2018-03-04T00:00:00"/>
        <d v="2018-10-12T00:00:00"/>
        <d v="2018-02-18T00:00:00"/>
        <d v="2018-11-27T00:00:00"/>
        <d v="2018-02-08T00:00:00"/>
        <d v="2018-07-05T00:00:00"/>
        <d v="2018-09-30T00:00:00"/>
        <d v="2018-04-18T00:00:00"/>
        <d v="2018-07-18T00:00:00"/>
        <d v="2018-08-19T00:00:00"/>
        <d v="2018-09-21T00:00:00"/>
        <d v="2018-02-03T00:00:00"/>
        <d v="2018-09-12T00:00:00"/>
        <d v="2018-12-13T00:00:00"/>
        <d v="2018-01-09T00:00:00"/>
        <d v="2018-01-04T00:00:00"/>
        <d v="2018-04-12T00:00:00"/>
        <d v="2018-07-22T00:00:00"/>
        <d v="2018-09-02T00:00:00"/>
        <d v="2018-04-27T00:00:00"/>
        <d v="2018-10-10T00:00:00"/>
        <d v="2018-10-01T00:00:00"/>
        <d v="2018-03-26T00:00:00"/>
        <d v="2018-11-18T00:00:00"/>
        <d v="2018-07-09T00:00:00"/>
        <d v="2018-09-15T00:00:00"/>
        <d v="2018-04-08T00:00:00"/>
        <d v="2018-03-07T00:00:00"/>
        <d v="2018-12-09T00:00:00"/>
        <d v="2018-08-24T00:00:00"/>
        <d v="2018-08-26T00:00:00"/>
        <d v="2018-02-04T00:00:00"/>
        <d v="2018-01-21T00:00:00"/>
        <d v="2018-05-28T00:00:00"/>
        <d v="2018-01-02T00:00:00"/>
        <d v="2018-09-10T00:00:00"/>
        <d v="2018-02-09T00:00:00"/>
        <d v="2018-06-22T00:00:00"/>
        <d v="2018-05-23T00:00:00"/>
        <d v="2018-10-29T00:00:00"/>
        <d v="2018-01-30T00:00:00"/>
        <d v="2018-08-21T00:00:00"/>
        <d v="2018-01-18T00:00:00"/>
        <d v="2018-03-14T00:00:00"/>
        <d v="2018-04-15T00:00:00"/>
        <d v="2018-05-22T00:00:00"/>
        <d v="2018-05-31T00:00:00"/>
        <d v="2018-03-22T00:00:00"/>
        <d v="2018-11-05T00:00:00"/>
        <d v="2018-06-18T00:00:00"/>
        <d v="2018-11-07T00:00:00"/>
        <d v="2018-11-15T00:00:00"/>
        <d v="2018-12-07T00:00:00"/>
        <d v="2018-03-31T00:00:00"/>
        <d v="2018-05-08T00:00:00"/>
        <d v="2018-10-30T00:00:00"/>
        <d v="2018-05-07T00:00:00"/>
        <d v="2018-06-29T00:00:00"/>
        <d v="2018-03-08T00:00:00"/>
        <d v="2018-02-22T00:00:00"/>
        <d v="2018-01-11T00:00:00"/>
        <d v="2018-08-14T00:00:00"/>
        <d v="2018-03-29T00:00:00"/>
        <d v="2018-03-16T00:00:00"/>
        <d v="2018-01-31T00:00:00"/>
        <d v="2018-01-14T00:00:00"/>
        <d v="2018-12-10T00:00:00"/>
        <d v="2018-05-06T00:00:00"/>
        <d v="2018-01-22T00:00:00"/>
        <d v="2018-03-15T00:00:00"/>
        <d v="2018-04-25T00:00:00"/>
        <d v="2018-10-16T00:00:00"/>
        <d v="2018-11-24T00:00:00"/>
        <d v="2018-05-13T00:00:00"/>
        <d v="2018-09-20T00:00:00"/>
        <d v="2018-10-08T00:00:00"/>
        <d v="2018-11-28T00:00:00"/>
        <d v="2018-08-23T00:00:00"/>
        <d v="2018-08-11T00:00:00"/>
        <d v="2018-04-03T00:00:00"/>
        <d v="2018-06-16T00:00:00"/>
        <d v="2018-04-06T00:00:00"/>
        <d v="2018-07-01T00:00:00"/>
        <d v="2018-02-17T00:00:00"/>
        <d v="2018-10-27T00:00:00"/>
        <d v="2018-05-25T00:00:00"/>
        <d v="2018-02-20T00:00:00"/>
        <d v="2018-06-01T00:00:00"/>
        <d v="2018-12-02T00:00:00"/>
        <d v="2018-12-15T00:00:00"/>
        <d v="2018-05-17T00:00:00"/>
        <d v="2018-09-24T00:00:00"/>
        <d v="2018-01-03T00:00:00"/>
        <d v="2018-03-09T00:00:00"/>
        <d v="2018-02-15T00:00:00"/>
        <d v="2018-03-18T00:00:00"/>
        <d v="2018-11-20T00:00:00"/>
        <d v="2018-10-05T00:00:00"/>
        <d v="2018-06-07T00:00:00"/>
        <d v="2018-08-13T00:00:00"/>
        <d v="2018-01-19T00:00:00"/>
        <d v="2018-12-08T00:00:00"/>
        <d v="2018-10-24T00:00:00"/>
        <d v="2018-05-14T00:00:00"/>
        <d v="2018-06-23T00:00:00"/>
        <d v="2018-10-28T00:00:00"/>
        <d v="2018-12-06T00:00:00"/>
        <d v="2018-11-23T00:00:00"/>
        <d v="2018-11-13T00:00:00"/>
        <d v="2018-11-17T00:00:00"/>
        <d v="2018-04-26T00:00:00"/>
        <d v="2018-04-09T00:00:00"/>
        <d v="2018-12-05T00:00:00"/>
        <d v="2018-02-06T00:00:00"/>
        <d v="2018-01-06T00:00:00"/>
        <d v="2018-01-27T00:00:00"/>
        <d v="2018-12-11T00:00:00"/>
        <d v="2018-10-14T00:00:00"/>
        <d v="2018-12-04T00:00:00"/>
        <d v="2018-06-14T00:00:00"/>
        <d v="2018-05-10T00:00:00"/>
        <d v="2018-07-15T00:00:00"/>
        <d v="2018-06-26T00:00:00"/>
        <d v="2018-02-14T00:00:00"/>
        <d v="2018-10-15T00:00:00"/>
        <d v="2018-06-03T00:00:00"/>
        <d v="2018-12-29T00:00:00"/>
        <d v="2018-05-04T00:00:00"/>
        <d v="2018-01-08T00:00:00"/>
        <d v="2018-08-07T00:00:00"/>
        <d v="2018-01-24T00:00:00"/>
        <d v="2018-07-12T00:00:00"/>
        <d v="2018-04-24T00:00:00"/>
        <d v="2018-03-06T00:00:00"/>
        <d v="2018-02-23T00:00:00"/>
        <d v="2018-03-13T00:00:00"/>
        <d v="2018-01-20T00:00:00"/>
        <d v="2018-04-20T00:00:00"/>
        <d v="2018-08-03T00:00:00"/>
        <d v="2018-05-20T00:00:00"/>
        <d v="2018-04-28T00:00:00"/>
        <d v="2018-10-31T00:00:00"/>
        <d v="2018-08-09T00:00:00"/>
        <d v="2018-03-21T00:00:00"/>
        <d v="2018-02-21T00:00:00"/>
        <d v="2018-02-01T00:00:00"/>
        <d v="2018-02-10T00:00:00"/>
        <d v="2018-12-19T00:00:00"/>
        <d v="2018-05-01T00:00:00"/>
        <d v="2018-02-24T00:00:00"/>
        <d v="2018-02-13T00:00:00"/>
        <d v="2018-02-19T00:00:00"/>
        <d v="2018-01-28T00:00:00"/>
        <d v="2018-07-28T00:00:00"/>
        <d v="2018-06-25T00:00:00"/>
        <d v="2018-11-10T00:00:00"/>
        <d v="2018-05-16T00:00:00"/>
        <d v="2018-03-03T00:00:00"/>
        <d v="2018-09-14T00:00:00"/>
        <d v="2018-12-22T00:00:00"/>
        <d v="2018-06-24T00:00:00"/>
        <d v="2018-09-09T00:00:00"/>
        <d v="2018-08-31T00:00:00"/>
        <d v="2018-10-09T00:00:00"/>
        <d v="2018-08-17T00:00:00"/>
        <d v="2018-09-06T00:00:00"/>
        <d v="2018-02-05T00:00:00"/>
        <d v="2018-12-30T00:00:00"/>
        <d v="2018-12-17T00:00:00"/>
        <d v="2018-02-16T00:00:00"/>
        <d v="2018-03-24T00:00:00"/>
        <d v="2018-04-23T00:00:00"/>
        <d v="2018-02-11T00:00:00"/>
        <d v="2018-03-25T00:00:00"/>
        <d v="2018-11-22T00:00:00"/>
        <d v="2018-10-18T00:00:00"/>
        <d v="2018-08-01T00:00:00"/>
        <d v="2018-12-12T00:00:00"/>
        <d v="2018-02-27T00:00:00"/>
        <d v="2018-02-02T00:00:00"/>
        <d v="2018-07-19T00:00:00"/>
        <d v="2018-08-12T00:00:00"/>
        <d v="2018-03-01T00:00:00"/>
        <d v="2018-02-28T00:00:00"/>
        <d v="2018-12-31T00:00:00"/>
        <d v="2018-04-22T00:00:00"/>
        <d v="2018-02-25T00:00:00"/>
        <d v="2018-07-16T00:00:00"/>
        <d v="2018-08-28T00:00:00"/>
        <d v="2018-07-07T00:00:00"/>
        <d v="2018-08-02T00:00:00"/>
        <d v="2018-10-21T00:00:00"/>
        <d v="2018-08-29T00:00:00"/>
        <d v="2018-06-09T00:00:00"/>
        <d v="2018-03-23T00:00:00"/>
        <d v="2018-07-26T00:00:00"/>
        <d v="2018-11-26T00:00:00"/>
        <d v="2018-02-26T00:00:00"/>
        <d v="2018-12-24T00:00:00"/>
        <d v="2018-12-21T00:00:00"/>
        <d v="2018-01-23T00:00:00"/>
        <d v="2018-07-31T00:00:00"/>
        <d v="2018-09-07T00:00:00"/>
        <d v="2018-12-16T00:00:00"/>
        <d v="2018-05-03T00:00:00"/>
        <d v="2018-07-29T00:00:00"/>
        <d v="2018-07-06T00:00:00"/>
        <d v="2018-12-23T00:00:00"/>
        <d v="2018-12-03T00:00:00"/>
        <d v="2018-01-05T00:00:00"/>
        <d v="2018-12-28T00:00:00"/>
        <d v="2018-01-17T00:00:00"/>
        <d v="2018-01-01T00:00:00"/>
        <d v="2018-06-08T00:00:00"/>
        <d v="2018-12-18T00:00:00"/>
        <d v="2018-11-19T00:00:00"/>
        <d v="2018-12-25T00:00:00"/>
        <d v="2018-11-04T00:00:00"/>
        <d v="2018-09-13T00:00:00"/>
        <d v="2018-04-30T00:00:00"/>
        <d v="2018-01-12T00:00:00"/>
        <d v="2018-05-15T00:00:00"/>
        <d v="2018-07-11T00:00:00"/>
        <d v="2018-07-20T00:00:00"/>
        <d v="2018-09-22T00:00:00"/>
        <d v="2018-07-27T00:00:00"/>
        <d v="2018-11-21T00:00:00"/>
        <d v="2018-04-11T00:00:00"/>
        <d v="2018-05-21T00:00:00"/>
        <d v="2018-05-24T00:00:00"/>
        <d v="2018-10-23T00:00:00"/>
        <d v="2018-07-08T00:00:00"/>
        <d v="2018-01-10T00:00:00"/>
        <d v="2018-01-07T00:00:00"/>
        <d v="2018-08-27T00:00:00"/>
        <d v="2018-04-13T00:00:00"/>
        <d v="2018-02-12T00:00:00"/>
        <d v="2018-01-25T00:00:00"/>
        <d v="2018-03-05T00:00:00"/>
        <d v="2018-08-30T00:00:00"/>
        <d v="2018-03-17T00:00:00"/>
        <d v="2018-10-20T00:00:00"/>
        <d v="2018-12-26T00:00:00"/>
        <d v="2018-03-30T00:00:00"/>
        <d v="2018-11-16T00:00:00"/>
        <d v="2018-09-08T00:00:00"/>
        <d v="2018-06-10T00:00:00"/>
        <d v="2018-03-20T00:00:00"/>
        <d v="2018-12-20T00:00:00"/>
        <d v="2018-07-17T00:00:00"/>
        <d v="2018-08-10T00:00:00"/>
        <d v="2018-04-05T00:00:00"/>
        <d v="2018-06-27T00:00:00"/>
        <d v="2018-05-19T00:00:00"/>
        <d v="2018-06-02T00:00:00"/>
        <d v="2018-04-17T00:00:00"/>
        <d v="2018-09-23T00:00:00"/>
        <d v="2018-10-25T00:00:00"/>
        <d v="2018-06-30T00:00:00"/>
        <d v="2018-07-10T00:00:00"/>
        <d v="2018-06-17T00:00:00"/>
        <d v="2018-06-15T00:00:00"/>
        <d v="2018-07-21T00:00:00"/>
        <d v="2018-03-11T00:00:00"/>
        <d v="2018-03-02T00:00:00"/>
        <d v="2018-05-05T00:00:00"/>
        <d v="2018-10-06T00:00:00"/>
        <d v="2018-10-22T00:00:00"/>
        <d v="2018-11-14T00:00:00"/>
        <d v="2018-10-13T00:00:00"/>
        <d v="2018-05-27T00:00:00"/>
        <d v="2018-03-12T00:00:00"/>
        <d v="2018-11-01T00:00:00"/>
        <d v="2018-03-19T00:00:00"/>
        <d v="2018-10-07T00:00:00"/>
        <d v="2018-01-29T00:00:00"/>
        <d v="2018-09-01T00:00:00"/>
        <d v="2018-08-22T00:00:00"/>
      </sharedItems>
      <fieldGroup par="12"/>
    </cacheField>
    <cacheField name="CustomerName" numFmtId="0">
      <sharedItems count="336">
        <s v="Bhawna"/>
        <s v="Harivansh"/>
        <s v="Shiva"/>
        <s v="Sarita"/>
        <s v="Vrinda"/>
        <s v="Lalita"/>
        <s v="Noopur"/>
        <s v="Sanjna"/>
        <s v="Kirti"/>
        <s v="Kushal"/>
        <s v="Ekta"/>
        <s v="Vishakha"/>
        <s v="Gopal"/>
        <s v="Mohan"/>
        <s v="Madhav"/>
        <s v="Nida"/>
        <s v="Madan Mohan"/>
        <s v="Monisha"/>
        <s v="Gaurav"/>
        <s v="Arindam"/>
        <s v="Jay"/>
        <s v="Shruti"/>
        <s v="Devendra"/>
        <s v="Snel"/>
        <s v="Patil"/>
        <s v="Aastha"/>
        <s v="Sheetal"/>
        <s v="Surabhi"/>
        <s v="Pooja"/>
        <s v="Akshay"/>
        <s v="Parth"/>
        <s v="Mane"/>
        <s v="Shrichand"/>
        <s v="Saptadeep"/>
        <s v="Hitesh"/>
        <s v="Vini"/>
        <s v="Megha"/>
        <s v="Sauptik"/>
        <s v="Manju"/>
        <s v="Wale"/>
        <s v="Shourya"/>
        <s v="Dinesh"/>
        <s v="Mansi"/>
        <s v="Savi"/>
        <s v="Sujay"/>
        <s v="Shardul"/>
        <s v="Sudhir"/>
        <s v="Madhulika"/>
        <s v="Sanjana"/>
        <s v="Paridhi"/>
        <s v="Nripraj"/>
        <s v="Aryan"/>
        <s v="Vikash"/>
        <s v="Stuti"/>
        <s v="Rohit"/>
        <s v="Aarushi"/>
        <s v="Parishi"/>
        <s v="Anand"/>
        <s v="Anudeep"/>
        <s v="Yohann"/>
        <s v="Saloni"/>
        <s v="Sudevi"/>
        <s v="Mahima"/>
        <s v="Girase"/>
        <s v="Aditi"/>
        <s v="Arpita"/>
        <s v="Vijay"/>
        <s v="Anjali"/>
        <s v="Arti"/>
        <s v="Kajal"/>
        <s v="Ameesha"/>
        <s v="Anurag"/>
        <s v="Kanak"/>
        <s v="Tanvi"/>
        <s v="Shreya"/>
        <s v="Hazel"/>
        <s v="Abhishek"/>
        <s v="Parna"/>
        <s v="Soumyabrata"/>
        <s v="Hitika"/>
        <s v="Farah"/>
        <s v="Pranjali"/>
        <s v="Riya"/>
        <s v="Rishabh"/>
        <s v="Ajay"/>
        <s v="Priyanka"/>
        <s v="Atharv"/>
        <s v="Mhatre"/>
        <s v="Mukesh"/>
        <s v="Vaibhav"/>
        <s v="Pinky"/>
        <s v="Tulika"/>
        <s v="Shweta"/>
        <s v="Krutika"/>
        <s v="Amlan"/>
        <s v="Chirag"/>
        <s v="Rhea"/>
        <s v="Tushina"/>
        <s v="Manish"/>
        <s v="Mrinal"/>
        <s v="Priyanshu"/>
        <s v="Asish"/>
        <s v="Apsingekar"/>
        <s v="Shatayu"/>
        <s v="Soumya"/>
        <s v="Harsh"/>
        <s v="Jahan"/>
        <s v="Akancha"/>
        <s v="Sonakshi"/>
        <s v="Kishwar"/>
        <s v="Anita"/>
        <s v="Charika"/>
        <s v="Ramesh"/>
        <s v="Muskan"/>
        <s v="Chandni"/>
        <s v="Rohan"/>
        <s v="Phalguni"/>
        <s v="Sweta"/>
        <s v="Aniket"/>
        <s v="Sukrith"/>
        <s v="Monica"/>
        <s v="Ayush"/>
        <s v="Jitesh"/>
        <s v="Pranav"/>
        <s v="Abhijeet"/>
        <s v="Shivanshu"/>
        <s v="Prashant"/>
        <s v="Kasheen"/>
        <s v="Tejeswini"/>
        <s v="Aishwarya"/>
        <s v="Jesal"/>
        <s v="Nikita"/>
        <s v="Shefali"/>
        <s v="Amisha"/>
        <s v="Harshita"/>
        <s v="Brijesh"/>
        <s v="Divyeta"/>
        <s v="Uudhav"/>
        <s v="Ankit"/>
        <s v="Amit"/>
        <s v="Aman"/>
        <s v="Shubham"/>
        <s v="Vivek"/>
        <s v="Vandana"/>
        <s v="Dashyam"/>
        <s v="Bhargav"/>
        <s v="Sandeep"/>
        <s v="Moumita"/>
        <s v="Palak"/>
        <s v="Bhaggyasree"/>
        <s v="Sabah"/>
        <s v="Namrata"/>
        <s v="Sharda"/>
        <s v="Shishu"/>
        <s v="Surbhi"/>
        <s v="Maithilee"/>
        <s v="Sonal"/>
        <s v="Ankur"/>
        <s v="Bathina"/>
        <s v="Aayushi"/>
        <s v="Aditya"/>
        <s v="Shikhar"/>
        <s v="Arsheen"/>
        <s v="Avish"/>
        <s v="Atul"/>
        <s v="Sathya"/>
        <s v="Manshul"/>
        <s v="Ankita"/>
        <s v="Sahil"/>
        <s v="Oshin"/>
        <s v="Shivani"/>
        <s v="Deepak"/>
        <s v="Turumella"/>
        <s v="Mrunal"/>
        <s v="Navdeep"/>
        <s v="Bhavna"/>
        <s v="Pratyusmita"/>
        <s v="Manjiri"/>
        <s v="Sakshi"/>
        <s v="Sneha"/>
        <s v="Soodesh"/>
        <s v="Kartik"/>
        <s v="Pournamasi"/>
        <s v="Komal"/>
        <s v="Sukruta"/>
        <s v="Yaanvi"/>
        <s v="Nidhi"/>
        <s v="Divsha"/>
        <s v="Nishant"/>
        <s v="Amruta"/>
        <s v="Yogesh"/>
        <s v="Dhirajendu"/>
        <s v="Shubhi"/>
        <s v="Aayush"/>
        <s v="Divyansh"/>
        <s v="Mayank"/>
        <s v="Rutuja"/>
        <s v="Karandeep"/>
        <s v="Mitali"/>
        <s v="Kritika"/>
        <s v="Mousam"/>
        <s v="Ginny"/>
        <s v="Ashmeet"/>
        <s v="Suman"/>
        <s v="Swetha"/>
        <s v="Shivam"/>
        <s v="Subhashree"/>
        <s v="Diwakar"/>
        <s v="Dipali"/>
        <s v="Geetanjali"/>
        <s v="Kartikay"/>
        <s v="Shivangi"/>
        <s v="Anmol"/>
        <s v="Saurabh"/>
        <s v="Sukant"/>
        <s v="Ishpreet"/>
        <s v="Siddharth"/>
        <s v="Omkar"/>
        <s v="Manibalan"/>
        <s v="Divyeshkumar"/>
        <s v="Pradeep"/>
        <s v="Ritu"/>
        <s v="Mugdha"/>
        <s v="Nitant"/>
        <s v="Nandita"/>
        <s v="Trupti"/>
        <s v="Kalyani"/>
        <s v="Mukund"/>
        <s v="Ishit"/>
        <s v="Hemant"/>
        <s v="Anchal"/>
        <s v="Sanjova"/>
        <s v="Adhvaita"/>
        <s v="Vaibhavi"/>
        <s v="Bharat"/>
        <s v="Swati"/>
        <s v="Meghana"/>
        <s v="Aakanksha"/>
        <s v="Samiksha"/>
        <s v="Daksh"/>
        <s v="Akash"/>
        <s v="Rashmi"/>
        <s v="Masurkar"/>
        <s v="Jayanti"/>
        <s v="Sanjay"/>
        <s v="Jesslyn"/>
        <s v="Akshat"/>
        <s v="Ashwin"/>
        <s v="Aparajita"/>
        <s v="Yash"/>
        <s v="Ananya"/>
        <s v="Snehal"/>
        <s v="Swapnil"/>
        <s v="Rahul"/>
        <s v="Preksha"/>
        <s v="Suraj"/>
        <s v="Sudheer"/>
        <s v="Aromal"/>
        <s v="Shantanu"/>
        <s v="Neha"/>
        <s v="Ashmi"/>
        <s v="Dheeraj"/>
        <s v="Prajakta"/>
        <s v="Amol"/>
        <s v="Smriti"/>
        <s v="Parnavi"/>
        <s v="Pratiksha"/>
        <s v="Parakh"/>
        <s v="Sandra"/>
        <s v="K"/>
        <s v="Teena"/>
        <s v="Nirja"/>
        <s v="Vineet"/>
        <s v="Abhijit"/>
        <s v="Avni"/>
        <s v="Sanskriti"/>
        <s v="Anisha"/>
        <s v="Bhutekar"/>
        <s v="Anubhaw"/>
        <s v="Gunjal"/>
        <s v="Krishna"/>
        <s v="Chayanika"/>
        <s v="Subhasmita"/>
        <s v="Raksha"/>
        <s v="Syed"/>
        <s v="Suhani"/>
        <s v="Apoorv"/>
        <s v="Jaideep"/>
        <s v="Swetlana"/>
        <s v="Shreyshi"/>
        <s v="Noshiba"/>
        <s v="Rane"/>
        <s v="Piyam"/>
        <s v="Arun"/>
        <s v="Lisha"/>
        <s v="Chetan"/>
        <s v="Sagar"/>
        <s v="Pearl"/>
        <s v="Shyam"/>
        <s v="Akshata"/>
        <s v="Bhishm"/>
        <s v="Duhita"/>
        <s v="Utkarsh"/>
        <s v="Inderpreet"/>
        <s v="Kshitij"/>
        <s v="Shaily"/>
        <s v="Utsav"/>
        <s v="Bhosale"/>
        <s v="Sidharth"/>
        <s v="Parin"/>
        <s v="Sajal"/>
        <s v="Apoorva"/>
        <s v="Nikhil"/>
        <s v="Srishti"/>
        <s v="Tejas"/>
        <s v="Nishi"/>
        <s v="Gunjan"/>
        <s v="Kiran"/>
        <s v="Jaydeep"/>
        <s v="Rachna"/>
        <s v="Dhanraj"/>
        <s v="Tanushree"/>
        <s v="Manisha"/>
        <s v="Sumeet"/>
        <s v="Akanksha"/>
        <s v="Chikku"/>
        <s v="Praneet"/>
        <s v="Paromita"/>
        <s v="Piyali"/>
        <s v="Ashvini"/>
        <s v="Hrisheekesh"/>
        <s v="Divyansha"/>
        <s v="Vipul"/>
        <s v="Hemangi"/>
        <s v="Monu"/>
        <s v="Shreyoshe"/>
      </sharedItems>
    </cacheField>
    <cacheField name="State" numFmtId="0">
      <sharedItems count="19">
        <s v="Madhya Pradesh"/>
        <s v="Uttar Pradesh"/>
        <s v="Maharashtra"/>
        <s v="Karnataka"/>
        <s v="Jammu and Kashmir"/>
        <s v="Nagaland"/>
        <s v="Rajasthan"/>
        <s v="Gujarat"/>
        <s v="Delhi"/>
        <s v="Andhra Pradesh"/>
        <s v="Kerala "/>
        <s v="Himachal Pradesh"/>
        <s v="Bihar"/>
        <s v="Punjab"/>
        <s v="Tamil Nadu"/>
        <s v="Haryana"/>
        <s v="Goa"/>
        <s v="West Bengal"/>
        <s v="Sikkim"/>
      </sharedItems>
    </cacheField>
    <cacheField name="City" numFmtId="0">
      <sharedItems count="25">
        <s v="Indore"/>
        <s v="Mathura"/>
        <s v="Pune"/>
        <s v="Bangalore"/>
        <s v="Mumbai"/>
        <s v="Kashmir"/>
        <s v="Kohima"/>
        <s v="Prayagraj"/>
        <s v="Jaipur"/>
        <s v="Ahmedabad"/>
        <s v="Lucknow"/>
        <s v="Delhi"/>
        <s v="Hyderabad"/>
        <s v="Thiruvananthapuram"/>
        <s v="Simla"/>
        <s v="Patna"/>
        <s v="Chandigarh"/>
        <s v="Surat"/>
        <s v="Bhopal"/>
        <s v="Chennai"/>
        <s v="Goa"/>
        <s v="Kolkata"/>
        <s v="Amritsar"/>
        <s v="Udaipur"/>
        <s v="Gangtok"/>
      </sharedItems>
    </cacheField>
    <cacheField name="Days (Order Date)" numFmtId="0" databaseField="0">
      <fieldGroup base="7">
        <rangePr groupBy="days" startDate="2018-01-01T00:00:00" endDate="2019-01-01T00:00:00"/>
        <groupItems count="368">
          <s v="&lt;1/1/2018"/>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9"/>
        </groupItems>
      </fieldGroup>
    </cacheField>
    <cacheField name="Months (Order Date)" numFmtId="0" databaseField="0">
      <fieldGroup base="7">
        <rangePr groupBy="months" startDate="2018-01-01T00:00:00" endDate="2019-01-01T00:00:00"/>
        <groupItems count="14">
          <s v="&lt;1/1/2018"/>
          <s v="Jan"/>
          <s v="Feb"/>
          <s v="Mar"/>
          <s v="Apr"/>
          <s v="May"/>
          <s v="Jun"/>
          <s v="Jul"/>
          <s v="Aug"/>
          <s v="Sep"/>
          <s v="Oct"/>
          <s v="Nov"/>
          <s v="Dec"/>
          <s v="&gt;1/1/2019"/>
        </groupItems>
      </fieldGroup>
    </cacheField>
  </cacheFields>
  <extLst>
    <ext xmlns:x14="http://schemas.microsoft.com/office/spreadsheetml/2009/9/main" uri="{725AE2AE-9491-48be-B2B4-4EB974FC3084}">
      <x14:pivotCacheDefinition pivotCacheId="1741474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n v="1096"/>
    <n v="658"/>
    <x v="0"/>
    <x v="0"/>
    <x v="0"/>
    <x v="0"/>
    <x v="0"/>
    <x v="0"/>
    <x v="0"/>
    <x v="0"/>
  </r>
  <r>
    <x v="1"/>
    <n v="5729"/>
    <n v="64"/>
    <x v="1"/>
    <x v="1"/>
    <x v="1"/>
    <x v="1"/>
    <x v="1"/>
    <x v="1"/>
    <x v="1"/>
    <x v="1"/>
  </r>
  <r>
    <x v="2"/>
    <n v="2927"/>
    <n v="146"/>
    <x v="2"/>
    <x v="1"/>
    <x v="2"/>
    <x v="1"/>
    <x v="2"/>
    <x v="2"/>
    <x v="2"/>
    <x v="2"/>
  </r>
  <r>
    <x v="3"/>
    <n v="2847"/>
    <n v="712"/>
    <x v="2"/>
    <x v="0"/>
    <x v="3"/>
    <x v="2"/>
    <x v="3"/>
    <x v="3"/>
    <x v="2"/>
    <x v="2"/>
  </r>
  <r>
    <x v="4"/>
    <n v="2617"/>
    <n v="1151"/>
    <x v="3"/>
    <x v="0"/>
    <x v="4"/>
    <x v="2"/>
    <x v="4"/>
    <x v="4"/>
    <x v="2"/>
    <x v="2"/>
  </r>
  <r>
    <x v="5"/>
    <n v="2244"/>
    <n v="247"/>
    <x v="3"/>
    <x v="2"/>
    <x v="5"/>
    <x v="2"/>
    <x v="5"/>
    <x v="5"/>
    <x v="1"/>
    <x v="1"/>
  </r>
  <r>
    <x v="6"/>
    <n v="275"/>
    <n v="-275"/>
    <x v="3"/>
    <x v="2"/>
    <x v="6"/>
    <x v="0"/>
    <x v="6"/>
    <x v="6"/>
    <x v="3"/>
    <x v="3"/>
  </r>
  <r>
    <x v="7"/>
    <n v="387"/>
    <n v="-213"/>
    <x v="4"/>
    <x v="2"/>
    <x v="6"/>
    <x v="3"/>
    <x v="7"/>
    <x v="7"/>
    <x v="2"/>
    <x v="4"/>
  </r>
  <r>
    <x v="8"/>
    <n v="50"/>
    <n v="-44"/>
    <x v="5"/>
    <x v="2"/>
    <x v="7"/>
    <x v="3"/>
    <x v="8"/>
    <x v="8"/>
    <x v="4"/>
    <x v="5"/>
  </r>
  <r>
    <x v="9"/>
    <n v="135"/>
    <n v="-54"/>
    <x v="4"/>
    <x v="2"/>
    <x v="8"/>
    <x v="0"/>
    <x v="9"/>
    <x v="9"/>
    <x v="5"/>
    <x v="6"/>
  </r>
  <r>
    <x v="10"/>
    <n v="231"/>
    <n v="-190"/>
    <x v="6"/>
    <x v="2"/>
    <x v="7"/>
    <x v="0"/>
    <x v="10"/>
    <x v="10"/>
    <x v="0"/>
    <x v="0"/>
  </r>
  <r>
    <x v="11"/>
    <n v="2125"/>
    <n v="-234"/>
    <x v="7"/>
    <x v="0"/>
    <x v="3"/>
    <x v="1"/>
    <x v="11"/>
    <x v="11"/>
    <x v="1"/>
    <x v="7"/>
  </r>
  <r>
    <x v="12"/>
    <n v="3873"/>
    <n v="-891"/>
    <x v="7"/>
    <x v="0"/>
    <x v="4"/>
    <x v="2"/>
    <x v="12"/>
    <x v="12"/>
    <x v="2"/>
    <x v="4"/>
  </r>
  <r>
    <x v="13"/>
    <n v="729"/>
    <n v="-492"/>
    <x v="4"/>
    <x v="1"/>
    <x v="2"/>
    <x v="3"/>
    <x v="13"/>
    <x v="13"/>
    <x v="2"/>
    <x v="4"/>
  </r>
  <r>
    <x v="14"/>
    <n v="2188"/>
    <n v="1050"/>
    <x v="4"/>
    <x v="1"/>
    <x v="2"/>
    <x v="2"/>
    <x v="14"/>
    <x v="14"/>
    <x v="1"/>
    <x v="1"/>
  </r>
  <r>
    <x v="15"/>
    <n v="6"/>
    <n v="-3"/>
    <x v="8"/>
    <x v="2"/>
    <x v="7"/>
    <x v="3"/>
    <x v="15"/>
    <x v="15"/>
    <x v="0"/>
    <x v="0"/>
  </r>
  <r>
    <x v="16"/>
    <n v="1854"/>
    <n v="433"/>
    <x v="4"/>
    <x v="1"/>
    <x v="2"/>
    <x v="2"/>
    <x v="16"/>
    <x v="16"/>
    <x v="1"/>
    <x v="1"/>
  </r>
  <r>
    <x v="17"/>
    <n v="6"/>
    <n v="1"/>
    <x v="8"/>
    <x v="2"/>
    <x v="8"/>
    <x v="3"/>
    <x v="17"/>
    <x v="17"/>
    <x v="6"/>
    <x v="8"/>
  </r>
  <r>
    <x v="18"/>
    <n v="2093"/>
    <n v="721"/>
    <x v="4"/>
    <x v="1"/>
    <x v="1"/>
    <x v="2"/>
    <x v="18"/>
    <x v="18"/>
    <x v="7"/>
    <x v="9"/>
  </r>
  <r>
    <x v="19"/>
    <n v="7"/>
    <n v="-1"/>
    <x v="5"/>
    <x v="2"/>
    <x v="9"/>
    <x v="3"/>
    <x v="19"/>
    <x v="19"/>
    <x v="1"/>
    <x v="10"/>
  </r>
  <r>
    <x v="20"/>
    <n v="1622"/>
    <n v="-624"/>
    <x v="4"/>
    <x v="1"/>
    <x v="10"/>
    <x v="2"/>
    <x v="20"/>
    <x v="20"/>
    <x v="8"/>
    <x v="11"/>
  </r>
  <r>
    <x v="21"/>
    <n v="1622"/>
    <n v="95"/>
    <x v="4"/>
    <x v="0"/>
    <x v="3"/>
    <x v="2"/>
    <x v="21"/>
    <x v="21"/>
    <x v="0"/>
    <x v="0"/>
  </r>
  <r>
    <x v="22"/>
    <n v="373"/>
    <n v="254"/>
    <x v="7"/>
    <x v="0"/>
    <x v="3"/>
    <x v="3"/>
    <x v="22"/>
    <x v="22"/>
    <x v="9"/>
    <x v="12"/>
  </r>
  <r>
    <x v="23"/>
    <n v="82"/>
    <n v="-33"/>
    <x v="3"/>
    <x v="2"/>
    <x v="8"/>
    <x v="0"/>
    <x v="23"/>
    <x v="23"/>
    <x v="10"/>
    <x v="13"/>
  </r>
  <r>
    <x v="24"/>
    <n v="8"/>
    <n v="2"/>
    <x v="5"/>
    <x v="2"/>
    <x v="9"/>
    <x v="3"/>
    <x v="24"/>
    <x v="24"/>
    <x v="8"/>
    <x v="11"/>
  </r>
  <r>
    <x v="25"/>
    <n v="1954"/>
    <n v="782"/>
    <x v="9"/>
    <x v="0"/>
    <x v="4"/>
    <x v="2"/>
    <x v="25"/>
    <x v="25"/>
    <x v="11"/>
    <x v="14"/>
  </r>
  <r>
    <x v="26"/>
    <n v="1543"/>
    <n v="370"/>
    <x v="2"/>
    <x v="0"/>
    <x v="3"/>
    <x v="2"/>
    <x v="26"/>
    <x v="26"/>
    <x v="2"/>
    <x v="2"/>
  </r>
  <r>
    <x v="27"/>
    <n v="1506"/>
    <n v="-266"/>
    <x v="7"/>
    <x v="0"/>
    <x v="3"/>
    <x v="2"/>
    <x v="27"/>
    <x v="27"/>
    <x v="2"/>
    <x v="4"/>
  </r>
  <r>
    <x v="28"/>
    <n v="1829"/>
    <n v="-56"/>
    <x v="7"/>
    <x v="1"/>
    <x v="10"/>
    <x v="2"/>
    <x v="7"/>
    <x v="28"/>
    <x v="11"/>
    <x v="14"/>
  </r>
  <r>
    <x v="29"/>
    <n v="9"/>
    <n v="-1"/>
    <x v="9"/>
    <x v="2"/>
    <x v="9"/>
    <x v="3"/>
    <x v="28"/>
    <x v="29"/>
    <x v="12"/>
    <x v="15"/>
  </r>
  <r>
    <x v="30"/>
    <n v="1461"/>
    <n v="202"/>
    <x v="4"/>
    <x v="1"/>
    <x v="10"/>
    <x v="1"/>
    <x v="29"/>
    <x v="30"/>
    <x v="2"/>
    <x v="2"/>
  </r>
  <r>
    <x v="31"/>
    <n v="391"/>
    <n v="113"/>
    <x v="2"/>
    <x v="2"/>
    <x v="11"/>
    <x v="0"/>
    <x v="30"/>
    <x v="31"/>
    <x v="9"/>
    <x v="12"/>
  </r>
  <r>
    <x v="32"/>
    <n v="1824"/>
    <n v="1303"/>
    <x v="2"/>
    <x v="0"/>
    <x v="4"/>
    <x v="2"/>
    <x v="31"/>
    <x v="32"/>
    <x v="13"/>
    <x v="16"/>
  </r>
  <r>
    <x v="33"/>
    <n v="16"/>
    <n v="-15"/>
    <x v="3"/>
    <x v="2"/>
    <x v="7"/>
    <x v="3"/>
    <x v="32"/>
    <x v="33"/>
    <x v="7"/>
    <x v="17"/>
  </r>
  <r>
    <x v="34"/>
    <n v="1745"/>
    <n v="122"/>
    <x v="5"/>
    <x v="1"/>
    <x v="10"/>
    <x v="2"/>
    <x v="33"/>
    <x v="34"/>
    <x v="0"/>
    <x v="18"/>
  </r>
  <r>
    <x v="35"/>
    <n v="663"/>
    <n v="-212"/>
    <x v="4"/>
    <x v="0"/>
    <x v="3"/>
    <x v="3"/>
    <x v="17"/>
    <x v="35"/>
    <x v="3"/>
    <x v="3"/>
  </r>
  <r>
    <x v="36"/>
    <n v="10"/>
    <n v="-1"/>
    <x v="8"/>
    <x v="2"/>
    <x v="12"/>
    <x v="3"/>
    <x v="34"/>
    <x v="36"/>
    <x v="2"/>
    <x v="2"/>
  </r>
  <r>
    <x v="37"/>
    <n v="1630"/>
    <n v="802"/>
    <x v="4"/>
    <x v="1"/>
    <x v="10"/>
    <x v="1"/>
    <x v="35"/>
    <x v="37"/>
    <x v="0"/>
    <x v="0"/>
  </r>
  <r>
    <x v="38"/>
    <n v="12"/>
    <n v="0"/>
    <x v="5"/>
    <x v="2"/>
    <x v="7"/>
    <x v="3"/>
    <x v="36"/>
    <x v="38"/>
    <x v="9"/>
    <x v="12"/>
  </r>
  <r>
    <x v="39"/>
    <n v="12"/>
    <n v="-7"/>
    <x v="5"/>
    <x v="2"/>
    <x v="12"/>
    <x v="3"/>
    <x v="37"/>
    <x v="39"/>
    <x v="2"/>
    <x v="4"/>
  </r>
  <r>
    <x v="40"/>
    <n v="1709"/>
    <n v="564"/>
    <x v="9"/>
    <x v="2"/>
    <x v="5"/>
    <x v="2"/>
    <x v="38"/>
    <x v="40"/>
    <x v="10"/>
    <x v="13"/>
  </r>
  <r>
    <x v="41"/>
    <n v="12"/>
    <n v="3"/>
    <x v="8"/>
    <x v="2"/>
    <x v="11"/>
    <x v="3"/>
    <x v="39"/>
    <x v="41"/>
    <x v="14"/>
    <x v="19"/>
  </r>
  <r>
    <x v="0"/>
    <n v="1625"/>
    <n v="-77"/>
    <x v="9"/>
    <x v="0"/>
    <x v="4"/>
    <x v="1"/>
    <x v="0"/>
    <x v="0"/>
    <x v="0"/>
    <x v="0"/>
  </r>
  <r>
    <x v="42"/>
    <n v="13"/>
    <n v="5"/>
    <x v="5"/>
    <x v="2"/>
    <x v="7"/>
    <x v="3"/>
    <x v="40"/>
    <x v="42"/>
    <x v="0"/>
    <x v="0"/>
  </r>
  <r>
    <x v="43"/>
    <n v="1361"/>
    <n v="980"/>
    <x v="9"/>
    <x v="1"/>
    <x v="10"/>
    <x v="0"/>
    <x v="41"/>
    <x v="43"/>
    <x v="2"/>
    <x v="2"/>
  </r>
  <r>
    <x v="44"/>
    <n v="1622"/>
    <n v="-448"/>
    <x v="9"/>
    <x v="0"/>
    <x v="4"/>
    <x v="1"/>
    <x v="42"/>
    <x v="44"/>
    <x v="2"/>
    <x v="2"/>
  </r>
  <r>
    <x v="45"/>
    <n v="1547"/>
    <n v="340"/>
    <x v="7"/>
    <x v="0"/>
    <x v="13"/>
    <x v="1"/>
    <x v="43"/>
    <x v="45"/>
    <x v="7"/>
    <x v="9"/>
  </r>
  <r>
    <x v="46"/>
    <n v="1657"/>
    <n v="460"/>
    <x v="3"/>
    <x v="1"/>
    <x v="1"/>
    <x v="2"/>
    <x v="44"/>
    <x v="46"/>
    <x v="5"/>
    <x v="6"/>
  </r>
  <r>
    <x v="47"/>
    <n v="1603"/>
    <n v="0"/>
    <x v="6"/>
    <x v="2"/>
    <x v="6"/>
    <x v="2"/>
    <x v="45"/>
    <x v="13"/>
    <x v="15"/>
    <x v="16"/>
  </r>
  <r>
    <x v="48"/>
    <n v="1549"/>
    <n v="-439"/>
    <x v="3"/>
    <x v="0"/>
    <x v="4"/>
    <x v="2"/>
    <x v="46"/>
    <x v="47"/>
    <x v="0"/>
    <x v="18"/>
  </r>
  <r>
    <x v="49"/>
    <n v="1183"/>
    <n v="106"/>
    <x v="3"/>
    <x v="0"/>
    <x v="3"/>
    <x v="1"/>
    <x v="47"/>
    <x v="48"/>
    <x v="12"/>
    <x v="15"/>
  </r>
  <r>
    <x v="15"/>
    <n v="74"/>
    <n v="-123"/>
    <x v="2"/>
    <x v="2"/>
    <x v="9"/>
    <x v="3"/>
    <x v="15"/>
    <x v="15"/>
    <x v="0"/>
    <x v="0"/>
  </r>
  <r>
    <x v="50"/>
    <n v="1499"/>
    <n v="239"/>
    <x v="10"/>
    <x v="2"/>
    <x v="6"/>
    <x v="2"/>
    <x v="48"/>
    <x v="49"/>
    <x v="6"/>
    <x v="8"/>
  </r>
  <r>
    <x v="51"/>
    <n v="1120"/>
    <n v="199"/>
    <x v="7"/>
    <x v="2"/>
    <x v="6"/>
    <x v="1"/>
    <x v="49"/>
    <x v="50"/>
    <x v="13"/>
    <x v="16"/>
  </r>
  <r>
    <x v="52"/>
    <n v="15"/>
    <n v="-2"/>
    <x v="8"/>
    <x v="2"/>
    <x v="14"/>
    <x v="4"/>
    <x v="50"/>
    <x v="51"/>
    <x v="0"/>
    <x v="18"/>
  </r>
  <r>
    <x v="53"/>
    <n v="1487"/>
    <n v="624"/>
    <x v="9"/>
    <x v="2"/>
    <x v="5"/>
    <x v="2"/>
    <x v="51"/>
    <x v="32"/>
    <x v="13"/>
    <x v="16"/>
  </r>
  <r>
    <x v="54"/>
    <n v="1118"/>
    <n v="206"/>
    <x v="5"/>
    <x v="1"/>
    <x v="10"/>
    <x v="2"/>
    <x v="52"/>
    <x v="52"/>
    <x v="16"/>
    <x v="20"/>
  </r>
  <r>
    <x v="55"/>
    <n v="11"/>
    <n v="-5"/>
    <x v="5"/>
    <x v="2"/>
    <x v="7"/>
    <x v="0"/>
    <x v="53"/>
    <x v="53"/>
    <x v="3"/>
    <x v="3"/>
  </r>
  <r>
    <x v="56"/>
    <n v="15"/>
    <n v="4"/>
    <x v="8"/>
    <x v="2"/>
    <x v="7"/>
    <x v="4"/>
    <x v="54"/>
    <x v="54"/>
    <x v="6"/>
    <x v="8"/>
  </r>
  <r>
    <x v="57"/>
    <n v="1364"/>
    <n v="1864"/>
    <x v="4"/>
    <x v="1"/>
    <x v="10"/>
    <x v="2"/>
    <x v="55"/>
    <x v="55"/>
    <x v="14"/>
    <x v="19"/>
  </r>
  <r>
    <x v="58"/>
    <n v="1337"/>
    <n v="147"/>
    <x v="0"/>
    <x v="0"/>
    <x v="3"/>
    <x v="2"/>
    <x v="56"/>
    <x v="56"/>
    <x v="17"/>
    <x v="21"/>
  </r>
  <r>
    <x v="59"/>
    <n v="15"/>
    <n v="2"/>
    <x v="8"/>
    <x v="2"/>
    <x v="12"/>
    <x v="4"/>
    <x v="57"/>
    <x v="57"/>
    <x v="13"/>
    <x v="22"/>
  </r>
  <r>
    <x v="60"/>
    <n v="322"/>
    <n v="-193"/>
    <x v="4"/>
    <x v="0"/>
    <x v="3"/>
    <x v="3"/>
    <x v="58"/>
    <x v="28"/>
    <x v="16"/>
    <x v="20"/>
  </r>
  <r>
    <x v="61"/>
    <n v="1316"/>
    <n v="527"/>
    <x v="0"/>
    <x v="0"/>
    <x v="0"/>
    <x v="2"/>
    <x v="59"/>
    <x v="58"/>
    <x v="0"/>
    <x v="0"/>
  </r>
  <r>
    <x v="62"/>
    <n v="1314"/>
    <n v="342"/>
    <x v="9"/>
    <x v="1"/>
    <x v="2"/>
    <x v="2"/>
    <x v="60"/>
    <x v="59"/>
    <x v="8"/>
    <x v="11"/>
  </r>
  <r>
    <x v="63"/>
    <n v="17"/>
    <n v="7"/>
    <x v="9"/>
    <x v="2"/>
    <x v="7"/>
    <x v="4"/>
    <x v="61"/>
    <x v="60"/>
    <x v="17"/>
    <x v="21"/>
  </r>
  <r>
    <x v="64"/>
    <n v="17"/>
    <n v="2"/>
    <x v="5"/>
    <x v="2"/>
    <x v="9"/>
    <x v="4"/>
    <x v="61"/>
    <x v="61"/>
    <x v="1"/>
    <x v="7"/>
  </r>
  <r>
    <x v="65"/>
    <n v="17"/>
    <n v="-12"/>
    <x v="4"/>
    <x v="2"/>
    <x v="9"/>
    <x v="4"/>
    <x v="62"/>
    <x v="62"/>
    <x v="2"/>
    <x v="2"/>
  </r>
  <r>
    <x v="66"/>
    <n v="1308"/>
    <n v="536"/>
    <x v="9"/>
    <x v="1"/>
    <x v="2"/>
    <x v="2"/>
    <x v="63"/>
    <x v="63"/>
    <x v="10"/>
    <x v="13"/>
  </r>
  <r>
    <x v="67"/>
    <n v="1076"/>
    <n v="-38"/>
    <x v="3"/>
    <x v="0"/>
    <x v="3"/>
    <x v="2"/>
    <x v="64"/>
    <x v="64"/>
    <x v="0"/>
    <x v="0"/>
  </r>
  <r>
    <x v="68"/>
    <n v="1301"/>
    <n v="573"/>
    <x v="4"/>
    <x v="0"/>
    <x v="13"/>
    <x v="2"/>
    <x v="65"/>
    <x v="65"/>
    <x v="3"/>
    <x v="3"/>
  </r>
  <r>
    <x v="69"/>
    <n v="1300"/>
    <n v="-16"/>
    <x v="2"/>
    <x v="0"/>
    <x v="3"/>
    <x v="2"/>
    <x v="66"/>
    <x v="66"/>
    <x v="4"/>
    <x v="5"/>
  </r>
  <r>
    <x v="70"/>
    <n v="11"/>
    <n v="-2"/>
    <x v="3"/>
    <x v="2"/>
    <x v="7"/>
    <x v="0"/>
    <x v="67"/>
    <x v="67"/>
    <x v="15"/>
    <x v="16"/>
  </r>
  <r>
    <x v="71"/>
    <n v="1298"/>
    <n v="65"/>
    <x v="6"/>
    <x v="0"/>
    <x v="3"/>
    <x v="1"/>
    <x v="68"/>
    <x v="68"/>
    <x v="2"/>
    <x v="2"/>
  </r>
  <r>
    <x v="72"/>
    <n v="304"/>
    <n v="97"/>
    <x v="7"/>
    <x v="2"/>
    <x v="11"/>
    <x v="3"/>
    <x v="69"/>
    <x v="69"/>
    <x v="8"/>
    <x v="11"/>
  </r>
  <r>
    <x v="73"/>
    <n v="1055"/>
    <n v="264"/>
    <x v="3"/>
    <x v="0"/>
    <x v="3"/>
    <x v="1"/>
    <x v="46"/>
    <x v="70"/>
    <x v="2"/>
    <x v="2"/>
  </r>
  <r>
    <x v="74"/>
    <n v="17"/>
    <n v="-13"/>
    <x v="3"/>
    <x v="2"/>
    <x v="9"/>
    <x v="4"/>
    <x v="70"/>
    <x v="11"/>
    <x v="0"/>
    <x v="0"/>
  </r>
  <r>
    <x v="75"/>
    <n v="147"/>
    <n v="73"/>
    <x v="9"/>
    <x v="2"/>
    <x v="11"/>
    <x v="0"/>
    <x v="71"/>
    <x v="62"/>
    <x v="0"/>
    <x v="0"/>
  </r>
  <r>
    <x v="76"/>
    <n v="965"/>
    <n v="-68"/>
    <x v="9"/>
    <x v="0"/>
    <x v="3"/>
    <x v="0"/>
    <x v="72"/>
    <x v="71"/>
    <x v="0"/>
    <x v="0"/>
  </r>
  <r>
    <x v="19"/>
    <n v="12"/>
    <n v="-2"/>
    <x v="9"/>
    <x v="2"/>
    <x v="7"/>
    <x v="0"/>
    <x v="19"/>
    <x v="19"/>
    <x v="1"/>
    <x v="10"/>
  </r>
  <r>
    <x v="77"/>
    <n v="14"/>
    <n v="-2"/>
    <x v="9"/>
    <x v="2"/>
    <x v="7"/>
    <x v="3"/>
    <x v="73"/>
    <x v="72"/>
    <x v="16"/>
    <x v="20"/>
  </r>
  <r>
    <x v="78"/>
    <n v="934"/>
    <n v="-916"/>
    <x v="0"/>
    <x v="0"/>
    <x v="0"/>
    <x v="0"/>
    <x v="74"/>
    <x v="73"/>
    <x v="13"/>
    <x v="16"/>
  </r>
  <r>
    <x v="79"/>
    <n v="929"/>
    <n v="-93"/>
    <x v="6"/>
    <x v="2"/>
    <x v="6"/>
    <x v="0"/>
    <x v="75"/>
    <x v="74"/>
    <x v="0"/>
    <x v="18"/>
  </r>
  <r>
    <x v="80"/>
    <n v="18"/>
    <n v="3"/>
    <x v="5"/>
    <x v="2"/>
    <x v="7"/>
    <x v="4"/>
    <x v="76"/>
    <x v="75"/>
    <x v="3"/>
    <x v="3"/>
  </r>
  <r>
    <x v="81"/>
    <n v="916"/>
    <n v="192"/>
    <x v="11"/>
    <x v="0"/>
    <x v="4"/>
    <x v="0"/>
    <x v="77"/>
    <x v="76"/>
    <x v="16"/>
    <x v="20"/>
  </r>
  <r>
    <x v="82"/>
    <n v="76"/>
    <n v="-72"/>
    <x v="6"/>
    <x v="2"/>
    <x v="7"/>
    <x v="0"/>
    <x v="78"/>
    <x v="77"/>
    <x v="0"/>
    <x v="18"/>
  </r>
  <r>
    <x v="83"/>
    <n v="869"/>
    <n v="67"/>
    <x v="3"/>
    <x v="1"/>
    <x v="10"/>
    <x v="0"/>
    <x v="79"/>
    <x v="78"/>
    <x v="9"/>
    <x v="12"/>
  </r>
  <r>
    <x v="84"/>
    <n v="112"/>
    <n v="24"/>
    <x v="9"/>
    <x v="2"/>
    <x v="8"/>
    <x v="0"/>
    <x v="80"/>
    <x v="29"/>
    <x v="14"/>
    <x v="19"/>
  </r>
  <r>
    <x v="18"/>
    <n v="39"/>
    <n v="16"/>
    <x v="7"/>
    <x v="2"/>
    <x v="9"/>
    <x v="3"/>
    <x v="18"/>
    <x v="18"/>
    <x v="7"/>
    <x v="9"/>
  </r>
  <r>
    <x v="85"/>
    <n v="857"/>
    <n v="-274"/>
    <x v="5"/>
    <x v="1"/>
    <x v="10"/>
    <x v="0"/>
    <x v="81"/>
    <x v="76"/>
    <x v="6"/>
    <x v="23"/>
  </r>
  <r>
    <x v="86"/>
    <n v="828"/>
    <n v="230"/>
    <x v="5"/>
    <x v="1"/>
    <x v="1"/>
    <x v="0"/>
    <x v="82"/>
    <x v="79"/>
    <x v="0"/>
    <x v="0"/>
  </r>
  <r>
    <x v="87"/>
    <n v="1279"/>
    <n v="-640"/>
    <x v="2"/>
    <x v="0"/>
    <x v="3"/>
    <x v="1"/>
    <x v="83"/>
    <x v="80"/>
    <x v="5"/>
    <x v="6"/>
  </r>
  <r>
    <x v="88"/>
    <n v="1250"/>
    <n v="486"/>
    <x v="0"/>
    <x v="2"/>
    <x v="6"/>
    <x v="1"/>
    <x v="84"/>
    <x v="81"/>
    <x v="17"/>
    <x v="21"/>
  </r>
  <r>
    <x v="89"/>
    <n v="823"/>
    <n v="-18"/>
    <x v="0"/>
    <x v="1"/>
    <x v="1"/>
    <x v="0"/>
    <x v="85"/>
    <x v="71"/>
    <x v="0"/>
    <x v="0"/>
  </r>
  <r>
    <x v="75"/>
    <n v="1157"/>
    <n v="-13"/>
    <x v="6"/>
    <x v="1"/>
    <x v="2"/>
    <x v="2"/>
    <x v="71"/>
    <x v="62"/>
    <x v="0"/>
    <x v="0"/>
  </r>
  <r>
    <x v="90"/>
    <n v="126"/>
    <n v="-63"/>
    <x v="9"/>
    <x v="0"/>
    <x v="13"/>
    <x v="3"/>
    <x v="86"/>
    <x v="82"/>
    <x v="2"/>
    <x v="4"/>
  </r>
  <r>
    <x v="91"/>
    <n v="1145"/>
    <n v="-706"/>
    <x v="9"/>
    <x v="0"/>
    <x v="4"/>
    <x v="2"/>
    <x v="46"/>
    <x v="83"/>
    <x v="6"/>
    <x v="8"/>
  </r>
  <r>
    <x v="92"/>
    <n v="774"/>
    <n v="170"/>
    <x v="9"/>
    <x v="0"/>
    <x v="13"/>
    <x v="0"/>
    <x v="87"/>
    <x v="84"/>
    <x v="3"/>
    <x v="3"/>
  </r>
  <r>
    <x v="93"/>
    <n v="24"/>
    <n v="-1"/>
    <x v="5"/>
    <x v="2"/>
    <x v="7"/>
    <x v="0"/>
    <x v="15"/>
    <x v="85"/>
    <x v="2"/>
    <x v="2"/>
  </r>
  <r>
    <x v="94"/>
    <n v="774"/>
    <n v="170"/>
    <x v="9"/>
    <x v="0"/>
    <x v="13"/>
    <x v="0"/>
    <x v="88"/>
    <x v="86"/>
    <x v="17"/>
    <x v="21"/>
  </r>
  <r>
    <x v="81"/>
    <n v="93"/>
    <n v="-1"/>
    <x v="5"/>
    <x v="2"/>
    <x v="7"/>
    <x v="0"/>
    <x v="77"/>
    <x v="76"/>
    <x v="16"/>
    <x v="20"/>
  </r>
  <r>
    <x v="95"/>
    <n v="765"/>
    <n v="-36"/>
    <x v="9"/>
    <x v="0"/>
    <x v="0"/>
    <x v="0"/>
    <x v="89"/>
    <x v="87"/>
    <x v="0"/>
    <x v="0"/>
  </r>
  <r>
    <x v="96"/>
    <n v="762"/>
    <n v="101"/>
    <x v="7"/>
    <x v="0"/>
    <x v="3"/>
    <x v="0"/>
    <x v="51"/>
    <x v="88"/>
    <x v="15"/>
    <x v="16"/>
  </r>
  <r>
    <x v="97"/>
    <n v="761"/>
    <n v="266"/>
    <x v="6"/>
    <x v="0"/>
    <x v="0"/>
    <x v="0"/>
    <x v="90"/>
    <x v="89"/>
    <x v="0"/>
    <x v="0"/>
  </r>
  <r>
    <x v="98"/>
    <n v="96"/>
    <n v="-48"/>
    <x v="4"/>
    <x v="2"/>
    <x v="12"/>
    <x v="3"/>
    <x v="91"/>
    <x v="90"/>
    <x v="4"/>
    <x v="5"/>
  </r>
  <r>
    <x v="99"/>
    <n v="1137"/>
    <n v="-14"/>
    <x v="0"/>
    <x v="0"/>
    <x v="3"/>
    <x v="1"/>
    <x v="92"/>
    <x v="91"/>
    <x v="0"/>
    <x v="18"/>
  </r>
  <r>
    <x v="91"/>
    <n v="18"/>
    <n v="8"/>
    <x v="5"/>
    <x v="2"/>
    <x v="7"/>
    <x v="4"/>
    <x v="46"/>
    <x v="83"/>
    <x v="6"/>
    <x v="8"/>
  </r>
  <r>
    <x v="100"/>
    <n v="749"/>
    <n v="-307"/>
    <x v="0"/>
    <x v="1"/>
    <x v="15"/>
    <x v="0"/>
    <x v="93"/>
    <x v="92"/>
    <x v="6"/>
    <x v="23"/>
  </r>
  <r>
    <x v="99"/>
    <n v="1120"/>
    <n v="199"/>
    <x v="7"/>
    <x v="2"/>
    <x v="6"/>
    <x v="1"/>
    <x v="92"/>
    <x v="91"/>
    <x v="0"/>
    <x v="18"/>
  </r>
  <r>
    <x v="101"/>
    <n v="744"/>
    <n v="119"/>
    <x v="7"/>
    <x v="0"/>
    <x v="3"/>
    <x v="0"/>
    <x v="94"/>
    <x v="93"/>
    <x v="9"/>
    <x v="12"/>
  </r>
  <r>
    <x v="102"/>
    <n v="14"/>
    <n v="0"/>
    <x v="3"/>
    <x v="2"/>
    <x v="7"/>
    <x v="3"/>
    <x v="21"/>
    <x v="85"/>
    <x v="0"/>
    <x v="0"/>
  </r>
  <r>
    <x v="103"/>
    <n v="19"/>
    <n v="8"/>
    <x v="5"/>
    <x v="2"/>
    <x v="7"/>
    <x v="4"/>
    <x v="95"/>
    <x v="94"/>
    <x v="0"/>
    <x v="0"/>
  </r>
  <r>
    <x v="104"/>
    <n v="512"/>
    <n v="-225"/>
    <x v="4"/>
    <x v="2"/>
    <x v="6"/>
    <x v="0"/>
    <x v="96"/>
    <x v="95"/>
    <x v="2"/>
    <x v="4"/>
  </r>
  <r>
    <x v="105"/>
    <n v="742"/>
    <n v="198"/>
    <x v="5"/>
    <x v="1"/>
    <x v="2"/>
    <x v="0"/>
    <x v="97"/>
    <x v="96"/>
    <x v="2"/>
    <x v="4"/>
  </r>
  <r>
    <x v="106"/>
    <n v="44"/>
    <n v="-40"/>
    <x v="9"/>
    <x v="2"/>
    <x v="11"/>
    <x v="0"/>
    <x v="98"/>
    <x v="97"/>
    <x v="16"/>
    <x v="20"/>
  </r>
  <r>
    <x v="8"/>
    <n v="1061"/>
    <n v="-36"/>
    <x v="2"/>
    <x v="1"/>
    <x v="2"/>
    <x v="1"/>
    <x v="8"/>
    <x v="8"/>
    <x v="4"/>
    <x v="5"/>
  </r>
  <r>
    <x v="107"/>
    <n v="19"/>
    <n v="-2"/>
    <x v="5"/>
    <x v="2"/>
    <x v="12"/>
    <x v="4"/>
    <x v="99"/>
    <x v="98"/>
    <x v="11"/>
    <x v="14"/>
  </r>
  <r>
    <x v="108"/>
    <n v="17"/>
    <n v="0"/>
    <x v="8"/>
    <x v="2"/>
    <x v="7"/>
    <x v="0"/>
    <x v="100"/>
    <x v="84"/>
    <x v="17"/>
    <x v="21"/>
  </r>
  <r>
    <x v="109"/>
    <n v="741"/>
    <n v="267"/>
    <x v="4"/>
    <x v="1"/>
    <x v="2"/>
    <x v="0"/>
    <x v="101"/>
    <x v="99"/>
    <x v="2"/>
    <x v="4"/>
  </r>
  <r>
    <x v="97"/>
    <n v="735"/>
    <n v="-235"/>
    <x v="7"/>
    <x v="0"/>
    <x v="3"/>
    <x v="0"/>
    <x v="90"/>
    <x v="89"/>
    <x v="0"/>
    <x v="0"/>
  </r>
  <r>
    <x v="110"/>
    <n v="19"/>
    <n v="-1"/>
    <x v="8"/>
    <x v="2"/>
    <x v="16"/>
    <x v="4"/>
    <x v="90"/>
    <x v="100"/>
    <x v="0"/>
    <x v="0"/>
  </r>
  <r>
    <x v="111"/>
    <n v="1021"/>
    <n v="-48"/>
    <x v="3"/>
    <x v="0"/>
    <x v="0"/>
    <x v="1"/>
    <x v="102"/>
    <x v="91"/>
    <x v="0"/>
    <x v="18"/>
  </r>
  <r>
    <x v="112"/>
    <n v="556"/>
    <n v="-209"/>
    <x v="0"/>
    <x v="2"/>
    <x v="6"/>
    <x v="0"/>
    <x v="103"/>
    <x v="101"/>
    <x v="4"/>
    <x v="5"/>
  </r>
  <r>
    <x v="113"/>
    <n v="63"/>
    <n v="-17"/>
    <x v="7"/>
    <x v="2"/>
    <x v="12"/>
    <x v="0"/>
    <x v="104"/>
    <x v="102"/>
    <x v="12"/>
    <x v="15"/>
  </r>
  <r>
    <x v="114"/>
    <n v="734"/>
    <n v="248"/>
    <x v="5"/>
    <x v="1"/>
    <x v="1"/>
    <x v="0"/>
    <x v="105"/>
    <x v="103"/>
    <x v="0"/>
    <x v="0"/>
  </r>
  <r>
    <x v="27"/>
    <n v="933"/>
    <n v="166"/>
    <x v="4"/>
    <x v="2"/>
    <x v="6"/>
    <x v="2"/>
    <x v="27"/>
    <x v="27"/>
    <x v="2"/>
    <x v="4"/>
  </r>
  <r>
    <x v="115"/>
    <n v="20"/>
    <n v="-9"/>
    <x v="7"/>
    <x v="2"/>
    <x v="7"/>
    <x v="4"/>
    <x v="106"/>
    <x v="104"/>
    <x v="18"/>
    <x v="24"/>
  </r>
  <r>
    <x v="116"/>
    <n v="877"/>
    <n v="395"/>
    <x v="5"/>
    <x v="1"/>
    <x v="2"/>
    <x v="2"/>
    <x v="107"/>
    <x v="105"/>
    <x v="0"/>
    <x v="18"/>
  </r>
  <r>
    <x v="109"/>
    <n v="719"/>
    <n v="303"/>
    <x v="7"/>
    <x v="1"/>
    <x v="1"/>
    <x v="0"/>
    <x v="101"/>
    <x v="99"/>
    <x v="2"/>
    <x v="4"/>
  </r>
  <r>
    <x v="117"/>
    <n v="12"/>
    <n v="1"/>
    <x v="5"/>
    <x v="2"/>
    <x v="7"/>
    <x v="0"/>
    <x v="108"/>
    <x v="106"/>
    <x v="0"/>
    <x v="18"/>
  </r>
  <r>
    <x v="118"/>
    <n v="714"/>
    <n v="56"/>
    <x v="3"/>
    <x v="2"/>
    <x v="6"/>
    <x v="0"/>
    <x v="109"/>
    <x v="107"/>
    <x v="2"/>
    <x v="4"/>
  </r>
  <r>
    <x v="119"/>
    <n v="50"/>
    <n v="-15"/>
    <x v="3"/>
    <x v="2"/>
    <x v="12"/>
    <x v="0"/>
    <x v="110"/>
    <x v="108"/>
    <x v="4"/>
    <x v="5"/>
  </r>
  <r>
    <x v="120"/>
    <n v="709"/>
    <n v="-100"/>
    <x v="4"/>
    <x v="0"/>
    <x v="4"/>
    <x v="0"/>
    <x v="111"/>
    <x v="109"/>
    <x v="0"/>
    <x v="0"/>
  </r>
  <r>
    <x v="121"/>
    <n v="21"/>
    <n v="-12"/>
    <x v="9"/>
    <x v="2"/>
    <x v="7"/>
    <x v="4"/>
    <x v="112"/>
    <x v="110"/>
    <x v="10"/>
    <x v="13"/>
  </r>
  <r>
    <x v="122"/>
    <n v="693"/>
    <n v="254"/>
    <x v="7"/>
    <x v="2"/>
    <x v="6"/>
    <x v="0"/>
    <x v="113"/>
    <x v="62"/>
    <x v="18"/>
    <x v="24"/>
  </r>
  <r>
    <x v="81"/>
    <n v="24"/>
    <n v="1"/>
    <x v="3"/>
    <x v="2"/>
    <x v="7"/>
    <x v="0"/>
    <x v="77"/>
    <x v="76"/>
    <x v="16"/>
    <x v="20"/>
  </r>
  <r>
    <x v="123"/>
    <n v="24"/>
    <n v="1"/>
    <x v="5"/>
    <x v="2"/>
    <x v="7"/>
    <x v="3"/>
    <x v="114"/>
    <x v="111"/>
    <x v="16"/>
    <x v="20"/>
  </r>
  <r>
    <x v="83"/>
    <n v="24"/>
    <n v="1"/>
    <x v="5"/>
    <x v="2"/>
    <x v="7"/>
    <x v="0"/>
    <x v="79"/>
    <x v="78"/>
    <x v="9"/>
    <x v="12"/>
  </r>
  <r>
    <x v="124"/>
    <n v="21"/>
    <n v="10"/>
    <x v="8"/>
    <x v="2"/>
    <x v="14"/>
    <x v="4"/>
    <x v="115"/>
    <x v="112"/>
    <x v="7"/>
    <x v="9"/>
  </r>
  <r>
    <x v="125"/>
    <n v="681"/>
    <n v="259"/>
    <x v="3"/>
    <x v="1"/>
    <x v="1"/>
    <x v="0"/>
    <x v="71"/>
    <x v="113"/>
    <x v="0"/>
    <x v="0"/>
  </r>
  <r>
    <x v="126"/>
    <n v="674"/>
    <n v="-187"/>
    <x v="5"/>
    <x v="1"/>
    <x v="10"/>
    <x v="0"/>
    <x v="116"/>
    <x v="114"/>
    <x v="6"/>
    <x v="8"/>
  </r>
  <r>
    <x v="35"/>
    <n v="671"/>
    <n v="-309"/>
    <x v="4"/>
    <x v="0"/>
    <x v="0"/>
    <x v="0"/>
    <x v="17"/>
    <x v="35"/>
    <x v="3"/>
    <x v="3"/>
  </r>
  <r>
    <x v="127"/>
    <n v="646"/>
    <n v="-213"/>
    <x v="9"/>
    <x v="0"/>
    <x v="0"/>
    <x v="0"/>
    <x v="117"/>
    <x v="115"/>
    <x v="13"/>
    <x v="22"/>
  </r>
  <r>
    <x v="128"/>
    <n v="40"/>
    <n v="15"/>
    <x v="8"/>
    <x v="2"/>
    <x v="8"/>
    <x v="0"/>
    <x v="118"/>
    <x v="116"/>
    <x v="0"/>
    <x v="18"/>
  </r>
  <r>
    <x v="129"/>
    <n v="24"/>
    <n v="-2"/>
    <x v="5"/>
    <x v="2"/>
    <x v="14"/>
    <x v="0"/>
    <x v="119"/>
    <x v="117"/>
    <x v="2"/>
    <x v="4"/>
  </r>
  <r>
    <x v="21"/>
    <n v="644"/>
    <n v="167"/>
    <x v="5"/>
    <x v="0"/>
    <x v="3"/>
    <x v="0"/>
    <x v="21"/>
    <x v="21"/>
    <x v="0"/>
    <x v="0"/>
  </r>
  <r>
    <x v="130"/>
    <n v="643"/>
    <n v="225"/>
    <x v="5"/>
    <x v="0"/>
    <x v="3"/>
    <x v="0"/>
    <x v="23"/>
    <x v="118"/>
    <x v="15"/>
    <x v="16"/>
  </r>
  <r>
    <x v="131"/>
    <n v="632"/>
    <n v="-316"/>
    <x v="7"/>
    <x v="2"/>
    <x v="6"/>
    <x v="0"/>
    <x v="120"/>
    <x v="119"/>
    <x v="2"/>
    <x v="4"/>
  </r>
  <r>
    <x v="82"/>
    <n v="632"/>
    <n v="316"/>
    <x v="7"/>
    <x v="2"/>
    <x v="6"/>
    <x v="0"/>
    <x v="78"/>
    <x v="77"/>
    <x v="0"/>
    <x v="18"/>
  </r>
  <r>
    <x v="132"/>
    <n v="610"/>
    <n v="208"/>
    <x v="9"/>
    <x v="0"/>
    <x v="3"/>
    <x v="0"/>
    <x v="40"/>
    <x v="14"/>
    <x v="8"/>
    <x v="11"/>
  </r>
  <r>
    <x v="92"/>
    <n v="78"/>
    <n v="-28"/>
    <x v="7"/>
    <x v="2"/>
    <x v="8"/>
    <x v="3"/>
    <x v="87"/>
    <x v="84"/>
    <x v="3"/>
    <x v="3"/>
  </r>
  <r>
    <x v="133"/>
    <n v="595"/>
    <n v="119"/>
    <x v="3"/>
    <x v="1"/>
    <x v="2"/>
    <x v="0"/>
    <x v="121"/>
    <x v="120"/>
    <x v="13"/>
    <x v="16"/>
  </r>
  <r>
    <x v="134"/>
    <n v="595"/>
    <n v="292"/>
    <x v="9"/>
    <x v="2"/>
    <x v="6"/>
    <x v="0"/>
    <x v="54"/>
    <x v="121"/>
    <x v="17"/>
    <x v="21"/>
  </r>
  <r>
    <x v="3"/>
    <n v="852"/>
    <n v="51"/>
    <x v="4"/>
    <x v="1"/>
    <x v="2"/>
    <x v="2"/>
    <x v="3"/>
    <x v="3"/>
    <x v="2"/>
    <x v="2"/>
  </r>
  <r>
    <x v="135"/>
    <n v="594"/>
    <n v="89"/>
    <x v="9"/>
    <x v="1"/>
    <x v="2"/>
    <x v="0"/>
    <x v="122"/>
    <x v="8"/>
    <x v="4"/>
    <x v="5"/>
  </r>
  <r>
    <x v="136"/>
    <n v="585"/>
    <n v="175"/>
    <x v="10"/>
    <x v="2"/>
    <x v="14"/>
    <x v="0"/>
    <x v="123"/>
    <x v="122"/>
    <x v="1"/>
    <x v="10"/>
  </r>
  <r>
    <x v="137"/>
    <n v="582"/>
    <n v="262"/>
    <x v="4"/>
    <x v="1"/>
    <x v="15"/>
    <x v="0"/>
    <x v="124"/>
    <x v="21"/>
    <x v="3"/>
    <x v="3"/>
  </r>
  <r>
    <x v="138"/>
    <n v="845"/>
    <n v="84"/>
    <x v="0"/>
    <x v="2"/>
    <x v="6"/>
    <x v="2"/>
    <x v="125"/>
    <x v="123"/>
    <x v="9"/>
    <x v="12"/>
  </r>
  <r>
    <x v="139"/>
    <n v="829"/>
    <n v="19"/>
    <x v="3"/>
    <x v="0"/>
    <x v="3"/>
    <x v="2"/>
    <x v="18"/>
    <x v="124"/>
    <x v="0"/>
    <x v="18"/>
  </r>
  <r>
    <x v="4"/>
    <n v="561"/>
    <n v="212"/>
    <x v="9"/>
    <x v="2"/>
    <x v="6"/>
    <x v="0"/>
    <x v="4"/>
    <x v="4"/>
    <x v="2"/>
    <x v="2"/>
  </r>
  <r>
    <x v="73"/>
    <n v="771"/>
    <n v="-424"/>
    <x v="5"/>
    <x v="0"/>
    <x v="4"/>
    <x v="2"/>
    <x v="46"/>
    <x v="70"/>
    <x v="2"/>
    <x v="2"/>
  </r>
  <r>
    <x v="140"/>
    <n v="765"/>
    <n v="8"/>
    <x v="7"/>
    <x v="2"/>
    <x v="6"/>
    <x v="1"/>
    <x v="126"/>
    <x v="125"/>
    <x v="0"/>
    <x v="0"/>
  </r>
  <r>
    <x v="141"/>
    <n v="31"/>
    <n v="2"/>
    <x v="5"/>
    <x v="2"/>
    <x v="7"/>
    <x v="0"/>
    <x v="60"/>
    <x v="126"/>
    <x v="8"/>
    <x v="11"/>
  </r>
  <r>
    <x v="142"/>
    <n v="557"/>
    <n v="-111"/>
    <x v="5"/>
    <x v="0"/>
    <x v="0"/>
    <x v="0"/>
    <x v="76"/>
    <x v="127"/>
    <x v="17"/>
    <x v="21"/>
  </r>
  <r>
    <x v="140"/>
    <n v="757"/>
    <n v="371"/>
    <x v="5"/>
    <x v="0"/>
    <x v="3"/>
    <x v="2"/>
    <x v="126"/>
    <x v="125"/>
    <x v="0"/>
    <x v="0"/>
  </r>
  <r>
    <x v="143"/>
    <n v="545"/>
    <n v="-73"/>
    <x v="11"/>
    <x v="0"/>
    <x v="4"/>
    <x v="0"/>
    <x v="127"/>
    <x v="93"/>
    <x v="12"/>
    <x v="15"/>
  </r>
  <r>
    <x v="144"/>
    <n v="1052"/>
    <n v="-82"/>
    <x v="9"/>
    <x v="1"/>
    <x v="2"/>
    <x v="3"/>
    <x v="128"/>
    <x v="121"/>
    <x v="2"/>
    <x v="4"/>
  </r>
  <r>
    <x v="145"/>
    <n v="544"/>
    <n v="-152"/>
    <x v="9"/>
    <x v="1"/>
    <x v="2"/>
    <x v="0"/>
    <x v="129"/>
    <x v="128"/>
    <x v="2"/>
    <x v="2"/>
  </r>
  <r>
    <x v="146"/>
    <n v="22"/>
    <n v="9"/>
    <x v="5"/>
    <x v="2"/>
    <x v="12"/>
    <x v="4"/>
    <x v="130"/>
    <x v="129"/>
    <x v="1"/>
    <x v="7"/>
  </r>
  <r>
    <x v="23"/>
    <n v="757"/>
    <n v="371"/>
    <x v="5"/>
    <x v="0"/>
    <x v="3"/>
    <x v="2"/>
    <x v="23"/>
    <x v="23"/>
    <x v="10"/>
    <x v="13"/>
  </r>
  <r>
    <x v="147"/>
    <n v="742"/>
    <n v="198"/>
    <x v="5"/>
    <x v="1"/>
    <x v="2"/>
    <x v="2"/>
    <x v="21"/>
    <x v="130"/>
    <x v="17"/>
    <x v="21"/>
  </r>
  <r>
    <x v="148"/>
    <n v="537"/>
    <n v="107"/>
    <x v="9"/>
    <x v="2"/>
    <x v="6"/>
    <x v="0"/>
    <x v="131"/>
    <x v="131"/>
    <x v="13"/>
    <x v="16"/>
  </r>
  <r>
    <x v="140"/>
    <n v="536"/>
    <n v="91"/>
    <x v="8"/>
    <x v="2"/>
    <x v="5"/>
    <x v="0"/>
    <x v="126"/>
    <x v="125"/>
    <x v="0"/>
    <x v="0"/>
  </r>
  <r>
    <x v="93"/>
    <n v="6"/>
    <n v="3"/>
    <x v="8"/>
    <x v="2"/>
    <x v="7"/>
    <x v="0"/>
    <x v="15"/>
    <x v="85"/>
    <x v="2"/>
    <x v="2"/>
  </r>
  <r>
    <x v="0"/>
    <n v="523"/>
    <n v="204"/>
    <x v="0"/>
    <x v="2"/>
    <x v="5"/>
    <x v="0"/>
    <x v="0"/>
    <x v="0"/>
    <x v="0"/>
    <x v="0"/>
  </r>
  <r>
    <x v="149"/>
    <n v="27"/>
    <n v="9"/>
    <x v="5"/>
    <x v="2"/>
    <x v="14"/>
    <x v="3"/>
    <x v="132"/>
    <x v="132"/>
    <x v="6"/>
    <x v="8"/>
  </r>
  <r>
    <x v="150"/>
    <n v="516"/>
    <n v="392"/>
    <x v="2"/>
    <x v="1"/>
    <x v="1"/>
    <x v="0"/>
    <x v="133"/>
    <x v="133"/>
    <x v="14"/>
    <x v="19"/>
  </r>
  <r>
    <x v="151"/>
    <n v="504"/>
    <n v="116"/>
    <x v="9"/>
    <x v="1"/>
    <x v="2"/>
    <x v="0"/>
    <x v="134"/>
    <x v="134"/>
    <x v="2"/>
    <x v="4"/>
  </r>
  <r>
    <x v="152"/>
    <n v="502"/>
    <n v="84"/>
    <x v="3"/>
    <x v="0"/>
    <x v="4"/>
    <x v="0"/>
    <x v="105"/>
    <x v="135"/>
    <x v="6"/>
    <x v="23"/>
  </r>
  <r>
    <x v="153"/>
    <n v="734"/>
    <n v="213"/>
    <x v="7"/>
    <x v="0"/>
    <x v="0"/>
    <x v="2"/>
    <x v="135"/>
    <x v="115"/>
    <x v="0"/>
    <x v="0"/>
  </r>
  <r>
    <x v="154"/>
    <n v="42"/>
    <n v="12"/>
    <x v="5"/>
    <x v="2"/>
    <x v="8"/>
    <x v="0"/>
    <x v="136"/>
    <x v="136"/>
    <x v="0"/>
    <x v="0"/>
  </r>
  <r>
    <x v="155"/>
    <n v="29"/>
    <n v="11"/>
    <x v="3"/>
    <x v="2"/>
    <x v="9"/>
    <x v="0"/>
    <x v="137"/>
    <x v="137"/>
    <x v="2"/>
    <x v="4"/>
  </r>
  <r>
    <x v="156"/>
    <n v="240"/>
    <n v="12"/>
    <x v="7"/>
    <x v="2"/>
    <x v="8"/>
    <x v="3"/>
    <x v="138"/>
    <x v="138"/>
    <x v="18"/>
    <x v="24"/>
  </r>
  <r>
    <x v="157"/>
    <n v="496"/>
    <n v="-79"/>
    <x v="5"/>
    <x v="2"/>
    <x v="5"/>
    <x v="0"/>
    <x v="139"/>
    <x v="139"/>
    <x v="18"/>
    <x v="24"/>
  </r>
  <r>
    <x v="158"/>
    <n v="485"/>
    <n v="29"/>
    <x v="3"/>
    <x v="0"/>
    <x v="0"/>
    <x v="0"/>
    <x v="140"/>
    <x v="122"/>
    <x v="1"/>
    <x v="10"/>
  </r>
  <r>
    <x v="159"/>
    <n v="31"/>
    <n v="-11"/>
    <x v="9"/>
    <x v="2"/>
    <x v="9"/>
    <x v="3"/>
    <x v="141"/>
    <x v="140"/>
    <x v="2"/>
    <x v="4"/>
  </r>
  <r>
    <x v="160"/>
    <n v="676"/>
    <n v="151"/>
    <x v="9"/>
    <x v="0"/>
    <x v="3"/>
    <x v="2"/>
    <x v="142"/>
    <x v="141"/>
    <x v="8"/>
    <x v="11"/>
  </r>
  <r>
    <x v="125"/>
    <n v="23"/>
    <n v="8"/>
    <x v="5"/>
    <x v="2"/>
    <x v="7"/>
    <x v="4"/>
    <x v="71"/>
    <x v="113"/>
    <x v="0"/>
    <x v="0"/>
  </r>
  <r>
    <x v="161"/>
    <n v="13"/>
    <n v="3"/>
    <x v="5"/>
    <x v="2"/>
    <x v="7"/>
    <x v="0"/>
    <x v="143"/>
    <x v="142"/>
    <x v="16"/>
    <x v="20"/>
  </r>
  <r>
    <x v="162"/>
    <n v="180"/>
    <n v="0"/>
    <x v="2"/>
    <x v="2"/>
    <x v="11"/>
    <x v="0"/>
    <x v="51"/>
    <x v="143"/>
    <x v="11"/>
    <x v="14"/>
  </r>
  <r>
    <x v="1"/>
    <n v="671"/>
    <n v="114"/>
    <x v="6"/>
    <x v="0"/>
    <x v="4"/>
    <x v="2"/>
    <x v="1"/>
    <x v="1"/>
    <x v="1"/>
    <x v="1"/>
  </r>
  <r>
    <x v="163"/>
    <n v="22"/>
    <n v="11"/>
    <x v="9"/>
    <x v="2"/>
    <x v="8"/>
    <x v="0"/>
    <x v="144"/>
    <x v="92"/>
    <x v="6"/>
    <x v="23"/>
  </r>
  <r>
    <x v="87"/>
    <n v="668"/>
    <n v="-31"/>
    <x v="9"/>
    <x v="0"/>
    <x v="3"/>
    <x v="2"/>
    <x v="83"/>
    <x v="80"/>
    <x v="5"/>
    <x v="6"/>
  </r>
  <r>
    <x v="92"/>
    <n v="145"/>
    <n v="0"/>
    <x v="9"/>
    <x v="2"/>
    <x v="6"/>
    <x v="3"/>
    <x v="87"/>
    <x v="84"/>
    <x v="3"/>
    <x v="3"/>
  </r>
  <r>
    <x v="164"/>
    <n v="24"/>
    <n v="8"/>
    <x v="5"/>
    <x v="2"/>
    <x v="9"/>
    <x v="4"/>
    <x v="101"/>
    <x v="144"/>
    <x v="7"/>
    <x v="17"/>
  </r>
  <r>
    <x v="57"/>
    <n v="476"/>
    <n v="0"/>
    <x v="9"/>
    <x v="1"/>
    <x v="1"/>
    <x v="0"/>
    <x v="55"/>
    <x v="55"/>
    <x v="14"/>
    <x v="19"/>
  </r>
  <r>
    <x v="153"/>
    <n v="24"/>
    <n v="11"/>
    <x v="4"/>
    <x v="2"/>
    <x v="7"/>
    <x v="4"/>
    <x v="135"/>
    <x v="115"/>
    <x v="0"/>
    <x v="0"/>
  </r>
  <r>
    <x v="5"/>
    <n v="37"/>
    <n v="3"/>
    <x v="9"/>
    <x v="2"/>
    <x v="7"/>
    <x v="0"/>
    <x v="5"/>
    <x v="5"/>
    <x v="1"/>
    <x v="1"/>
  </r>
  <r>
    <x v="165"/>
    <n v="152"/>
    <n v="50"/>
    <x v="7"/>
    <x v="2"/>
    <x v="11"/>
    <x v="3"/>
    <x v="145"/>
    <x v="145"/>
    <x v="8"/>
    <x v="11"/>
  </r>
  <r>
    <x v="166"/>
    <n v="32"/>
    <n v="11"/>
    <x v="5"/>
    <x v="2"/>
    <x v="12"/>
    <x v="3"/>
    <x v="146"/>
    <x v="146"/>
    <x v="0"/>
    <x v="0"/>
  </r>
  <r>
    <x v="167"/>
    <n v="52"/>
    <n v="11"/>
    <x v="4"/>
    <x v="2"/>
    <x v="12"/>
    <x v="0"/>
    <x v="68"/>
    <x v="147"/>
    <x v="7"/>
    <x v="9"/>
  </r>
  <r>
    <x v="168"/>
    <n v="24"/>
    <n v="11"/>
    <x v="9"/>
    <x v="2"/>
    <x v="7"/>
    <x v="4"/>
    <x v="76"/>
    <x v="55"/>
    <x v="14"/>
    <x v="19"/>
  </r>
  <r>
    <x v="91"/>
    <n v="473"/>
    <n v="42"/>
    <x v="3"/>
    <x v="1"/>
    <x v="1"/>
    <x v="0"/>
    <x v="46"/>
    <x v="83"/>
    <x v="6"/>
    <x v="8"/>
  </r>
  <r>
    <x v="169"/>
    <n v="263"/>
    <n v="50"/>
    <x v="4"/>
    <x v="2"/>
    <x v="11"/>
    <x v="0"/>
    <x v="68"/>
    <x v="148"/>
    <x v="2"/>
    <x v="4"/>
  </r>
  <r>
    <x v="170"/>
    <n v="61"/>
    <n v="11"/>
    <x v="9"/>
    <x v="2"/>
    <x v="8"/>
    <x v="0"/>
    <x v="147"/>
    <x v="4"/>
    <x v="1"/>
    <x v="1"/>
  </r>
  <r>
    <x v="171"/>
    <n v="469"/>
    <n v="-459"/>
    <x v="9"/>
    <x v="0"/>
    <x v="0"/>
    <x v="0"/>
    <x v="148"/>
    <x v="149"/>
    <x v="2"/>
    <x v="4"/>
  </r>
  <r>
    <x v="172"/>
    <n v="1272"/>
    <n v="547"/>
    <x v="5"/>
    <x v="0"/>
    <x v="4"/>
    <x v="0"/>
    <x v="115"/>
    <x v="38"/>
    <x v="9"/>
    <x v="12"/>
  </r>
  <r>
    <x v="168"/>
    <n v="169"/>
    <n v="0"/>
    <x v="9"/>
    <x v="0"/>
    <x v="13"/>
    <x v="0"/>
    <x v="76"/>
    <x v="55"/>
    <x v="14"/>
    <x v="19"/>
  </r>
  <r>
    <x v="103"/>
    <n v="25"/>
    <n v="11"/>
    <x v="9"/>
    <x v="2"/>
    <x v="12"/>
    <x v="4"/>
    <x v="95"/>
    <x v="94"/>
    <x v="0"/>
    <x v="0"/>
  </r>
  <r>
    <x v="89"/>
    <n v="457"/>
    <n v="-41"/>
    <x v="3"/>
    <x v="2"/>
    <x v="6"/>
    <x v="0"/>
    <x v="85"/>
    <x v="71"/>
    <x v="0"/>
    <x v="0"/>
  </r>
  <r>
    <x v="103"/>
    <n v="455"/>
    <n v="77"/>
    <x v="2"/>
    <x v="0"/>
    <x v="13"/>
    <x v="0"/>
    <x v="95"/>
    <x v="94"/>
    <x v="0"/>
    <x v="0"/>
  </r>
  <r>
    <x v="96"/>
    <n v="25"/>
    <n v="2"/>
    <x v="5"/>
    <x v="2"/>
    <x v="7"/>
    <x v="4"/>
    <x v="51"/>
    <x v="88"/>
    <x v="15"/>
    <x v="16"/>
  </r>
  <r>
    <x v="173"/>
    <n v="450"/>
    <n v="-90"/>
    <x v="9"/>
    <x v="0"/>
    <x v="3"/>
    <x v="0"/>
    <x v="149"/>
    <x v="150"/>
    <x v="2"/>
    <x v="4"/>
  </r>
  <r>
    <x v="174"/>
    <n v="30"/>
    <n v="-35"/>
    <x v="8"/>
    <x v="1"/>
    <x v="1"/>
    <x v="0"/>
    <x v="150"/>
    <x v="151"/>
    <x v="13"/>
    <x v="16"/>
  </r>
  <r>
    <x v="175"/>
    <n v="659"/>
    <n v="-37"/>
    <x v="5"/>
    <x v="1"/>
    <x v="2"/>
    <x v="2"/>
    <x v="1"/>
    <x v="152"/>
    <x v="10"/>
    <x v="13"/>
  </r>
  <r>
    <x v="176"/>
    <n v="448"/>
    <n v="148"/>
    <x v="5"/>
    <x v="0"/>
    <x v="3"/>
    <x v="0"/>
    <x v="50"/>
    <x v="153"/>
    <x v="9"/>
    <x v="12"/>
  </r>
  <r>
    <x v="177"/>
    <n v="446"/>
    <n v="53"/>
    <x v="9"/>
    <x v="0"/>
    <x v="3"/>
    <x v="0"/>
    <x v="71"/>
    <x v="154"/>
    <x v="7"/>
    <x v="9"/>
  </r>
  <r>
    <x v="178"/>
    <n v="98"/>
    <n v="-45"/>
    <x v="5"/>
    <x v="1"/>
    <x v="1"/>
    <x v="3"/>
    <x v="151"/>
    <x v="155"/>
    <x v="0"/>
    <x v="0"/>
  </r>
  <r>
    <x v="1"/>
    <n v="443"/>
    <n v="11"/>
    <x v="8"/>
    <x v="2"/>
    <x v="6"/>
    <x v="0"/>
    <x v="1"/>
    <x v="1"/>
    <x v="1"/>
    <x v="1"/>
  </r>
  <r>
    <x v="87"/>
    <n v="427"/>
    <n v="-50"/>
    <x v="0"/>
    <x v="0"/>
    <x v="4"/>
    <x v="0"/>
    <x v="83"/>
    <x v="80"/>
    <x v="5"/>
    <x v="6"/>
  </r>
  <r>
    <x v="123"/>
    <n v="656"/>
    <n v="-36"/>
    <x v="5"/>
    <x v="1"/>
    <x v="2"/>
    <x v="2"/>
    <x v="114"/>
    <x v="111"/>
    <x v="16"/>
    <x v="20"/>
  </r>
  <r>
    <x v="179"/>
    <n v="424"/>
    <n v="161"/>
    <x v="5"/>
    <x v="2"/>
    <x v="6"/>
    <x v="0"/>
    <x v="1"/>
    <x v="156"/>
    <x v="12"/>
    <x v="15"/>
  </r>
  <r>
    <x v="76"/>
    <n v="27"/>
    <n v="8"/>
    <x v="5"/>
    <x v="2"/>
    <x v="14"/>
    <x v="4"/>
    <x v="72"/>
    <x v="71"/>
    <x v="0"/>
    <x v="0"/>
  </r>
  <r>
    <x v="4"/>
    <n v="424"/>
    <n v="-272"/>
    <x v="4"/>
    <x v="0"/>
    <x v="4"/>
    <x v="0"/>
    <x v="4"/>
    <x v="4"/>
    <x v="2"/>
    <x v="2"/>
  </r>
  <r>
    <x v="180"/>
    <n v="202"/>
    <n v="4"/>
    <x v="3"/>
    <x v="2"/>
    <x v="7"/>
    <x v="0"/>
    <x v="152"/>
    <x v="75"/>
    <x v="3"/>
    <x v="3"/>
  </r>
  <r>
    <x v="154"/>
    <n v="1275"/>
    <n v="357"/>
    <x v="5"/>
    <x v="0"/>
    <x v="4"/>
    <x v="3"/>
    <x v="136"/>
    <x v="136"/>
    <x v="0"/>
    <x v="0"/>
  </r>
  <r>
    <x v="14"/>
    <n v="418"/>
    <n v="70"/>
    <x v="0"/>
    <x v="0"/>
    <x v="4"/>
    <x v="0"/>
    <x v="14"/>
    <x v="14"/>
    <x v="1"/>
    <x v="1"/>
  </r>
  <r>
    <x v="181"/>
    <n v="417"/>
    <n v="49"/>
    <x v="9"/>
    <x v="0"/>
    <x v="0"/>
    <x v="0"/>
    <x v="153"/>
    <x v="157"/>
    <x v="0"/>
    <x v="18"/>
  </r>
  <r>
    <x v="18"/>
    <n v="199"/>
    <n v="48"/>
    <x v="3"/>
    <x v="2"/>
    <x v="11"/>
    <x v="3"/>
    <x v="18"/>
    <x v="18"/>
    <x v="7"/>
    <x v="9"/>
  </r>
  <r>
    <x v="129"/>
    <n v="385"/>
    <n v="-77"/>
    <x v="11"/>
    <x v="1"/>
    <x v="15"/>
    <x v="3"/>
    <x v="119"/>
    <x v="117"/>
    <x v="2"/>
    <x v="4"/>
  </r>
  <r>
    <x v="132"/>
    <n v="414"/>
    <n v="199"/>
    <x v="9"/>
    <x v="0"/>
    <x v="4"/>
    <x v="0"/>
    <x v="40"/>
    <x v="14"/>
    <x v="8"/>
    <x v="11"/>
  </r>
  <r>
    <x v="10"/>
    <n v="97"/>
    <n v="-45"/>
    <x v="3"/>
    <x v="2"/>
    <x v="6"/>
    <x v="0"/>
    <x v="10"/>
    <x v="10"/>
    <x v="0"/>
    <x v="0"/>
  </r>
  <r>
    <x v="182"/>
    <n v="648"/>
    <n v="50"/>
    <x v="7"/>
    <x v="0"/>
    <x v="0"/>
    <x v="2"/>
    <x v="23"/>
    <x v="115"/>
    <x v="11"/>
    <x v="14"/>
  </r>
  <r>
    <x v="183"/>
    <n v="27"/>
    <n v="-25"/>
    <x v="5"/>
    <x v="2"/>
    <x v="16"/>
    <x v="4"/>
    <x v="154"/>
    <x v="158"/>
    <x v="3"/>
    <x v="3"/>
  </r>
  <r>
    <x v="184"/>
    <n v="27"/>
    <n v="12"/>
    <x v="8"/>
    <x v="2"/>
    <x v="11"/>
    <x v="4"/>
    <x v="155"/>
    <x v="21"/>
    <x v="2"/>
    <x v="4"/>
  </r>
  <r>
    <x v="185"/>
    <n v="27"/>
    <n v="1"/>
    <x v="8"/>
    <x v="2"/>
    <x v="11"/>
    <x v="3"/>
    <x v="144"/>
    <x v="159"/>
    <x v="7"/>
    <x v="17"/>
  </r>
  <r>
    <x v="37"/>
    <n v="413"/>
    <n v="-314"/>
    <x v="6"/>
    <x v="1"/>
    <x v="1"/>
    <x v="0"/>
    <x v="35"/>
    <x v="37"/>
    <x v="0"/>
    <x v="0"/>
  </r>
  <r>
    <x v="99"/>
    <n v="53"/>
    <n v="2"/>
    <x v="3"/>
    <x v="2"/>
    <x v="7"/>
    <x v="0"/>
    <x v="92"/>
    <x v="91"/>
    <x v="0"/>
    <x v="18"/>
  </r>
  <r>
    <x v="51"/>
    <n v="29"/>
    <n v="8"/>
    <x v="4"/>
    <x v="2"/>
    <x v="7"/>
    <x v="3"/>
    <x v="49"/>
    <x v="50"/>
    <x v="13"/>
    <x v="16"/>
  </r>
  <r>
    <x v="186"/>
    <n v="30"/>
    <n v="13"/>
    <x v="8"/>
    <x v="2"/>
    <x v="14"/>
    <x v="3"/>
    <x v="156"/>
    <x v="160"/>
    <x v="13"/>
    <x v="16"/>
  </r>
  <r>
    <x v="187"/>
    <n v="412"/>
    <n v="412"/>
    <x v="7"/>
    <x v="2"/>
    <x v="6"/>
    <x v="0"/>
    <x v="44"/>
    <x v="161"/>
    <x v="2"/>
    <x v="4"/>
  </r>
  <r>
    <x v="188"/>
    <n v="646"/>
    <n v="-23"/>
    <x v="5"/>
    <x v="0"/>
    <x v="3"/>
    <x v="2"/>
    <x v="157"/>
    <x v="157"/>
    <x v="9"/>
    <x v="12"/>
  </r>
  <r>
    <x v="93"/>
    <n v="30"/>
    <n v="-5"/>
    <x v="4"/>
    <x v="2"/>
    <x v="11"/>
    <x v="3"/>
    <x v="15"/>
    <x v="85"/>
    <x v="2"/>
    <x v="2"/>
  </r>
  <r>
    <x v="99"/>
    <n v="618"/>
    <n v="27"/>
    <x v="3"/>
    <x v="1"/>
    <x v="2"/>
    <x v="2"/>
    <x v="92"/>
    <x v="91"/>
    <x v="0"/>
    <x v="18"/>
  </r>
  <r>
    <x v="189"/>
    <n v="143"/>
    <n v="-124"/>
    <x v="4"/>
    <x v="2"/>
    <x v="6"/>
    <x v="3"/>
    <x v="62"/>
    <x v="162"/>
    <x v="7"/>
    <x v="9"/>
  </r>
  <r>
    <x v="37"/>
    <n v="31"/>
    <n v="1"/>
    <x v="5"/>
    <x v="2"/>
    <x v="7"/>
    <x v="3"/>
    <x v="35"/>
    <x v="37"/>
    <x v="0"/>
    <x v="0"/>
  </r>
  <r>
    <x v="98"/>
    <n v="409"/>
    <n v="86"/>
    <x v="9"/>
    <x v="2"/>
    <x v="6"/>
    <x v="0"/>
    <x v="91"/>
    <x v="90"/>
    <x v="4"/>
    <x v="5"/>
  </r>
  <r>
    <x v="93"/>
    <n v="406"/>
    <n v="126"/>
    <x v="5"/>
    <x v="2"/>
    <x v="6"/>
    <x v="0"/>
    <x v="15"/>
    <x v="85"/>
    <x v="2"/>
    <x v="2"/>
  </r>
  <r>
    <x v="190"/>
    <n v="565"/>
    <n v="66"/>
    <x v="0"/>
    <x v="2"/>
    <x v="6"/>
    <x v="2"/>
    <x v="120"/>
    <x v="163"/>
    <x v="10"/>
    <x v="13"/>
  </r>
  <r>
    <x v="135"/>
    <n v="85"/>
    <n v="2"/>
    <x v="7"/>
    <x v="2"/>
    <x v="11"/>
    <x v="0"/>
    <x v="122"/>
    <x v="8"/>
    <x v="4"/>
    <x v="5"/>
  </r>
  <r>
    <x v="191"/>
    <n v="561"/>
    <n v="118"/>
    <x v="4"/>
    <x v="1"/>
    <x v="2"/>
    <x v="2"/>
    <x v="69"/>
    <x v="164"/>
    <x v="8"/>
    <x v="11"/>
  </r>
  <r>
    <x v="192"/>
    <n v="503"/>
    <n v="-56"/>
    <x v="5"/>
    <x v="2"/>
    <x v="5"/>
    <x v="0"/>
    <x v="158"/>
    <x v="140"/>
    <x v="5"/>
    <x v="6"/>
  </r>
  <r>
    <x v="156"/>
    <n v="31"/>
    <n v="14"/>
    <x v="9"/>
    <x v="2"/>
    <x v="11"/>
    <x v="3"/>
    <x v="138"/>
    <x v="138"/>
    <x v="18"/>
    <x v="24"/>
  </r>
  <r>
    <x v="193"/>
    <n v="398"/>
    <n v="111"/>
    <x v="2"/>
    <x v="2"/>
    <x v="7"/>
    <x v="0"/>
    <x v="159"/>
    <x v="16"/>
    <x v="1"/>
    <x v="1"/>
  </r>
  <r>
    <x v="194"/>
    <n v="388"/>
    <n v="93"/>
    <x v="5"/>
    <x v="1"/>
    <x v="2"/>
    <x v="0"/>
    <x v="147"/>
    <x v="165"/>
    <x v="7"/>
    <x v="17"/>
  </r>
  <r>
    <x v="34"/>
    <n v="498"/>
    <n v="-116"/>
    <x v="3"/>
    <x v="2"/>
    <x v="6"/>
    <x v="3"/>
    <x v="33"/>
    <x v="34"/>
    <x v="0"/>
    <x v="18"/>
  </r>
  <r>
    <x v="195"/>
    <n v="561"/>
    <n v="212"/>
    <x v="9"/>
    <x v="2"/>
    <x v="6"/>
    <x v="2"/>
    <x v="160"/>
    <x v="166"/>
    <x v="1"/>
    <x v="10"/>
  </r>
  <r>
    <x v="196"/>
    <n v="61"/>
    <n v="3"/>
    <x v="3"/>
    <x v="2"/>
    <x v="7"/>
    <x v="0"/>
    <x v="92"/>
    <x v="167"/>
    <x v="2"/>
    <x v="4"/>
  </r>
  <r>
    <x v="197"/>
    <n v="34"/>
    <n v="-22"/>
    <x v="3"/>
    <x v="2"/>
    <x v="14"/>
    <x v="0"/>
    <x v="161"/>
    <x v="168"/>
    <x v="13"/>
    <x v="16"/>
  </r>
  <r>
    <x v="198"/>
    <n v="32"/>
    <n v="6"/>
    <x v="9"/>
    <x v="2"/>
    <x v="16"/>
    <x v="3"/>
    <x v="162"/>
    <x v="49"/>
    <x v="6"/>
    <x v="8"/>
  </r>
  <r>
    <x v="16"/>
    <n v="623"/>
    <n v="-192"/>
    <x v="9"/>
    <x v="1"/>
    <x v="10"/>
    <x v="3"/>
    <x v="16"/>
    <x v="16"/>
    <x v="1"/>
    <x v="1"/>
  </r>
  <r>
    <x v="199"/>
    <n v="520"/>
    <n v="151"/>
    <x v="9"/>
    <x v="0"/>
    <x v="4"/>
    <x v="2"/>
    <x v="163"/>
    <x v="90"/>
    <x v="4"/>
    <x v="5"/>
  </r>
  <r>
    <x v="82"/>
    <n v="32"/>
    <n v="-16"/>
    <x v="7"/>
    <x v="2"/>
    <x v="6"/>
    <x v="3"/>
    <x v="78"/>
    <x v="77"/>
    <x v="0"/>
    <x v="18"/>
  </r>
  <r>
    <x v="10"/>
    <n v="32"/>
    <n v="-5"/>
    <x v="4"/>
    <x v="2"/>
    <x v="7"/>
    <x v="3"/>
    <x v="10"/>
    <x v="10"/>
    <x v="0"/>
    <x v="0"/>
  </r>
  <r>
    <x v="200"/>
    <n v="510"/>
    <n v="234"/>
    <x v="7"/>
    <x v="0"/>
    <x v="0"/>
    <x v="1"/>
    <x v="61"/>
    <x v="104"/>
    <x v="6"/>
    <x v="23"/>
  </r>
  <r>
    <x v="201"/>
    <n v="382"/>
    <n v="68"/>
    <x v="9"/>
    <x v="2"/>
    <x v="6"/>
    <x v="0"/>
    <x v="164"/>
    <x v="95"/>
    <x v="2"/>
    <x v="4"/>
  </r>
  <r>
    <x v="85"/>
    <n v="33"/>
    <n v="13"/>
    <x v="9"/>
    <x v="2"/>
    <x v="12"/>
    <x v="3"/>
    <x v="81"/>
    <x v="76"/>
    <x v="6"/>
    <x v="23"/>
  </r>
  <r>
    <x v="28"/>
    <n v="381"/>
    <n v="-13"/>
    <x v="5"/>
    <x v="2"/>
    <x v="6"/>
    <x v="0"/>
    <x v="7"/>
    <x v="28"/>
    <x v="11"/>
    <x v="14"/>
  </r>
  <r>
    <x v="58"/>
    <n v="490"/>
    <n v="88"/>
    <x v="5"/>
    <x v="0"/>
    <x v="13"/>
    <x v="1"/>
    <x v="56"/>
    <x v="56"/>
    <x v="17"/>
    <x v="21"/>
  </r>
  <r>
    <x v="202"/>
    <n v="381"/>
    <n v="144"/>
    <x v="5"/>
    <x v="2"/>
    <x v="6"/>
    <x v="0"/>
    <x v="18"/>
    <x v="141"/>
    <x v="2"/>
    <x v="2"/>
  </r>
  <r>
    <x v="198"/>
    <n v="487"/>
    <n v="143"/>
    <x v="3"/>
    <x v="0"/>
    <x v="4"/>
    <x v="1"/>
    <x v="162"/>
    <x v="49"/>
    <x v="6"/>
    <x v="8"/>
  </r>
  <r>
    <x v="177"/>
    <n v="366"/>
    <n v="84"/>
    <x v="9"/>
    <x v="1"/>
    <x v="2"/>
    <x v="0"/>
    <x v="71"/>
    <x v="154"/>
    <x v="7"/>
    <x v="9"/>
  </r>
  <r>
    <x v="178"/>
    <n v="33"/>
    <n v="-29"/>
    <x v="9"/>
    <x v="2"/>
    <x v="16"/>
    <x v="3"/>
    <x v="151"/>
    <x v="155"/>
    <x v="0"/>
    <x v="0"/>
  </r>
  <r>
    <x v="105"/>
    <n v="365"/>
    <n v="107"/>
    <x v="9"/>
    <x v="0"/>
    <x v="4"/>
    <x v="0"/>
    <x v="97"/>
    <x v="96"/>
    <x v="2"/>
    <x v="4"/>
  </r>
  <r>
    <x v="187"/>
    <n v="207"/>
    <n v="-100"/>
    <x v="5"/>
    <x v="2"/>
    <x v="6"/>
    <x v="3"/>
    <x v="44"/>
    <x v="161"/>
    <x v="2"/>
    <x v="4"/>
  </r>
  <r>
    <x v="168"/>
    <n v="359"/>
    <n v="-338"/>
    <x v="4"/>
    <x v="1"/>
    <x v="2"/>
    <x v="0"/>
    <x v="76"/>
    <x v="55"/>
    <x v="14"/>
    <x v="19"/>
  </r>
  <r>
    <x v="104"/>
    <n v="351"/>
    <n v="-47"/>
    <x v="2"/>
    <x v="0"/>
    <x v="4"/>
    <x v="0"/>
    <x v="96"/>
    <x v="95"/>
    <x v="2"/>
    <x v="4"/>
  </r>
  <r>
    <x v="81"/>
    <n v="485"/>
    <n v="199"/>
    <x v="3"/>
    <x v="2"/>
    <x v="6"/>
    <x v="1"/>
    <x v="77"/>
    <x v="76"/>
    <x v="16"/>
    <x v="20"/>
  </r>
  <r>
    <x v="8"/>
    <n v="37"/>
    <n v="-23"/>
    <x v="3"/>
    <x v="2"/>
    <x v="16"/>
    <x v="3"/>
    <x v="8"/>
    <x v="8"/>
    <x v="4"/>
    <x v="5"/>
  </r>
  <r>
    <x v="86"/>
    <n v="34"/>
    <n v="10"/>
    <x v="5"/>
    <x v="2"/>
    <x v="14"/>
    <x v="4"/>
    <x v="82"/>
    <x v="79"/>
    <x v="0"/>
    <x v="0"/>
  </r>
  <r>
    <x v="203"/>
    <n v="346"/>
    <n v="108"/>
    <x v="9"/>
    <x v="1"/>
    <x v="1"/>
    <x v="0"/>
    <x v="165"/>
    <x v="169"/>
    <x v="2"/>
    <x v="2"/>
  </r>
  <r>
    <x v="126"/>
    <n v="342"/>
    <n v="-103"/>
    <x v="3"/>
    <x v="0"/>
    <x v="0"/>
    <x v="0"/>
    <x v="116"/>
    <x v="114"/>
    <x v="6"/>
    <x v="8"/>
  </r>
  <r>
    <x v="204"/>
    <n v="35"/>
    <n v="-8"/>
    <x v="5"/>
    <x v="1"/>
    <x v="15"/>
    <x v="4"/>
    <x v="161"/>
    <x v="28"/>
    <x v="12"/>
    <x v="15"/>
  </r>
  <r>
    <x v="205"/>
    <n v="121"/>
    <n v="41"/>
    <x v="3"/>
    <x v="2"/>
    <x v="11"/>
    <x v="3"/>
    <x v="147"/>
    <x v="170"/>
    <x v="0"/>
    <x v="0"/>
  </r>
  <r>
    <x v="103"/>
    <n v="336"/>
    <n v="57"/>
    <x v="5"/>
    <x v="0"/>
    <x v="4"/>
    <x v="0"/>
    <x v="95"/>
    <x v="94"/>
    <x v="0"/>
    <x v="0"/>
  </r>
  <r>
    <x v="9"/>
    <n v="336"/>
    <n v="71"/>
    <x v="9"/>
    <x v="1"/>
    <x v="2"/>
    <x v="0"/>
    <x v="9"/>
    <x v="9"/>
    <x v="5"/>
    <x v="6"/>
  </r>
  <r>
    <x v="206"/>
    <n v="27"/>
    <n v="4"/>
    <x v="8"/>
    <x v="2"/>
    <x v="7"/>
    <x v="0"/>
    <x v="51"/>
    <x v="72"/>
    <x v="16"/>
    <x v="20"/>
  </r>
  <r>
    <x v="141"/>
    <n v="333"/>
    <n v="50"/>
    <x v="5"/>
    <x v="0"/>
    <x v="4"/>
    <x v="0"/>
    <x v="60"/>
    <x v="126"/>
    <x v="8"/>
    <x v="11"/>
  </r>
  <r>
    <x v="5"/>
    <n v="36"/>
    <n v="7"/>
    <x v="9"/>
    <x v="2"/>
    <x v="12"/>
    <x v="4"/>
    <x v="5"/>
    <x v="5"/>
    <x v="1"/>
    <x v="1"/>
  </r>
  <r>
    <x v="207"/>
    <n v="333"/>
    <n v="-15"/>
    <x v="9"/>
    <x v="0"/>
    <x v="4"/>
    <x v="0"/>
    <x v="166"/>
    <x v="171"/>
    <x v="0"/>
    <x v="18"/>
  </r>
  <r>
    <x v="208"/>
    <n v="327"/>
    <n v="114"/>
    <x v="3"/>
    <x v="2"/>
    <x v="5"/>
    <x v="0"/>
    <x v="46"/>
    <x v="172"/>
    <x v="0"/>
    <x v="0"/>
  </r>
  <r>
    <x v="209"/>
    <n v="18"/>
    <n v="6"/>
    <x v="9"/>
    <x v="2"/>
    <x v="7"/>
    <x v="3"/>
    <x v="23"/>
    <x v="173"/>
    <x v="2"/>
    <x v="4"/>
  </r>
  <r>
    <x v="198"/>
    <n v="325"/>
    <n v="32"/>
    <x v="0"/>
    <x v="2"/>
    <x v="14"/>
    <x v="0"/>
    <x v="162"/>
    <x v="49"/>
    <x v="6"/>
    <x v="8"/>
  </r>
  <r>
    <x v="210"/>
    <n v="482"/>
    <n v="-6"/>
    <x v="0"/>
    <x v="0"/>
    <x v="0"/>
    <x v="1"/>
    <x v="167"/>
    <x v="174"/>
    <x v="0"/>
    <x v="0"/>
  </r>
  <r>
    <x v="13"/>
    <n v="465"/>
    <n v="-33"/>
    <x v="3"/>
    <x v="0"/>
    <x v="4"/>
    <x v="1"/>
    <x v="13"/>
    <x v="13"/>
    <x v="2"/>
    <x v="4"/>
  </r>
  <r>
    <x v="112"/>
    <n v="40"/>
    <n v="-12"/>
    <x v="9"/>
    <x v="2"/>
    <x v="16"/>
    <x v="0"/>
    <x v="103"/>
    <x v="101"/>
    <x v="4"/>
    <x v="5"/>
  </r>
  <r>
    <x v="117"/>
    <n v="107"/>
    <n v="36"/>
    <x v="7"/>
    <x v="2"/>
    <x v="11"/>
    <x v="0"/>
    <x v="108"/>
    <x v="106"/>
    <x v="0"/>
    <x v="18"/>
  </r>
  <r>
    <x v="15"/>
    <n v="312"/>
    <n v="-312"/>
    <x v="0"/>
    <x v="1"/>
    <x v="1"/>
    <x v="0"/>
    <x v="15"/>
    <x v="15"/>
    <x v="0"/>
    <x v="0"/>
  </r>
  <r>
    <x v="211"/>
    <n v="451"/>
    <n v="25"/>
    <x v="9"/>
    <x v="0"/>
    <x v="4"/>
    <x v="1"/>
    <x v="17"/>
    <x v="86"/>
    <x v="17"/>
    <x v="21"/>
  </r>
  <r>
    <x v="145"/>
    <n v="312"/>
    <n v="62"/>
    <x v="8"/>
    <x v="0"/>
    <x v="0"/>
    <x v="0"/>
    <x v="129"/>
    <x v="128"/>
    <x v="2"/>
    <x v="2"/>
  </r>
  <r>
    <x v="212"/>
    <n v="311"/>
    <n v="72"/>
    <x v="5"/>
    <x v="1"/>
    <x v="2"/>
    <x v="0"/>
    <x v="65"/>
    <x v="141"/>
    <x v="4"/>
    <x v="5"/>
  </r>
  <r>
    <x v="213"/>
    <n v="11"/>
    <n v="5"/>
    <x v="5"/>
    <x v="2"/>
    <x v="7"/>
    <x v="3"/>
    <x v="51"/>
    <x v="175"/>
    <x v="18"/>
    <x v="24"/>
  </r>
  <r>
    <x v="189"/>
    <n v="37"/>
    <n v="-5"/>
    <x v="9"/>
    <x v="2"/>
    <x v="14"/>
    <x v="4"/>
    <x v="62"/>
    <x v="162"/>
    <x v="7"/>
    <x v="9"/>
  </r>
  <r>
    <x v="214"/>
    <n v="444"/>
    <n v="-200"/>
    <x v="3"/>
    <x v="0"/>
    <x v="4"/>
    <x v="1"/>
    <x v="168"/>
    <x v="176"/>
    <x v="12"/>
    <x v="15"/>
  </r>
  <r>
    <x v="215"/>
    <n v="434"/>
    <n v="26"/>
    <x v="11"/>
    <x v="2"/>
    <x v="16"/>
    <x v="2"/>
    <x v="169"/>
    <x v="84"/>
    <x v="3"/>
    <x v="3"/>
  </r>
  <r>
    <x v="216"/>
    <n v="299"/>
    <n v="0"/>
    <x v="7"/>
    <x v="2"/>
    <x v="11"/>
    <x v="0"/>
    <x v="93"/>
    <x v="177"/>
    <x v="8"/>
    <x v="11"/>
  </r>
  <r>
    <x v="103"/>
    <n v="37"/>
    <n v="17"/>
    <x v="9"/>
    <x v="2"/>
    <x v="7"/>
    <x v="4"/>
    <x v="95"/>
    <x v="94"/>
    <x v="0"/>
    <x v="0"/>
  </r>
  <r>
    <x v="217"/>
    <n v="299"/>
    <n v="113"/>
    <x v="5"/>
    <x v="1"/>
    <x v="2"/>
    <x v="0"/>
    <x v="47"/>
    <x v="178"/>
    <x v="0"/>
    <x v="0"/>
  </r>
  <r>
    <x v="218"/>
    <n v="298"/>
    <n v="74"/>
    <x v="5"/>
    <x v="1"/>
    <x v="2"/>
    <x v="0"/>
    <x v="170"/>
    <x v="179"/>
    <x v="3"/>
    <x v="3"/>
  </r>
  <r>
    <x v="219"/>
    <n v="94"/>
    <n v="7"/>
    <x v="0"/>
    <x v="2"/>
    <x v="12"/>
    <x v="3"/>
    <x v="23"/>
    <x v="180"/>
    <x v="13"/>
    <x v="16"/>
  </r>
  <r>
    <x v="220"/>
    <n v="296"/>
    <n v="225"/>
    <x v="11"/>
    <x v="2"/>
    <x v="6"/>
    <x v="0"/>
    <x v="171"/>
    <x v="181"/>
    <x v="7"/>
    <x v="9"/>
  </r>
  <r>
    <x v="221"/>
    <n v="37"/>
    <n v="17"/>
    <x v="9"/>
    <x v="2"/>
    <x v="7"/>
    <x v="4"/>
    <x v="172"/>
    <x v="182"/>
    <x v="0"/>
    <x v="0"/>
  </r>
  <r>
    <x v="222"/>
    <n v="291"/>
    <n v="93"/>
    <x v="5"/>
    <x v="0"/>
    <x v="3"/>
    <x v="0"/>
    <x v="173"/>
    <x v="3"/>
    <x v="2"/>
    <x v="2"/>
  </r>
  <r>
    <x v="183"/>
    <n v="327"/>
    <n v="-39"/>
    <x v="8"/>
    <x v="0"/>
    <x v="4"/>
    <x v="0"/>
    <x v="154"/>
    <x v="158"/>
    <x v="3"/>
    <x v="3"/>
  </r>
  <r>
    <x v="199"/>
    <n v="291"/>
    <n v="119"/>
    <x v="11"/>
    <x v="2"/>
    <x v="6"/>
    <x v="0"/>
    <x v="163"/>
    <x v="90"/>
    <x v="4"/>
    <x v="5"/>
  </r>
  <r>
    <x v="159"/>
    <n v="287"/>
    <n v="-66"/>
    <x v="7"/>
    <x v="2"/>
    <x v="8"/>
    <x v="0"/>
    <x v="141"/>
    <x v="140"/>
    <x v="2"/>
    <x v="4"/>
  </r>
  <r>
    <x v="223"/>
    <n v="42"/>
    <n v="15"/>
    <x v="8"/>
    <x v="0"/>
    <x v="13"/>
    <x v="3"/>
    <x v="174"/>
    <x v="67"/>
    <x v="8"/>
    <x v="11"/>
  </r>
  <r>
    <x v="180"/>
    <n v="429"/>
    <n v="61"/>
    <x v="9"/>
    <x v="0"/>
    <x v="0"/>
    <x v="2"/>
    <x v="152"/>
    <x v="75"/>
    <x v="3"/>
    <x v="3"/>
  </r>
  <r>
    <x v="224"/>
    <n v="285"/>
    <n v="128"/>
    <x v="5"/>
    <x v="0"/>
    <x v="3"/>
    <x v="0"/>
    <x v="175"/>
    <x v="183"/>
    <x v="1"/>
    <x v="10"/>
  </r>
  <r>
    <x v="225"/>
    <n v="277"/>
    <n v="3"/>
    <x v="8"/>
    <x v="0"/>
    <x v="0"/>
    <x v="0"/>
    <x v="176"/>
    <x v="184"/>
    <x v="13"/>
    <x v="22"/>
  </r>
  <r>
    <x v="23"/>
    <n v="274"/>
    <n v="-7"/>
    <x v="3"/>
    <x v="0"/>
    <x v="4"/>
    <x v="0"/>
    <x v="23"/>
    <x v="23"/>
    <x v="10"/>
    <x v="13"/>
  </r>
  <r>
    <x v="226"/>
    <n v="273"/>
    <n v="-87"/>
    <x v="3"/>
    <x v="0"/>
    <x v="4"/>
    <x v="0"/>
    <x v="177"/>
    <x v="185"/>
    <x v="0"/>
    <x v="0"/>
  </r>
  <r>
    <x v="140"/>
    <n v="269"/>
    <n v="91"/>
    <x v="8"/>
    <x v="0"/>
    <x v="0"/>
    <x v="0"/>
    <x v="126"/>
    <x v="125"/>
    <x v="0"/>
    <x v="0"/>
  </r>
  <r>
    <x v="222"/>
    <n v="11"/>
    <n v="5"/>
    <x v="8"/>
    <x v="2"/>
    <x v="9"/>
    <x v="0"/>
    <x v="173"/>
    <x v="3"/>
    <x v="2"/>
    <x v="2"/>
  </r>
  <r>
    <x v="2"/>
    <n v="39"/>
    <n v="2"/>
    <x v="5"/>
    <x v="2"/>
    <x v="6"/>
    <x v="4"/>
    <x v="2"/>
    <x v="2"/>
    <x v="2"/>
    <x v="2"/>
  </r>
  <r>
    <x v="211"/>
    <n v="264"/>
    <n v="-26"/>
    <x v="9"/>
    <x v="2"/>
    <x v="5"/>
    <x v="0"/>
    <x v="17"/>
    <x v="86"/>
    <x v="17"/>
    <x v="21"/>
  </r>
  <r>
    <x v="227"/>
    <n v="40"/>
    <n v="16"/>
    <x v="9"/>
    <x v="2"/>
    <x v="7"/>
    <x v="4"/>
    <x v="139"/>
    <x v="186"/>
    <x v="5"/>
    <x v="6"/>
  </r>
  <r>
    <x v="228"/>
    <n v="41"/>
    <n v="19"/>
    <x v="5"/>
    <x v="2"/>
    <x v="14"/>
    <x v="4"/>
    <x v="178"/>
    <x v="28"/>
    <x v="12"/>
    <x v="15"/>
  </r>
  <r>
    <x v="190"/>
    <n v="253"/>
    <n v="-63"/>
    <x v="5"/>
    <x v="2"/>
    <x v="6"/>
    <x v="3"/>
    <x v="120"/>
    <x v="163"/>
    <x v="10"/>
    <x v="13"/>
  </r>
  <r>
    <x v="229"/>
    <n v="406"/>
    <n v="97"/>
    <x v="0"/>
    <x v="1"/>
    <x v="1"/>
    <x v="2"/>
    <x v="179"/>
    <x v="187"/>
    <x v="6"/>
    <x v="8"/>
  </r>
  <r>
    <x v="230"/>
    <n v="32"/>
    <n v="7"/>
    <x v="9"/>
    <x v="2"/>
    <x v="7"/>
    <x v="0"/>
    <x v="90"/>
    <x v="188"/>
    <x v="2"/>
    <x v="4"/>
  </r>
  <r>
    <x v="145"/>
    <n v="260"/>
    <n v="68"/>
    <x v="5"/>
    <x v="0"/>
    <x v="3"/>
    <x v="0"/>
    <x v="129"/>
    <x v="128"/>
    <x v="2"/>
    <x v="2"/>
  </r>
  <r>
    <x v="231"/>
    <n v="41"/>
    <n v="19"/>
    <x v="4"/>
    <x v="2"/>
    <x v="7"/>
    <x v="4"/>
    <x v="180"/>
    <x v="175"/>
    <x v="18"/>
    <x v="24"/>
  </r>
  <r>
    <x v="30"/>
    <n v="401"/>
    <n v="13"/>
    <x v="7"/>
    <x v="1"/>
    <x v="1"/>
    <x v="2"/>
    <x v="29"/>
    <x v="30"/>
    <x v="2"/>
    <x v="2"/>
  </r>
  <r>
    <x v="227"/>
    <n v="382"/>
    <n v="30"/>
    <x v="9"/>
    <x v="2"/>
    <x v="6"/>
    <x v="2"/>
    <x v="139"/>
    <x v="186"/>
    <x v="5"/>
    <x v="6"/>
  </r>
  <r>
    <x v="232"/>
    <n v="867"/>
    <n v="251"/>
    <x v="4"/>
    <x v="0"/>
    <x v="4"/>
    <x v="0"/>
    <x v="181"/>
    <x v="189"/>
    <x v="8"/>
    <x v="11"/>
  </r>
  <r>
    <x v="233"/>
    <n v="43"/>
    <n v="0"/>
    <x v="9"/>
    <x v="2"/>
    <x v="6"/>
    <x v="4"/>
    <x v="140"/>
    <x v="190"/>
    <x v="12"/>
    <x v="15"/>
  </r>
  <r>
    <x v="234"/>
    <n v="43"/>
    <n v="-43"/>
    <x v="0"/>
    <x v="2"/>
    <x v="11"/>
    <x v="4"/>
    <x v="182"/>
    <x v="191"/>
    <x v="2"/>
    <x v="4"/>
  </r>
  <r>
    <x v="185"/>
    <n v="74"/>
    <n v="29"/>
    <x v="9"/>
    <x v="2"/>
    <x v="11"/>
    <x v="0"/>
    <x v="144"/>
    <x v="159"/>
    <x v="7"/>
    <x v="17"/>
  </r>
  <r>
    <x v="15"/>
    <n v="44"/>
    <n v="-26"/>
    <x v="9"/>
    <x v="2"/>
    <x v="7"/>
    <x v="4"/>
    <x v="15"/>
    <x v="15"/>
    <x v="0"/>
    <x v="0"/>
  </r>
  <r>
    <x v="235"/>
    <n v="259"/>
    <n v="-55"/>
    <x v="5"/>
    <x v="1"/>
    <x v="1"/>
    <x v="0"/>
    <x v="45"/>
    <x v="32"/>
    <x v="13"/>
    <x v="16"/>
  </r>
  <r>
    <x v="57"/>
    <n v="257"/>
    <n v="23"/>
    <x v="4"/>
    <x v="2"/>
    <x v="7"/>
    <x v="0"/>
    <x v="55"/>
    <x v="55"/>
    <x v="14"/>
    <x v="19"/>
  </r>
  <r>
    <x v="97"/>
    <n v="76"/>
    <n v="27"/>
    <x v="4"/>
    <x v="2"/>
    <x v="11"/>
    <x v="0"/>
    <x v="90"/>
    <x v="89"/>
    <x v="0"/>
    <x v="0"/>
  </r>
  <r>
    <x v="236"/>
    <n v="44"/>
    <n v="-32"/>
    <x v="9"/>
    <x v="2"/>
    <x v="11"/>
    <x v="4"/>
    <x v="183"/>
    <x v="192"/>
    <x v="2"/>
    <x v="4"/>
  </r>
  <r>
    <x v="237"/>
    <n v="257"/>
    <n v="3"/>
    <x v="5"/>
    <x v="2"/>
    <x v="6"/>
    <x v="0"/>
    <x v="184"/>
    <x v="124"/>
    <x v="2"/>
    <x v="4"/>
  </r>
  <r>
    <x v="238"/>
    <n v="255"/>
    <n v="76"/>
    <x v="6"/>
    <x v="2"/>
    <x v="7"/>
    <x v="0"/>
    <x v="180"/>
    <x v="72"/>
    <x v="16"/>
    <x v="20"/>
  </r>
  <r>
    <x v="239"/>
    <n v="44"/>
    <n v="14"/>
    <x v="9"/>
    <x v="2"/>
    <x v="7"/>
    <x v="4"/>
    <x v="80"/>
    <x v="193"/>
    <x v="1"/>
    <x v="10"/>
  </r>
  <r>
    <x v="189"/>
    <n v="45"/>
    <n v="-2"/>
    <x v="3"/>
    <x v="2"/>
    <x v="16"/>
    <x v="0"/>
    <x v="62"/>
    <x v="162"/>
    <x v="7"/>
    <x v="9"/>
  </r>
  <r>
    <x v="0"/>
    <n v="44"/>
    <n v="-3"/>
    <x v="8"/>
    <x v="2"/>
    <x v="6"/>
    <x v="4"/>
    <x v="0"/>
    <x v="0"/>
    <x v="0"/>
    <x v="0"/>
  </r>
  <r>
    <x v="58"/>
    <n v="382"/>
    <n v="119"/>
    <x v="5"/>
    <x v="2"/>
    <x v="6"/>
    <x v="2"/>
    <x v="56"/>
    <x v="56"/>
    <x v="17"/>
    <x v="21"/>
  </r>
  <r>
    <x v="147"/>
    <n v="250"/>
    <n v="100"/>
    <x v="9"/>
    <x v="2"/>
    <x v="5"/>
    <x v="0"/>
    <x v="21"/>
    <x v="130"/>
    <x v="17"/>
    <x v="21"/>
  </r>
  <r>
    <x v="240"/>
    <n v="45"/>
    <n v="-15"/>
    <x v="5"/>
    <x v="1"/>
    <x v="1"/>
    <x v="0"/>
    <x v="50"/>
    <x v="194"/>
    <x v="7"/>
    <x v="9"/>
  </r>
  <r>
    <x v="135"/>
    <n v="246"/>
    <n v="61"/>
    <x v="5"/>
    <x v="1"/>
    <x v="2"/>
    <x v="0"/>
    <x v="122"/>
    <x v="8"/>
    <x v="4"/>
    <x v="5"/>
  </r>
  <r>
    <x v="222"/>
    <n v="50"/>
    <n v="25"/>
    <x v="4"/>
    <x v="2"/>
    <x v="11"/>
    <x v="0"/>
    <x v="173"/>
    <x v="3"/>
    <x v="2"/>
    <x v="2"/>
  </r>
  <r>
    <x v="241"/>
    <n v="246"/>
    <n v="98"/>
    <x v="4"/>
    <x v="2"/>
    <x v="7"/>
    <x v="0"/>
    <x v="1"/>
    <x v="195"/>
    <x v="2"/>
    <x v="4"/>
  </r>
  <r>
    <x v="6"/>
    <n v="44"/>
    <n v="99"/>
    <x v="9"/>
    <x v="2"/>
    <x v="8"/>
    <x v="4"/>
    <x v="6"/>
    <x v="6"/>
    <x v="3"/>
    <x v="3"/>
  </r>
  <r>
    <x v="242"/>
    <n v="245"/>
    <n v="-78"/>
    <x v="9"/>
    <x v="2"/>
    <x v="6"/>
    <x v="0"/>
    <x v="185"/>
    <x v="21"/>
    <x v="3"/>
    <x v="3"/>
  </r>
  <r>
    <x v="155"/>
    <n v="245"/>
    <n v="30"/>
    <x v="5"/>
    <x v="2"/>
    <x v="6"/>
    <x v="0"/>
    <x v="137"/>
    <x v="137"/>
    <x v="2"/>
    <x v="4"/>
  </r>
  <r>
    <x v="243"/>
    <n v="376"/>
    <n v="0"/>
    <x v="0"/>
    <x v="2"/>
    <x v="11"/>
    <x v="2"/>
    <x v="186"/>
    <x v="186"/>
    <x v="5"/>
    <x v="6"/>
  </r>
  <r>
    <x v="81"/>
    <n v="45"/>
    <n v="1"/>
    <x v="9"/>
    <x v="2"/>
    <x v="14"/>
    <x v="4"/>
    <x v="77"/>
    <x v="76"/>
    <x v="16"/>
    <x v="20"/>
  </r>
  <r>
    <x v="244"/>
    <n v="45"/>
    <n v="-28"/>
    <x v="5"/>
    <x v="2"/>
    <x v="11"/>
    <x v="4"/>
    <x v="187"/>
    <x v="196"/>
    <x v="7"/>
    <x v="9"/>
  </r>
  <r>
    <x v="245"/>
    <n v="244"/>
    <n v="-122"/>
    <x v="4"/>
    <x v="1"/>
    <x v="15"/>
    <x v="0"/>
    <x v="188"/>
    <x v="197"/>
    <x v="0"/>
    <x v="0"/>
  </r>
  <r>
    <x v="246"/>
    <n v="244"/>
    <n v="83"/>
    <x v="5"/>
    <x v="1"/>
    <x v="2"/>
    <x v="0"/>
    <x v="97"/>
    <x v="198"/>
    <x v="0"/>
    <x v="0"/>
  </r>
  <r>
    <x v="138"/>
    <n v="10"/>
    <n v="4"/>
    <x v="8"/>
    <x v="2"/>
    <x v="8"/>
    <x v="3"/>
    <x v="125"/>
    <x v="123"/>
    <x v="9"/>
    <x v="12"/>
  </r>
  <r>
    <x v="217"/>
    <n v="375"/>
    <n v="180"/>
    <x v="9"/>
    <x v="1"/>
    <x v="2"/>
    <x v="2"/>
    <x v="47"/>
    <x v="178"/>
    <x v="0"/>
    <x v="0"/>
  </r>
  <r>
    <x v="74"/>
    <n v="46"/>
    <n v="14"/>
    <x v="4"/>
    <x v="2"/>
    <x v="9"/>
    <x v="4"/>
    <x v="70"/>
    <x v="11"/>
    <x v="0"/>
    <x v="0"/>
  </r>
  <r>
    <x v="247"/>
    <n v="49"/>
    <n v="-31"/>
    <x v="5"/>
    <x v="2"/>
    <x v="11"/>
    <x v="3"/>
    <x v="189"/>
    <x v="199"/>
    <x v="1"/>
    <x v="10"/>
  </r>
  <r>
    <x v="248"/>
    <n v="47"/>
    <n v="-20"/>
    <x v="5"/>
    <x v="2"/>
    <x v="8"/>
    <x v="4"/>
    <x v="190"/>
    <x v="200"/>
    <x v="2"/>
    <x v="4"/>
  </r>
  <r>
    <x v="170"/>
    <n v="355"/>
    <n v="-114"/>
    <x v="0"/>
    <x v="2"/>
    <x v="11"/>
    <x v="2"/>
    <x v="147"/>
    <x v="4"/>
    <x v="1"/>
    <x v="1"/>
  </r>
  <r>
    <x v="249"/>
    <n v="32"/>
    <n v="8"/>
    <x v="4"/>
    <x v="2"/>
    <x v="7"/>
    <x v="3"/>
    <x v="93"/>
    <x v="201"/>
    <x v="0"/>
    <x v="0"/>
  </r>
  <r>
    <x v="0"/>
    <n v="243"/>
    <n v="-14"/>
    <x v="5"/>
    <x v="1"/>
    <x v="1"/>
    <x v="0"/>
    <x v="0"/>
    <x v="0"/>
    <x v="0"/>
    <x v="0"/>
  </r>
  <r>
    <x v="250"/>
    <n v="241"/>
    <n v="-77"/>
    <x v="3"/>
    <x v="0"/>
    <x v="0"/>
    <x v="0"/>
    <x v="98"/>
    <x v="80"/>
    <x v="5"/>
    <x v="6"/>
  </r>
  <r>
    <x v="251"/>
    <n v="47"/>
    <n v="15"/>
    <x v="4"/>
    <x v="2"/>
    <x v="6"/>
    <x v="4"/>
    <x v="88"/>
    <x v="17"/>
    <x v="6"/>
    <x v="8"/>
  </r>
  <r>
    <x v="24"/>
    <n v="50"/>
    <n v="-10"/>
    <x v="7"/>
    <x v="2"/>
    <x v="9"/>
    <x v="4"/>
    <x v="24"/>
    <x v="24"/>
    <x v="8"/>
    <x v="11"/>
  </r>
  <r>
    <x v="179"/>
    <n v="15"/>
    <n v="6"/>
    <x v="5"/>
    <x v="2"/>
    <x v="7"/>
    <x v="0"/>
    <x v="1"/>
    <x v="156"/>
    <x v="12"/>
    <x v="15"/>
  </r>
  <r>
    <x v="81"/>
    <n v="148"/>
    <n v="24"/>
    <x v="9"/>
    <x v="2"/>
    <x v="11"/>
    <x v="0"/>
    <x v="77"/>
    <x v="76"/>
    <x v="16"/>
    <x v="20"/>
  </r>
  <r>
    <x v="252"/>
    <n v="299"/>
    <n v="-28"/>
    <x v="9"/>
    <x v="0"/>
    <x v="0"/>
    <x v="3"/>
    <x v="191"/>
    <x v="202"/>
    <x v="17"/>
    <x v="21"/>
  </r>
  <r>
    <x v="82"/>
    <n v="68"/>
    <n v="-30"/>
    <x v="8"/>
    <x v="0"/>
    <x v="4"/>
    <x v="3"/>
    <x v="78"/>
    <x v="77"/>
    <x v="0"/>
    <x v="18"/>
  </r>
  <r>
    <x v="81"/>
    <n v="52"/>
    <n v="18"/>
    <x v="4"/>
    <x v="2"/>
    <x v="12"/>
    <x v="4"/>
    <x v="77"/>
    <x v="76"/>
    <x v="16"/>
    <x v="20"/>
  </r>
  <r>
    <x v="131"/>
    <n v="239"/>
    <n v="-162"/>
    <x v="4"/>
    <x v="1"/>
    <x v="1"/>
    <x v="0"/>
    <x v="120"/>
    <x v="119"/>
    <x v="2"/>
    <x v="4"/>
  </r>
  <r>
    <x v="135"/>
    <n v="27"/>
    <n v="6"/>
    <x v="9"/>
    <x v="2"/>
    <x v="9"/>
    <x v="0"/>
    <x v="122"/>
    <x v="8"/>
    <x v="4"/>
    <x v="5"/>
  </r>
  <r>
    <x v="104"/>
    <n v="238"/>
    <n v="20"/>
    <x v="5"/>
    <x v="2"/>
    <x v="6"/>
    <x v="0"/>
    <x v="96"/>
    <x v="95"/>
    <x v="2"/>
    <x v="4"/>
  </r>
  <r>
    <x v="177"/>
    <n v="48"/>
    <n v="16"/>
    <x v="9"/>
    <x v="2"/>
    <x v="16"/>
    <x v="0"/>
    <x v="71"/>
    <x v="154"/>
    <x v="7"/>
    <x v="9"/>
  </r>
  <r>
    <x v="253"/>
    <n v="66"/>
    <n v="22"/>
    <x v="9"/>
    <x v="2"/>
    <x v="11"/>
    <x v="3"/>
    <x v="180"/>
    <x v="88"/>
    <x v="15"/>
    <x v="16"/>
  </r>
  <r>
    <x v="254"/>
    <n v="53"/>
    <n v="24"/>
    <x v="8"/>
    <x v="2"/>
    <x v="7"/>
    <x v="4"/>
    <x v="192"/>
    <x v="203"/>
    <x v="10"/>
    <x v="13"/>
  </r>
  <r>
    <x v="207"/>
    <n v="233"/>
    <n v="-10"/>
    <x v="4"/>
    <x v="0"/>
    <x v="0"/>
    <x v="0"/>
    <x v="166"/>
    <x v="171"/>
    <x v="0"/>
    <x v="18"/>
  </r>
  <r>
    <x v="202"/>
    <n v="53"/>
    <n v="-2"/>
    <x v="9"/>
    <x v="2"/>
    <x v="6"/>
    <x v="4"/>
    <x v="18"/>
    <x v="141"/>
    <x v="2"/>
    <x v="2"/>
  </r>
  <r>
    <x v="175"/>
    <n v="54"/>
    <n v="8"/>
    <x v="3"/>
    <x v="2"/>
    <x v="14"/>
    <x v="4"/>
    <x v="1"/>
    <x v="152"/>
    <x v="10"/>
    <x v="13"/>
  </r>
  <r>
    <x v="255"/>
    <n v="352"/>
    <n v="-345"/>
    <x v="4"/>
    <x v="2"/>
    <x v="6"/>
    <x v="2"/>
    <x v="7"/>
    <x v="204"/>
    <x v="0"/>
    <x v="0"/>
  </r>
  <r>
    <x v="114"/>
    <n v="349"/>
    <n v="0"/>
    <x v="0"/>
    <x v="2"/>
    <x v="11"/>
    <x v="2"/>
    <x v="105"/>
    <x v="103"/>
    <x v="0"/>
    <x v="0"/>
  </r>
  <r>
    <x v="256"/>
    <n v="341"/>
    <n v="-85"/>
    <x v="7"/>
    <x v="2"/>
    <x v="5"/>
    <x v="2"/>
    <x v="193"/>
    <x v="205"/>
    <x v="1"/>
    <x v="10"/>
  </r>
  <r>
    <x v="232"/>
    <n v="54"/>
    <n v="12"/>
    <x v="9"/>
    <x v="2"/>
    <x v="6"/>
    <x v="4"/>
    <x v="181"/>
    <x v="189"/>
    <x v="8"/>
    <x v="11"/>
  </r>
  <r>
    <x v="1"/>
    <n v="57"/>
    <n v="7"/>
    <x v="5"/>
    <x v="2"/>
    <x v="16"/>
    <x v="3"/>
    <x v="1"/>
    <x v="1"/>
    <x v="1"/>
    <x v="1"/>
  </r>
  <r>
    <x v="55"/>
    <n v="340"/>
    <n v="20"/>
    <x v="0"/>
    <x v="2"/>
    <x v="16"/>
    <x v="2"/>
    <x v="53"/>
    <x v="53"/>
    <x v="3"/>
    <x v="3"/>
  </r>
  <r>
    <x v="1"/>
    <n v="227"/>
    <n v="48"/>
    <x v="4"/>
    <x v="2"/>
    <x v="11"/>
    <x v="0"/>
    <x v="1"/>
    <x v="1"/>
    <x v="1"/>
    <x v="1"/>
  </r>
  <r>
    <x v="223"/>
    <n v="330"/>
    <n v="81"/>
    <x v="8"/>
    <x v="1"/>
    <x v="2"/>
    <x v="2"/>
    <x v="174"/>
    <x v="67"/>
    <x v="8"/>
    <x v="11"/>
  </r>
  <r>
    <x v="36"/>
    <n v="216"/>
    <n v="-38"/>
    <x v="7"/>
    <x v="1"/>
    <x v="15"/>
    <x v="3"/>
    <x v="34"/>
    <x v="36"/>
    <x v="2"/>
    <x v="2"/>
  </r>
  <r>
    <x v="257"/>
    <n v="224"/>
    <n v="-143"/>
    <x v="9"/>
    <x v="1"/>
    <x v="1"/>
    <x v="0"/>
    <x v="194"/>
    <x v="74"/>
    <x v="10"/>
    <x v="13"/>
  </r>
  <r>
    <x v="258"/>
    <n v="55"/>
    <n v="-33"/>
    <x v="5"/>
    <x v="1"/>
    <x v="1"/>
    <x v="4"/>
    <x v="119"/>
    <x v="206"/>
    <x v="4"/>
    <x v="5"/>
  </r>
  <r>
    <x v="121"/>
    <n v="49"/>
    <n v="21"/>
    <x v="8"/>
    <x v="2"/>
    <x v="11"/>
    <x v="3"/>
    <x v="112"/>
    <x v="110"/>
    <x v="10"/>
    <x v="13"/>
  </r>
  <r>
    <x v="175"/>
    <n v="224"/>
    <n v="87"/>
    <x v="9"/>
    <x v="2"/>
    <x v="5"/>
    <x v="0"/>
    <x v="1"/>
    <x v="152"/>
    <x v="10"/>
    <x v="13"/>
  </r>
  <r>
    <x v="155"/>
    <n v="223"/>
    <n v="27"/>
    <x v="5"/>
    <x v="1"/>
    <x v="2"/>
    <x v="0"/>
    <x v="137"/>
    <x v="137"/>
    <x v="2"/>
    <x v="4"/>
  </r>
  <r>
    <x v="259"/>
    <n v="324"/>
    <n v="39"/>
    <x v="2"/>
    <x v="0"/>
    <x v="13"/>
    <x v="2"/>
    <x v="184"/>
    <x v="57"/>
    <x v="0"/>
    <x v="0"/>
  </r>
  <r>
    <x v="93"/>
    <n v="56"/>
    <n v="18"/>
    <x v="5"/>
    <x v="2"/>
    <x v="7"/>
    <x v="4"/>
    <x v="15"/>
    <x v="85"/>
    <x v="2"/>
    <x v="2"/>
  </r>
  <r>
    <x v="260"/>
    <n v="223"/>
    <n v="62"/>
    <x v="0"/>
    <x v="2"/>
    <x v="16"/>
    <x v="0"/>
    <x v="195"/>
    <x v="207"/>
    <x v="8"/>
    <x v="11"/>
  </r>
  <r>
    <x v="237"/>
    <n v="10"/>
    <n v="2"/>
    <x v="5"/>
    <x v="2"/>
    <x v="9"/>
    <x v="0"/>
    <x v="184"/>
    <x v="124"/>
    <x v="2"/>
    <x v="4"/>
  </r>
  <r>
    <x v="261"/>
    <n v="57"/>
    <n v="6"/>
    <x v="4"/>
    <x v="2"/>
    <x v="12"/>
    <x v="4"/>
    <x v="196"/>
    <x v="208"/>
    <x v="0"/>
    <x v="0"/>
  </r>
  <r>
    <x v="73"/>
    <n v="322"/>
    <n v="-113"/>
    <x v="3"/>
    <x v="2"/>
    <x v="6"/>
    <x v="2"/>
    <x v="46"/>
    <x v="70"/>
    <x v="2"/>
    <x v="2"/>
  </r>
  <r>
    <x v="262"/>
    <n v="219"/>
    <n v="4"/>
    <x v="5"/>
    <x v="2"/>
    <x v="6"/>
    <x v="0"/>
    <x v="172"/>
    <x v="106"/>
    <x v="0"/>
    <x v="18"/>
  </r>
  <r>
    <x v="263"/>
    <n v="103"/>
    <n v="21"/>
    <x v="0"/>
    <x v="2"/>
    <x v="11"/>
    <x v="3"/>
    <x v="197"/>
    <x v="209"/>
    <x v="8"/>
    <x v="11"/>
  </r>
  <r>
    <x v="10"/>
    <n v="47"/>
    <n v="-27"/>
    <x v="3"/>
    <x v="2"/>
    <x v="6"/>
    <x v="0"/>
    <x v="10"/>
    <x v="10"/>
    <x v="0"/>
    <x v="0"/>
  </r>
  <r>
    <x v="155"/>
    <n v="219"/>
    <n v="0"/>
    <x v="8"/>
    <x v="2"/>
    <x v="6"/>
    <x v="0"/>
    <x v="137"/>
    <x v="137"/>
    <x v="2"/>
    <x v="4"/>
  </r>
  <r>
    <x v="208"/>
    <n v="57"/>
    <n v="-48"/>
    <x v="7"/>
    <x v="2"/>
    <x v="12"/>
    <x v="4"/>
    <x v="46"/>
    <x v="172"/>
    <x v="0"/>
    <x v="0"/>
  </r>
  <r>
    <x v="264"/>
    <n v="319"/>
    <n v="102"/>
    <x v="7"/>
    <x v="0"/>
    <x v="13"/>
    <x v="2"/>
    <x v="198"/>
    <x v="190"/>
    <x v="12"/>
    <x v="15"/>
  </r>
  <r>
    <x v="34"/>
    <n v="315"/>
    <n v="-8"/>
    <x v="9"/>
    <x v="1"/>
    <x v="1"/>
    <x v="2"/>
    <x v="33"/>
    <x v="34"/>
    <x v="0"/>
    <x v="18"/>
  </r>
  <r>
    <x v="184"/>
    <n v="314"/>
    <n v="-41"/>
    <x v="9"/>
    <x v="0"/>
    <x v="0"/>
    <x v="2"/>
    <x v="155"/>
    <x v="21"/>
    <x v="2"/>
    <x v="4"/>
  </r>
  <r>
    <x v="162"/>
    <n v="311"/>
    <n v="40"/>
    <x v="8"/>
    <x v="0"/>
    <x v="0"/>
    <x v="1"/>
    <x v="51"/>
    <x v="143"/>
    <x v="11"/>
    <x v="14"/>
  </r>
  <r>
    <x v="51"/>
    <n v="307"/>
    <n v="74"/>
    <x v="9"/>
    <x v="0"/>
    <x v="13"/>
    <x v="1"/>
    <x v="49"/>
    <x v="50"/>
    <x v="13"/>
    <x v="16"/>
  </r>
  <r>
    <x v="155"/>
    <n v="294"/>
    <n v="109"/>
    <x v="0"/>
    <x v="0"/>
    <x v="13"/>
    <x v="1"/>
    <x v="137"/>
    <x v="137"/>
    <x v="2"/>
    <x v="4"/>
  </r>
  <r>
    <x v="239"/>
    <n v="216"/>
    <n v="-83"/>
    <x v="9"/>
    <x v="0"/>
    <x v="0"/>
    <x v="0"/>
    <x v="80"/>
    <x v="193"/>
    <x v="1"/>
    <x v="10"/>
  </r>
  <r>
    <x v="258"/>
    <n v="58"/>
    <n v="-42"/>
    <x v="5"/>
    <x v="1"/>
    <x v="1"/>
    <x v="4"/>
    <x v="119"/>
    <x v="206"/>
    <x v="4"/>
    <x v="5"/>
  </r>
  <r>
    <x v="45"/>
    <n v="48"/>
    <n v="20"/>
    <x v="3"/>
    <x v="2"/>
    <x v="11"/>
    <x v="3"/>
    <x v="43"/>
    <x v="45"/>
    <x v="7"/>
    <x v="9"/>
  </r>
  <r>
    <x v="2"/>
    <n v="54"/>
    <n v="14"/>
    <x v="9"/>
    <x v="2"/>
    <x v="14"/>
    <x v="3"/>
    <x v="2"/>
    <x v="2"/>
    <x v="2"/>
    <x v="2"/>
  </r>
  <r>
    <x v="58"/>
    <n v="216"/>
    <n v="50"/>
    <x v="3"/>
    <x v="2"/>
    <x v="11"/>
    <x v="0"/>
    <x v="56"/>
    <x v="56"/>
    <x v="17"/>
    <x v="21"/>
  </r>
  <r>
    <x v="260"/>
    <n v="215"/>
    <n v="-30"/>
    <x v="5"/>
    <x v="2"/>
    <x v="6"/>
    <x v="0"/>
    <x v="195"/>
    <x v="207"/>
    <x v="8"/>
    <x v="11"/>
  </r>
  <r>
    <x v="265"/>
    <n v="43"/>
    <n v="8"/>
    <x v="9"/>
    <x v="2"/>
    <x v="12"/>
    <x v="0"/>
    <x v="199"/>
    <x v="190"/>
    <x v="12"/>
    <x v="15"/>
  </r>
  <r>
    <x v="21"/>
    <n v="136"/>
    <n v="-33"/>
    <x v="4"/>
    <x v="2"/>
    <x v="6"/>
    <x v="0"/>
    <x v="21"/>
    <x v="21"/>
    <x v="0"/>
    <x v="0"/>
  </r>
  <r>
    <x v="266"/>
    <n v="59"/>
    <n v="-30"/>
    <x v="9"/>
    <x v="2"/>
    <x v="12"/>
    <x v="4"/>
    <x v="200"/>
    <x v="90"/>
    <x v="4"/>
    <x v="5"/>
  </r>
  <r>
    <x v="1"/>
    <n v="213"/>
    <n v="4"/>
    <x v="1"/>
    <x v="2"/>
    <x v="16"/>
    <x v="0"/>
    <x v="1"/>
    <x v="1"/>
    <x v="1"/>
    <x v="1"/>
  </r>
  <r>
    <x v="253"/>
    <n v="59"/>
    <n v="21"/>
    <x v="5"/>
    <x v="2"/>
    <x v="11"/>
    <x v="4"/>
    <x v="180"/>
    <x v="88"/>
    <x v="15"/>
    <x v="16"/>
  </r>
  <r>
    <x v="267"/>
    <n v="55"/>
    <n v="3"/>
    <x v="9"/>
    <x v="2"/>
    <x v="14"/>
    <x v="0"/>
    <x v="201"/>
    <x v="210"/>
    <x v="12"/>
    <x v="15"/>
  </r>
  <r>
    <x v="2"/>
    <n v="294"/>
    <n v="62"/>
    <x v="6"/>
    <x v="2"/>
    <x v="14"/>
    <x v="1"/>
    <x v="2"/>
    <x v="2"/>
    <x v="2"/>
    <x v="2"/>
  </r>
  <r>
    <x v="59"/>
    <n v="210"/>
    <n v="62"/>
    <x v="5"/>
    <x v="0"/>
    <x v="4"/>
    <x v="0"/>
    <x v="57"/>
    <x v="57"/>
    <x v="13"/>
    <x v="22"/>
  </r>
  <r>
    <x v="206"/>
    <n v="59"/>
    <n v="24"/>
    <x v="7"/>
    <x v="2"/>
    <x v="8"/>
    <x v="4"/>
    <x v="51"/>
    <x v="72"/>
    <x v="16"/>
    <x v="20"/>
  </r>
  <r>
    <x v="15"/>
    <n v="396"/>
    <n v="-31"/>
    <x v="6"/>
    <x v="2"/>
    <x v="6"/>
    <x v="0"/>
    <x v="15"/>
    <x v="15"/>
    <x v="0"/>
    <x v="0"/>
  </r>
  <r>
    <x v="268"/>
    <n v="284"/>
    <n v="45"/>
    <x v="5"/>
    <x v="1"/>
    <x v="2"/>
    <x v="1"/>
    <x v="144"/>
    <x v="211"/>
    <x v="0"/>
    <x v="0"/>
  </r>
  <r>
    <x v="269"/>
    <n v="276"/>
    <n v="52"/>
    <x v="4"/>
    <x v="2"/>
    <x v="6"/>
    <x v="1"/>
    <x v="33"/>
    <x v="105"/>
    <x v="8"/>
    <x v="11"/>
  </r>
  <r>
    <x v="227"/>
    <n v="23"/>
    <n v="2"/>
    <x v="5"/>
    <x v="2"/>
    <x v="9"/>
    <x v="3"/>
    <x v="139"/>
    <x v="186"/>
    <x v="5"/>
    <x v="6"/>
  </r>
  <r>
    <x v="270"/>
    <n v="209"/>
    <n v="-63"/>
    <x v="3"/>
    <x v="0"/>
    <x v="0"/>
    <x v="0"/>
    <x v="202"/>
    <x v="110"/>
    <x v="10"/>
    <x v="13"/>
  </r>
  <r>
    <x v="271"/>
    <n v="50"/>
    <n v="-28"/>
    <x v="4"/>
    <x v="1"/>
    <x v="15"/>
    <x v="0"/>
    <x v="60"/>
    <x v="212"/>
    <x v="6"/>
    <x v="23"/>
  </r>
  <r>
    <x v="272"/>
    <n v="57"/>
    <n v="27"/>
    <x v="5"/>
    <x v="2"/>
    <x v="16"/>
    <x v="0"/>
    <x v="203"/>
    <x v="213"/>
    <x v="2"/>
    <x v="4"/>
  </r>
  <r>
    <x v="273"/>
    <n v="276"/>
    <n v="-21"/>
    <x v="5"/>
    <x v="0"/>
    <x v="4"/>
    <x v="1"/>
    <x v="120"/>
    <x v="214"/>
    <x v="18"/>
    <x v="24"/>
  </r>
  <r>
    <x v="274"/>
    <n v="268"/>
    <n v="6"/>
    <x v="5"/>
    <x v="1"/>
    <x v="2"/>
    <x v="3"/>
    <x v="95"/>
    <x v="215"/>
    <x v="2"/>
    <x v="4"/>
  </r>
  <r>
    <x v="104"/>
    <n v="269"/>
    <n v="111"/>
    <x v="9"/>
    <x v="2"/>
    <x v="5"/>
    <x v="1"/>
    <x v="96"/>
    <x v="95"/>
    <x v="2"/>
    <x v="4"/>
  </r>
  <r>
    <x v="75"/>
    <n v="209"/>
    <n v="2"/>
    <x v="8"/>
    <x v="2"/>
    <x v="6"/>
    <x v="0"/>
    <x v="71"/>
    <x v="62"/>
    <x v="0"/>
    <x v="0"/>
  </r>
  <r>
    <x v="275"/>
    <n v="60"/>
    <n v="-12"/>
    <x v="3"/>
    <x v="2"/>
    <x v="7"/>
    <x v="4"/>
    <x v="120"/>
    <x v="216"/>
    <x v="0"/>
    <x v="0"/>
  </r>
  <r>
    <x v="173"/>
    <n v="269"/>
    <n v="-86"/>
    <x v="5"/>
    <x v="0"/>
    <x v="0"/>
    <x v="1"/>
    <x v="149"/>
    <x v="150"/>
    <x v="2"/>
    <x v="4"/>
  </r>
  <r>
    <x v="110"/>
    <n v="208"/>
    <n v="-25"/>
    <x v="5"/>
    <x v="2"/>
    <x v="6"/>
    <x v="0"/>
    <x v="90"/>
    <x v="100"/>
    <x v="0"/>
    <x v="0"/>
  </r>
  <r>
    <x v="167"/>
    <n v="27"/>
    <n v="2"/>
    <x v="5"/>
    <x v="2"/>
    <x v="12"/>
    <x v="3"/>
    <x v="68"/>
    <x v="147"/>
    <x v="7"/>
    <x v="9"/>
  </r>
  <r>
    <x v="276"/>
    <n v="206"/>
    <n v="-206"/>
    <x v="9"/>
    <x v="2"/>
    <x v="6"/>
    <x v="0"/>
    <x v="83"/>
    <x v="97"/>
    <x v="16"/>
    <x v="20"/>
  </r>
  <r>
    <x v="277"/>
    <n v="61"/>
    <n v="8"/>
    <x v="3"/>
    <x v="2"/>
    <x v="7"/>
    <x v="4"/>
    <x v="152"/>
    <x v="55"/>
    <x v="14"/>
    <x v="19"/>
  </r>
  <r>
    <x v="110"/>
    <n v="212"/>
    <n v="-24"/>
    <x v="5"/>
    <x v="1"/>
    <x v="1"/>
    <x v="0"/>
    <x v="90"/>
    <x v="100"/>
    <x v="0"/>
    <x v="0"/>
  </r>
  <r>
    <x v="218"/>
    <n v="262"/>
    <n v="64"/>
    <x v="7"/>
    <x v="2"/>
    <x v="6"/>
    <x v="1"/>
    <x v="170"/>
    <x v="179"/>
    <x v="3"/>
    <x v="3"/>
  </r>
  <r>
    <x v="13"/>
    <n v="204"/>
    <n v="276"/>
    <x v="9"/>
    <x v="1"/>
    <x v="2"/>
    <x v="0"/>
    <x v="13"/>
    <x v="13"/>
    <x v="2"/>
    <x v="4"/>
  </r>
  <r>
    <x v="67"/>
    <n v="59"/>
    <n v="-46"/>
    <x v="0"/>
    <x v="2"/>
    <x v="14"/>
    <x v="3"/>
    <x v="64"/>
    <x v="64"/>
    <x v="0"/>
    <x v="0"/>
  </r>
  <r>
    <x v="110"/>
    <n v="199"/>
    <n v="-18"/>
    <x v="5"/>
    <x v="2"/>
    <x v="6"/>
    <x v="0"/>
    <x v="90"/>
    <x v="100"/>
    <x v="0"/>
    <x v="0"/>
  </r>
  <r>
    <x v="278"/>
    <n v="59"/>
    <n v="6"/>
    <x v="8"/>
    <x v="0"/>
    <x v="13"/>
    <x v="3"/>
    <x v="204"/>
    <x v="115"/>
    <x v="2"/>
    <x v="4"/>
  </r>
  <r>
    <x v="211"/>
    <n v="45"/>
    <n v="9"/>
    <x v="9"/>
    <x v="2"/>
    <x v="12"/>
    <x v="3"/>
    <x v="17"/>
    <x v="86"/>
    <x v="17"/>
    <x v="21"/>
  </r>
  <r>
    <x v="74"/>
    <n v="211"/>
    <n v="19"/>
    <x v="2"/>
    <x v="2"/>
    <x v="11"/>
    <x v="0"/>
    <x v="70"/>
    <x v="11"/>
    <x v="0"/>
    <x v="0"/>
  </r>
  <r>
    <x v="150"/>
    <n v="65"/>
    <n v="-16"/>
    <x v="5"/>
    <x v="0"/>
    <x v="4"/>
    <x v="4"/>
    <x v="133"/>
    <x v="133"/>
    <x v="14"/>
    <x v="19"/>
  </r>
  <r>
    <x v="36"/>
    <n v="25"/>
    <n v="0"/>
    <x v="3"/>
    <x v="2"/>
    <x v="9"/>
    <x v="3"/>
    <x v="34"/>
    <x v="36"/>
    <x v="2"/>
    <x v="2"/>
  </r>
  <r>
    <x v="279"/>
    <n v="196"/>
    <n v="-7"/>
    <x v="4"/>
    <x v="0"/>
    <x v="4"/>
    <x v="0"/>
    <x v="40"/>
    <x v="217"/>
    <x v="8"/>
    <x v="11"/>
  </r>
  <r>
    <x v="21"/>
    <n v="261"/>
    <n v="13"/>
    <x v="7"/>
    <x v="2"/>
    <x v="16"/>
    <x v="2"/>
    <x v="21"/>
    <x v="21"/>
    <x v="0"/>
    <x v="0"/>
  </r>
  <r>
    <x v="87"/>
    <n v="195"/>
    <n v="-117"/>
    <x v="4"/>
    <x v="0"/>
    <x v="4"/>
    <x v="0"/>
    <x v="83"/>
    <x v="80"/>
    <x v="5"/>
    <x v="6"/>
  </r>
  <r>
    <x v="134"/>
    <n v="192"/>
    <n v="-146"/>
    <x v="9"/>
    <x v="2"/>
    <x v="6"/>
    <x v="0"/>
    <x v="54"/>
    <x v="121"/>
    <x v="17"/>
    <x v="21"/>
  </r>
  <r>
    <x v="280"/>
    <n v="189"/>
    <n v="87"/>
    <x v="0"/>
    <x v="2"/>
    <x v="11"/>
    <x v="0"/>
    <x v="80"/>
    <x v="218"/>
    <x v="10"/>
    <x v="13"/>
  </r>
  <r>
    <x v="125"/>
    <n v="32"/>
    <n v="2"/>
    <x v="5"/>
    <x v="2"/>
    <x v="8"/>
    <x v="3"/>
    <x v="71"/>
    <x v="113"/>
    <x v="0"/>
    <x v="0"/>
  </r>
  <r>
    <x v="42"/>
    <n v="188"/>
    <n v="13"/>
    <x v="0"/>
    <x v="2"/>
    <x v="16"/>
    <x v="0"/>
    <x v="40"/>
    <x v="42"/>
    <x v="0"/>
    <x v="0"/>
  </r>
  <r>
    <x v="281"/>
    <n v="73"/>
    <n v="-25"/>
    <x v="9"/>
    <x v="2"/>
    <x v="6"/>
    <x v="0"/>
    <x v="0"/>
    <x v="159"/>
    <x v="0"/>
    <x v="0"/>
  </r>
  <r>
    <x v="20"/>
    <n v="259"/>
    <n v="47"/>
    <x v="4"/>
    <x v="2"/>
    <x v="7"/>
    <x v="2"/>
    <x v="20"/>
    <x v="20"/>
    <x v="8"/>
    <x v="11"/>
  </r>
  <r>
    <x v="282"/>
    <n v="187"/>
    <n v="-15"/>
    <x v="9"/>
    <x v="2"/>
    <x v="5"/>
    <x v="0"/>
    <x v="205"/>
    <x v="141"/>
    <x v="0"/>
    <x v="0"/>
  </r>
  <r>
    <x v="18"/>
    <n v="26"/>
    <n v="11"/>
    <x v="5"/>
    <x v="2"/>
    <x v="7"/>
    <x v="3"/>
    <x v="18"/>
    <x v="18"/>
    <x v="7"/>
    <x v="9"/>
  </r>
  <r>
    <x v="35"/>
    <n v="185"/>
    <n v="-26"/>
    <x v="7"/>
    <x v="1"/>
    <x v="1"/>
    <x v="0"/>
    <x v="17"/>
    <x v="35"/>
    <x v="3"/>
    <x v="3"/>
  </r>
  <r>
    <x v="283"/>
    <n v="248"/>
    <n v="8"/>
    <x v="5"/>
    <x v="2"/>
    <x v="6"/>
    <x v="2"/>
    <x v="101"/>
    <x v="219"/>
    <x v="1"/>
    <x v="7"/>
  </r>
  <r>
    <x v="284"/>
    <n v="67"/>
    <n v="9"/>
    <x v="3"/>
    <x v="2"/>
    <x v="12"/>
    <x v="4"/>
    <x v="88"/>
    <x v="171"/>
    <x v="0"/>
    <x v="18"/>
  </r>
  <r>
    <x v="257"/>
    <n v="248"/>
    <n v="-70"/>
    <x v="9"/>
    <x v="1"/>
    <x v="1"/>
    <x v="2"/>
    <x v="194"/>
    <x v="74"/>
    <x v="10"/>
    <x v="13"/>
  </r>
  <r>
    <x v="218"/>
    <n v="246"/>
    <n v="61"/>
    <x v="5"/>
    <x v="1"/>
    <x v="2"/>
    <x v="2"/>
    <x v="170"/>
    <x v="179"/>
    <x v="3"/>
    <x v="3"/>
  </r>
  <r>
    <x v="285"/>
    <n v="179"/>
    <n v="-25"/>
    <x v="4"/>
    <x v="2"/>
    <x v="8"/>
    <x v="0"/>
    <x v="206"/>
    <x v="220"/>
    <x v="8"/>
    <x v="11"/>
  </r>
  <r>
    <x v="286"/>
    <n v="176"/>
    <n v="-28"/>
    <x v="4"/>
    <x v="1"/>
    <x v="15"/>
    <x v="0"/>
    <x v="207"/>
    <x v="221"/>
    <x v="15"/>
    <x v="16"/>
  </r>
  <r>
    <x v="267"/>
    <n v="176"/>
    <n v="-13"/>
    <x v="4"/>
    <x v="1"/>
    <x v="15"/>
    <x v="0"/>
    <x v="201"/>
    <x v="210"/>
    <x v="12"/>
    <x v="15"/>
  </r>
  <r>
    <x v="50"/>
    <n v="68"/>
    <n v="-62"/>
    <x v="5"/>
    <x v="2"/>
    <x v="5"/>
    <x v="4"/>
    <x v="48"/>
    <x v="49"/>
    <x v="6"/>
    <x v="8"/>
  </r>
  <r>
    <x v="287"/>
    <n v="176"/>
    <n v="37"/>
    <x v="7"/>
    <x v="0"/>
    <x v="13"/>
    <x v="0"/>
    <x v="120"/>
    <x v="160"/>
    <x v="11"/>
    <x v="14"/>
  </r>
  <r>
    <x v="216"/>
    <n v="88"/>
    <n v="11"/>
    <x v="0"/>
    <x v="2"/>
    <x v="7"/>
    <x v="3"/>
    <x v="93"/>
    <x v="177"/>
    <x v="8"/>
    <x v="11"/>
  </r>
  <r>
    <x v="288"/>
    <n v="68"/>
    <n v="20"/>
    <x v="4"/>
    <x v="2"/>
    <x v="7"/>
    <x v="4"/>
    <x v="73"/>
    <x v="175"/>
    <x v="18"/>
    <x v="24"/>
  </r>
  <r>
    <x v="289"/>
    <n v="231"/>
    <n v="99"/>
    <x v="5"/>
    <x v="0"/>
    <x v="0"/>
    <x v="2"/>
    <x v="60"/>
    <x v="190"/>
    <x v="2"/>
    <x v="2"/>
  </r>
  <r>
    <x v="232"/>
    <n v="62"/>
    <n v="8"/>
    <x v="5"/>
    <x v="2"/>
    <x v="14"/>
    <x v="3"/>
    <x v="181"/>
    <x v="189"/>
    <x v="8"/>
    <x v="11"/>
  </r>
  <r>
    <x v="190"/>
    <n v="175"/>
    <n v="77"/>
    <x v="9"/>
    <x v="2"/>
    <x v="6"/>
    <x v="0"/>
    <x v="120"/>
    <x v="163"/>
    <x v="10"/>
    <x v="13"/>
  </r>
  <r>
    <x v="100"/>
    <n v="71"/>
    <n v="4"/>
    <x v="4"/>
    <x v="2"/>
    <x v="12"/>
    <x v="4"/>
    <x v="93"/>
    <x v="92"/>
    <x v="6"/>
    <x v="23"/>
  </r>
  <r>
    <x v="276"/>
    <n v="174"/>
    <n v="-70"/>
    <x v="9"/>
    <x v="0"/>
    <x v="13"/>
    <x v="0"/>
    <x v="83"/>
    <x v="97"/>
    <x v="16"/>
    <x v="20"/>
  </r>
  <r>
    <x v="102"/>
    <n v="173"/>
    <n v="69"/>
    <x v="9"/>
    <x v="1"/>
    <x v="1"/>
    <x v="0"/>
    <x v="21"/>
    <x v="85"/>
    <x v="0"/>
    <x v="0"/>
  </r>
  <r>
    <x v="85"/>
    <n v="171"/>
    <n v="2"/>
    <x v="5"/>
    <x v="0"/>
    <x v="0"/>
    <x v="0"/>
    <x v="81"/>
    <x v="76"/>
    <x v="6"/>
    <x v="23"/>
  </r>
  <r>
    <x v="134"/>
    <n v="268"/>
    <n v="-25"/>
    <x v="9"/>
    <x v="2"/>
    <x v="6"/>
    <x v="0"/>
    <x v="54"/>
    <x v="121"/>
    <x v="17"/>
    <x v="21"/>
  </r>
  <r>
    <x v="290"/>
    <n v="71"/>
    <n v="32"/>
    <x v="9"/>
    <x v="2"/>
    <x v="6"/>
    <x v="4"/>
    <x v="208"/>
    <x v="222"/>
    <x v="8"/>
    <x v="11"/>
  </r>
  <r>
    <x v="291"/>
    <n v="29"/>
    <n v="10"/>
    <x v="3"/>
    <x v="2"/>
    <x v="7"/>
    <x v="3"/>
    <x v="3"/>
    <x v="38"/>
    <x v="9"/>
    <x v="12"/>
  </r>
  <r>
    <x v="292"/>
    <n v="65"/>
    <n v="17"/>
    <x v="5"/>
    <x v="2"/>
    <x v="14"/>
    <x v="3"/>
    <x v="108"/>
    <x v="187"/>
    <x v="6"/>
    <x v="8"/>
  </r>
  <r>
    <x v="29"/>
    <n v="72"/>
    <n v="-46"/>
    <x v="0"/>
    <x v="2"/>
    <x v="8"/>
    <x v="4"/>
    <x v="28"/>
    <x v="29"/>
    <x v="12"/>
    <x v="15"/>
  </r>
  <r>
    <x v="293"/>
    <n v="168"/>
    <n v="-51"/>
    <x v="5"/>
    <x v="1"/>
    <x v="2"/>
    <x v="0"/>
    <x v="209"/>
    <x v="26"/>
    <x v="0"/>
    <x v="0"/>
  </r>
  <r>
    <x v="74"/>
    <n v="165"/>
    <n v="30"/>
    <x v="9"/>
    <x v="2"/>
    <x v="11"/>
    <x v="0"/>
    <x v="70"/>
    <x v="11"/>
    <x v="0"/>
    <x v="0"/>
  </r>
  <r>
    <x v="252"/>
    <n v="74"/>
    <n v="-59"/>
    <x v="5"/>
    <x v="0"/>
    <x v="13"/>
    <x v="4"/>
    <x v="191"/>
    <x v="202"/>
    <x v="17"/>
    <x v="21"/>
  </r>
  <r>
    <x v="152"/>
    <n v="89"/>
    <n v="17"/>
    <x v="5"/>
    <x v="2"/>
    <x v="11"/>
    <x v="3"/>
    <x v="105"/>
    <x v="135"/>
    <x v="6"/>
    <x v="23"/>
  </r>
  <r>
    <x v="207"/>
    <n v="228"/>
    <n v="63"/>
    <x v="9"/>
    <x v="0"/>
    <x v="0"/>
    <x v="2"/>
    <x v="166"/>
    <x v="171"/>
    <x v="0"/>
    <x v="18"/>
  </r>
  <r>
    <x v="64"/>
    <n v="119"/>
    <n v="-24"/>
    <x v="3"/>
    <x v="1"/>
    <x v="15"/>
    <x v="0"/>
    <x v="61"/>
    <x v="61"/>
    <x v="1"/>
    <x v="7"/>
  </r>
  <r>
    <x v="118"/>
    <n v="75"/>
    <n v="-25"/>
    <x v="9"/>
    <x v="2"/>
    <x v="11"/>
    <x v="3"/>
    <x v="109"/>
    <x v="107"/>
    <x v="2"/>
    <x v="4"/>
  </r>
  <r>
    <x v="101"/>
    <n v="67"/>
    <n v="20"/>
    <x v="3"/>
    <x v="2"/>
    <x v="14"/>
    <x v="3"/>
    <x v="94"/>
    <x v="93"/>
    <x v="9"/>
    <x v="12"/>
  </r>
  <r>
    <x v="89"/>
    <n v="7"/>
    <n v="0"/>
    <x v="8"/>
    <x v="2"/>
    <x v="12"/>
    <x v="0"/>
    <x v="85"/>
    <x v="71"/>
    <x v="0"/>
    <x v="0"/>
  </r>
  <r>
    <x v="148"/>
    <n v="222"/>
    <n v="35"/>
    <x v="4"/>
    <x v="2"/>
    <x v="6"/>
    <x v="2"/>
    <x v="131"/>
    <x v="131"/>
    <x v="13"/>
    <x v="16"/>
  </r>
  <r>
    <x v="204"/>
    <n v="219"/>
    <n v="-9"/>
    <x v="3"/>
    <x v="2"/>
    <x v="6"/>
    <x v="2"/>
    <x v="161"/>
    <x v="28"/>
    <x v="12"/>
    <x v="15"/>
  </r>
  <r>
    <x v="10"/>
    <n v="42"/>
    <n v="-23"/>
    <x v="5"/>
    <x v="1"/>
    <x v="15"/>
    <x v="3"/>
    <x v="10"/>
    <x v="10"/>
    <x v="0"/>
    <x v="0"/>
  </r>
  <r>
    <x v="66"/>
    <n v="216"/>
    <n v="-135"/>
    <x v="9"/>
    <x v="1"/>
    <x v="1"/>
    <x v="2"/>
    <x v="63"/>
    <x v="63"/>
    <x v="10"/>
    <x v="13"/>
  </r>
  <r>
    <x v="294"/>
    <n v="47"/>
    <n v="-21"/>
    <x v="5"/>
    <x v="0"/>
    <x v="0"/>
    <x v="0"/>
    <x v="210"/>
    <x v="223"/>
    <x v="6"/>
    <x v="8"/>
  </r>
  <r>
    <x v="233"/>
    <n v="68"/>
    <n v="-55"/>
    <x v="4"/>
    <x v="0"/>
    <x v="13"/>
    <x v="3"/>
    <x v="140"/>
    <x v="190"/>
    <x v="12"/>
    <x v="15"/>
  </r>
  <r>
    <x v="103"/>
    <n v="74"/>
    <n v="33"/>
    <x v="5"/>
    <x v="2"/>
    <x v="16"/>
    <x v="4"/>
    <x v="95"/>
    <x v="94"/>
    <x v="0"/>
    <x v="0"/>
  </r>
  <r>
    <x v="109"/>
    <n v="165"/>
    <n v="46"/>
    <x v="9"/>
    <x v="1"/>
    <x v="15"/>
    <x v="0"/>
    <x v="101"/>
    <x v="99"/>
    <x v="2"/>
    <x v="4"/>
  </r>
  <r>
    <x v="179"/>
    <n v="101"/>
    <n v="11"/>
    <x v="5"/>
    <x v="2"/>
    <x v="7"/>
    <x v="3"/>
    <x v="1"/>
    <x v="156"/>
    <x v="12"/>
    <x v="15"/>
  </r>
  <r>
    <x v="295"/>
    <n v="162"/>
    <n v="73"/>
    <x v="5"/>
    <x v="0"/>
    <x v="0"/>
    <x v="0"/>
    <x v="33"/>
    <x v="224"/>
    <x v="6"/>
    <x v="8"/>
  </r>
  <r>
    <x v="247"/>
    <n v="20"/>
    <n v="-22"/>
    <x v="8"/>
    <x v="1"/>
    <x v="15"/>
    <x v="3"/>
    <x v="189"/>
    <x v="199"/>
    <x v="1"/>
    <x v="10"/>
  </r>
  <r>
    <x v="135"/>
    <n v="162"/>
    <n v="55"/>
    <x v="9"/>
    <x v="2"/>
    <x v="11"/>
    <x v="0"/>
    <x v="122"/>
    <x v="8"/>
    <x v="4"/>
    <x v="5"/>
  </r>
  <r>
    <x v="173"/>
    <n v="229"/>
    <n v="-23"/>
    <x v="5"/>
    <x v="2"/>
    <x v="6"/>
    <x v="3"/>
    <x v="149"/>
    <x v="150"/>
    <x v="2"/>
    <x v="4"/>
  </r>
  <r>
    <x v="296"/>
    <n v="27"/>
    <n v="0"/>
    <x v="5"/>
    <x v="2"/>
    <x v="12"/>
    <x v="0"/>
    <x v="94"/>
    <x v="225"/>
    <x v="7"/>
    <x v="9"/>
  </r>
  <r>
    <x v="20"/>
    <n v="685"/>
    <n v="7"/>
    <x v="0"/>
    <x v="2"/>
    <x v="5"/>
    <x v="3"/>
    <x v="20"/>
    <x v="20"/>
    <x v="8"/>
    <x v="11"/>
  </r>
  <r>
    <x v="196"/>
    <n v="75"/>
    <n v="2"/>
    <x v="4"/>
    <x v="2"/>
    <x v="12"/>
    <x v="4"/>
    <x v="92"/>
    <x v="167"/>
    <x v="2"/>
    <x v="4"/>
  </r>
  <r>
    <x v="191"/>
    <n v="161"/>
    <n v="-229"/>
    <x v="2"/>
    <x v="1"/>
    <x v="15"/>
    <x v="0"/>
    <x v="69"/>
    <x v="164"/>
    <x v="8"/>
    <x v="11"/>
  </r>
  <r>
    <x v="269"/>
    <n v="71"/>
    <n v="19"/>
    <x v="9"/>
    <x v="2"/>
    <x v="14"/>
    <x v="0"/>
    <x v="33"/>
    <x v="105"/>
    <x v="8"/>
    <x v="11"/>
  </r>
  <r>
    <x v="104"/>
    <n v="211"/>
    <n v="-105"/>
    <x v="5"/>
    <x v="2"/>
    <x v="6"/>
    <x v="2"/>
    <x v="96"/>
    <x v="95"/>
    <x v="2"/>
    <x v="4"/>
  </r>
  <r>
    <x v="297"/>
    <n v="79"/>
    <n v="5"/>
    <x v="7"/>
    <x v="2"/>
    <x v="7"/>
    <x v="4"/>
    <x v="211"/>
    <x v="139"/>
    <x v="18"/>
    <x v="24"/>
  </r>
  <r>
    <x v="111"/>
    <n v="32"/>
    <n v="-22"/>
    <x v="4"/>
    <x v="2"/>
    <x v="6"/>
    <x v="3"/>
    <x v="102"/>
    <x v="91"/>
    <x v="0"/>
    <x v="18"/>
  </r>
  <r>
    <x v="298"/>
    <n v="161"/>
    <n v="40"/>
    <x v="9"/>
    <x v="2"/>
    <x v="11"/>
    <x v="0"/>
    <x v="68"/>
    <x v="48"/>
    <x v="0"/>
    <x v="0"/>
  </r>
  <r>
    <x v="89"/>
    <n v="159"/>
    <n v="4"/>
    <x v="8"/>
    <x v="2"/>
    <x v="6"/>
    <x v="0"/>
    <x v="85"/>
    <x v="71"/>
    <x v="0"/>
    <x v="0"/>
  </r>
  <r>
    <x v="113"/>
    <n v="210"/>
    <n v="-50"/>
    <x v="3"/>
    <x v="2"/>
    <x v="7"/>
    <x v="2"/>
    <x v="104"/>
    <x v="102"/>
    <x v="12"/>
    <x v="15"/>
  </r>
  <r>
    <x v="193"/>
    <n v="79"/>
    <n v="39"/>
    <x v="5"/>
    <x v="2"/>
    <x v="16"/>
    <x v="4"/>
    <x v="159"/>
    <x v="16"/>
    <x v="1"/>
    <x v="1"/>
  </r>
  <r>
    <x v="150"/>
    <n v="207"/>
    <n v="153"/>
    <x v="9"/>
    <x v="2"/>
    <x v="6"/>
    <x v="2"/>
    <x v="133"/>
    <x v="133"/>
    <x v="14"/>
    <x v="19"/>
  </r>
  <r>
    <x v="166"/>
    <n v="36"/>
    <n v="0"/>
    <x v="3"/>
    <x v="2"/>
    <x v="8"/>
    <x v="0"/>
    <x v="146"/>
    <x v="146"/>
    <x v="0"/>
    <x v="0"/>
  </r>
  <r>
    <x v="76"/>
    <n v="206"/>
    <n v="12"/>
    <x v="8"/>
    <x v="0"/>
    <x v="3"/>
    <x v="2"/>
    <x v="72"/>
    <x v="71"/>
    <x v="0"/>
    <x v="0"/>
  </r>
  <r>
    <x v="109"/>
    <n v="46"/>
    <n v="0"/>
    <x v="3"/>
    <x v="2"/>
    <x v="12"/>
    <x v="0"/>
    <x v="101"/>
    <x v="99"/>
    <x v="2"/>
    <x v="4"/>
  </r>
  <r>
    <x v="241"/>
    <n v="156"/>
    <n v="23"/>
    <x v="9"/>
    <x v="2"/>
    <x v="11"/>
    <x v="0"/>
    <x v="1"/>
    <x v="195"/>
    <x v="2"/>
    <x v="4"/>
  </r>
  <r>
    <x v="254"/>
    <n v="154"/>
    <n v="54"/>
    <x v="9"/>
    <x v="2"/>
    <x v="7"/>
    <x v="0"/>
    <x v="192"/>
    <x v="203"/>
    <x v="10"/>
    <x v="13"/>
  </r>
  <r>
    <x v="299"/>
    <n v="36"/>
    <n v="15"/>
    <x v="9"/>
    <x v="2"/>
    <x v="11"/>
    <x v="3"/>
    <x v="212"/>
    <x v="98"/>
    <x v="11"/>
    <x v="14"/>
  </r>
  <r>
    <x v="300"/>
    <n v="206"/>
    <n v="51"/>
    <x v="3"/>
    <x v="2"/>
    <x v="7"/>
    <x v="2"/>
    <x v="65"/>
    <x v="226"/>
    <x v="14"/>
    <x v="19"/>
  </r>
  <r>
    <x v="301"/>
    <n v="200"/>
    <n v="7"/>
    <x v="3"/>
    <x v="0"/>
    <x v="0"/>
    <x v="2"/>
    <x v="213"/>
    <x v="74"/>
    <x v="1"/>
    <x v="10"/>
  </r>
  <r>
    <x v="300"/>
    <n v="199"/>
    <n v="-1"/>
    <x v="8"/>
    <x v="2"/>
    <x v="6"/>
    <x v="2"/>
    <x v="65"/>
    <x v="226"/>
    <x v="14"/>
    <x v="19"/>
  </r>
  <r>
    <x v="256"/>
    <n v="154"/>
    <n v="22"/>
    <x v="0"/>
    <x v="2"/>
    <x v="14"/>
    <x v="0"/>
    <x v="193"/>
    <x v="205"/>
    <x v="1"/>
    <x v="10"/>
  </r>
  <r>
    <x v="302"/>
    <n v="152"/>
    <n v="23"/>
    <x v="9"/>
    <x v="1"/>
    <x v="15"/>
    <x v="0"/>
    <x v="21"/>
    <x v="227"/>
    <x v="2"/>
    <x v="2"/>
  </r>
  <r>
    <x v="303"/>
    <n v="152"/>
    <n v="50"/>
    <x v="7"/>
    <x v="2"/>
    <x v="11"/>
    <x v="0"/>
    <x v="3"/>
    <x v="171"/>
    <x v="0"/>
    <x v="18"/>
  </r>
  <r>
    <x v="173"/>
    <n v="122"/>
    <n v="-21"/>
    <x v="9"/>
    <x v="1"/>
    <x v="15"/>
    <x v="3"/>
    <x v="149"/>
    <x v="150"/>
    <x v="2"/>
    <x v="4"/>
  </r>
  <r>
    <x v="202"/>
    <n v="149"/>
    <n v="48"/>
    <x v="7"/>
    <x v="2"/>
    <x v="11"/>
    <x v="0"/>
    <x v="18"/>
    <x v="141"/>
    <x v="2"/>
    <x v="2"/>
  </r>
  <r>
    <x v="304"/>
    <n v="149"/>
    <n v="-87"/>
    <x v="3"/>
    <x v="2"/>
    <x v="6"/>
    <x v="0"/>
    <x v="214"/>
    <x v="86"/>
    <x v="17"/>
    <x v="21"/>
  </r>
  <r>
    <x v="249"/>
    <n v="197"/>
    <n v="20"/>
    <x v="3"/>
    <x v="2"/>
    <x v="8"/>
    <x v="2"/>
    <x v="93"/>
    <x v="201"/>
    <x v="0"/>
    <x v="0"/>
  </r>
  <r>
    <x v="39"/>
    <n v="76"/>
    <n v="-54"/>
    <x v="9"/>
    <x v="0"/>
    <x v="0"/>
    <x v="0"/>
    <x v="37"/>
    <x v="39"/>
    <x v="2"/>
    <x v="4"/>
  </r>
  <r>
    <x v="230"/>
    <n v="221"/>
    <n v="-15"/>
    <x v="5"/>
    <x v="0"/>
    <x v="0"/>
    <x v="0"/>
    <x v="90"/>
    <x v="188"/>
    <x v="2"/>
    <x v="4"/>
  </r>
  <r>
    <x v="198"/>
    <n v="79"/>
    <n v="32"/>
    <x v="9"/>
    <x v="2"/>
    <x v="6"/>
    <x v="4"/>
    <x v="162"/>
    <x v="49"/>
    <x v="6"/>
    <x v="8"/>
  </r>
  <r>
    <x v="305"/>
    <n v="45"/>
    <n v="12"/>
    <x v="0"/>
    <x v="2"/>
    <x v="7"/>
    <x v="3"/>
    <x v="50"/>
    <x v="228"/>
    <x v="2"/>
    <x v="2"/>
  </r>
  <r>
    <x v="189"/>
    <n v="149"/>
    <n v="-1"/>
    <x v="8"/>
    <x v="2"/>
    <x v="6"/>
    <x v="0"/>
    <x v="62"/>
    <x v="162"/>
    <x v="7"/>
    <x v="9"/>
  </r>
  <r>
    <x v="269"/>
    <n v="80"/>
    <n v="22"/>
    <x v="9"/>
    <x v="2"/>
    <x v="11"/>
    <x v="4"/>
    <x v="33"/>
    <x v="105"/>
    <x v="8"/>
    <x v="11"/>
  </r>
  <r>
    <x v="224"/>
    <n v="195"/>
    <n v="12"/>
    <x v="6"/>
    <x v="2"/>
    <x v="16"/>
    <x v="2"/>
    <x v="175"/>
    <x v="183"/>
    <x v="1"/>
    <x v="10"/>
  </r>
  <r>
    <x v="29"/>
    <n v="19"/>
    <n v="0"/>
    <x v="9"/>
    <x v="2"/>
    <x v="9"/>
    <x v="3"/>
    <x v="28"/>
    <x v="29"/>
    <x v="12"/>
    <x v="15"/>
  </r>
  <r>
    <x v="101"/>
    <n v="81"/>
    <n v="41"/>
    <x v="9"/>
    <x v="2"/>
    <x v="11"/>
    <x v="4"/>
    <x v="94"/>
    <x v="93"/>
    <x v="9"/>
    <x v="12"/>
  </r>
  <r>
    <x v="306"/>
    <n v="83"/>
    <n v="34"/>
    <x v="4"/>
    <x v="2"/>
    <x v="16"/>
    <x v="4"/>
    <x v="215"/>
    <x v="229"/>
    <x v="10"/>
    <x v="13"/>
  </r>
  <r>
    <x v="24"/>
    <n v="149"/>
    <n v="17"/>
    <x v="3"/>
    <x v="1"/>
    <x v="15"/>
    <x v="0"/>
    <x v="24"/>
    <x v="24"/>
    <x v="8"/>
    <x v="11"/>
  </r>
  <r>
    <x v="307"/>
    <n v="193"/>
    <n v="46"/>
    <x v="8"/>
    <x v="0"/>
    <x v="3"/>
    <x v="2"/>
    <x v="166"/>
    <x v="3"/>
    <x v="2"/>
    <x v="2"/>
  </r>
  <r>
    <x v="58"/>
    <n v="85"/>
    <n v="24"/>
    <x v="12"/>
    <x v="2"/>
    <x v="7"/>
    <x v="4"/>
    <x v="56"/>
    <x v="56"/>
    <x v="17"/>
    <x v="21"/>
  </r>
  <r>
    <x v="189"/>
    <n v="44"/>
    <n v="-17"/>
    <x v="4"/>
    <x v="2"/>
    <x v="6"/>
    <x v="3"/>
    <x v="62"/>
    <x v="162"/>
    <x v="7"/>
    <x v="9"/>
  </r>
  <r>
    <x v="308"/>
    <n v="149"/>
    <n v="-40"/>
    <x v="5"/>
    <x v="0"/>
    <x v="4"/>
    <x v="0"/>
    <x v="216"/>
    <x v="230"/>
    <x v="15"/>
    <x v="16"/>
  </r>
  <r>
    <x v="309"/>
    <n v="26"/>
    <n v="0"/>
    <x v="5"/>
    <x v="2"/>
    <x v="8"/>
    <x v="0"/>
    <x v="217"/>
    <x v="231"/>
    <x v="2"/>
    <x v="2"/>
  </r>
  <r>
    <x v="226"/>
    <n v="86"/>
    <n v="0"/>
    <x v="3"/>
    <x v="2"/>
    <x v="14"/>
    <x v="4"/>
    <x v="177"/>
    <x v="185"/>
    <x v="0"/>
    <x v="0"/>
  </r>
  <r>
    <x v="310"/>
    <n v="86"/>
    <n v="22"/>
    <x v="5"/>
    <x v="2"/>
    <x v="6"/>
    <x v="4"/>
    <x v="92"/>
    <x v="85"/>
    <x v="2"/>
    <x v="2"/>
  </r>
  <r>
    <x v="34"/>
    <n v="79"/>
    <n v="16"/>
    <x v="9"/>
    <x v="2"/>
    <x v="14"/>
    <x v="0"/>
    <x v="33"/>
    <x v="34"/>
    <x v="0"/>
    <x v="18"/>
  </r>
  <r>
    <x v="311"/>
    <n v="193"/>
    <n v="-275"/>
    <x v="9"/>
    <x v="0"/>
    <x v="4"/>
    <x v="2"/>
    <x v="218"/>
    <x v="232"/>
    <x v="6"/>
    <x v="8"/>
  </r>
  <r>
    <x v="131"/>
    <n v="148"/>
    <n v="0"/>
    <x v="9"/>
    <x v="2"/>
    <x v="6"/>
    <x v="0"/>
    <x v="120"/>
    <x v="119"/>
    <x v="2"/>
    <x v="4"/>
  </r>
  <r>
    <x v="312"/>
    <n v="70"/>
    <n v="-14"/>
    <x v="5"/>
    <x v="1"/>
    <x v="15"/>
    <x v="3"/>
    <x v="219"/>
    <x v="121"/>
    <x v="13"/>
    <x v="16"/>
  </r>
  <r>
    <x v="313"/>
    <n v="148"/>
    <n v="59"/>
    <x v="9"/>
    <x v="2"/>
    <x v="7"/>
    <x v="0"/>
    <x v="47"/>
    <x v="233"/>
    <x v="1"/>
    <x v="10"/>
  </r>
  <r>
    <x v="21"/>
    <n v="190"/>
    <n v="19"/>
    <x v="6"/>
    <x v="1"/>
    <x v="15"/>
    <x v="2"/>
    <x v="21"/>
    <x v="21"/>
    <x v="0"/>
    <x v="0"/>
  </r>
  <r>
    <x v="228"/>
    <n v="52"/>
    <n v="14"/>
    <x v="5"/>
    <x v="2"/>
    <x v="11"/>
    <x v="0"/>
    <x v="178"/>
    <x v="28"/>
    <x v="12"/>
    <x v="15"/>
  </r>
  <r>
    <x v="295"/>
    <n v="147"/>
    <n v="44"/>
    <x v="9"/>
    <x v="2"/>
    <x v="6"/>
    <x v="0"/>
    <x v="33"/>
    <x v="224"/>
    <x v="6"/>
    <x v="8"/>
  </r>
  <r>
    <x v="159"/>
    <n v="190"/>
    <n v="68"/>
    <x v="2"/>
    <x v="2"/>
    <x v="14"/>
    <x v="2"/>
    <x v="141"/>
    <x v="140"/>
    <x v="2"/>
    <x v="4"/>
  </r>
  <r>
    <x v="314"/>
    <n v="80"/>
    <n v="-56"/>
    <x v="3"/>
    <x v="0"/>
    <x v="0"/>
    <x v="3"/>
    <x v="4"/>
    <x v="234"/>
    <x v="7"/>
    <x v="9"/>
  </r>
  <r>
    <x v="102"/>
    <n v="147"/>
    <n v="48"/>
    <x v="9"/>
    <x v="2"/>
    <x v="6"/>
    <x v="0"/>
    <x v="21"/>
    <x v="85"/>
    <x v="0"/>
    <x v="0"/>
  </r>
  <r>
    <x v="154"/>
    <n v="66"/>
    <n v="12"/>
    <x v="9"/>
    <x v="2"/>
    <x v="11"/>
    <x v="0"/>
    <x v="136"/>
    <x v="136"/>
    <x v="0"/>
    <x v="0"/>
  </r>
  <r>
    <x v="315"/>
    <n v="86"/>
    <n v="8"/>
    <x v="5"/>
    <x v="2"/>
    <x v="6"/>
    <x v="4"/>
    <x v="23"/>
    <x v="235"/>
    <x v="0"/>
    <x v="0"/>
  </r>
  <r>
    <x v="241"/>
    <n v="88"/>
    <n v="19"/>
    <x v="5"/>
    <x v="2"/>
    <x v="16"/>
    <x v="4"/>
    <x v="1"/>
    <x v="195"/>
    <x v="2"/>
    <x v="4"/>
  </r>
  <r>
    <x v="101"/>
    <n v="188"/>
    <n v="-193"/>
    <x v="5"/>
    <x v="0"/>
    <x v="0"/>
    <x v="2"/>
    <x v="94"/>
    <x v="93"/>
    <x v="9"/>
    <x v="12"/>
  </r>
  <r>
    <x v="147"/>
    <n v="89"/>
    <n v="29"/>
    <x v="5"/>
    <x v="2"/>
    <x v="11"/>
    <x v="3"/>
    <x v="21"/>
    <x v="130"/>
    <x v="17"/>
    <x v="21"/>
  </r>
  <r>
    <x v="316"/>
    <n v="146"/>
    <n v="19"/>
    <x v="4"/>
    <x v="2"/>
    <x v="11"/>
    <x v="0"/>
    <x v="92"/>
    <x v="15"/>
    <x v="0"/>
    <x v="0"/>
  </r>
  <r>
    <x v="94"/>
    <n v="143"/>
    <n v="32"/>
    <x v="8"/>
    <x v="1"/>
    <x v="2"/>
    <x v="0"/>
    <x v="88"/>
    <x v="86"/>
    <x v="17"/>
    <x v="21"/>
  </r>
  <r>
    <x v="244"/>
    <n v="25"/>
    <n v="-1"/>
    <x v="3"/>
    <x v="2"/>
    <x v="8"/>
    <x v="0"/>
    <x v="187"/>
    <x v="196"/>
    <x v="7"/>
    <x v="9"/>
  </r>
  <r>
    <x v="297"/>
    <n v="30"/>
    <n v="12"/>
    <x v="9"/>
    <x v="2"/>
    <x v="9"/>
    <x v="3"/>
    <x v="211"/>
    <x v="139"/>
    <x v="18"/>
    <x v="24"/>
  </r>
  <r>
    <x v="112"/>
    <n v="140"/>
    <n v="-58"/>
    <x v="3"/>
    <x v="1"/>
    <x v="15"/>
    <x v="0"/>
    <x v="103"/>
    <x v="101"/>
    <x v="4"/>
    <x v="5"/>
  </r>
  <r>
    <x v="214"/>
    <n v="83"/>
    <n v="-48"/>
    <x v="8"/>
    <x v="1"/>
    <x v="2"/>
    <x v="3"/>
    <x v="168"/>
    <x v="176"/>
    <x v="12"/>
    <x v="15"/>
  </r>
  <r>
    <x v="317"/>
    <n v="140"/>
    <n v="6"/>
    <x v="4"/>
    <x v="2"/>
    <x v="6"/>
    <x v="0"/>
    <x v="220"/>
    <x v="181"/>
    <x v="0"/>
    <x v="0"/>
  </r>
  <r>
    <x v="166"/>
    <n v="28"/>
    <n v="14"/>
    <x v="3"/>
    <x v="2"/>
    <x v="7"/>
    <x v="0"/>
    <x v="146"/>
    <x v="146"/>
    <x v="0"/>
    <x v="0"/>
  </r>
  <r>
    <x v="318"/>
    <n v="139"/>
    <n v="14"/>
    <x v="9"/>
    <x v="2"/>
    <x v="11"/>
    <x v="0"/>
    <x v="221"/>
    <x v="236"/>
    <x v="0"/>
    <x v="18"/>
  </r>
  <r>
    <x v="18"/>
    <n v="30"/>
    <n v="14"/>
    <x v="9"/>
    <x v="2"/>
    <x v="7"/>
    <x v="3"/>
    <x v="18"/>
    <x v="18"/>
    <x v="7"/>
    <x v="9"/>
  </r>
  <r>
    <x v="222"/>
    <n v="89"/>
    <n v="36"/>
    <x v="9"/>
    <x v="2"/>
    <x v="16"/>
    <x v="3"/>
    <x v="173"/>
    <x v="3"/>
    <x v="2"/>
    <x v="2"/>
  </r>
  <r>
    <x v="91"/>
    <n v="187"/>
    <n v="30"/>
    <x v="3"/>
    <x v="0"/>
    <x v="13"/>
    <x v="2"/>
    <x v="46"/>
    <x v="83"/>
    <x v="6"/>
    <x v="8"/>
  </r>
  <r>
    <x v="241"/>
    <n v="139"/>
    <n v="21"/>
    <x v="9"/>
    <x v="0"/>
    <x v="13"/>
    <x v="0"/>
    <x v="1"/>
    <x v="195"/>
    <x v="2"/>
    <x v="4"/>
  </r>
  <r>
    <x v="257"/>
    <n v="437"/>
    <n v="-14"/>
    <x v="5"/>
    <x v="2"/>
    <x v="6"/>
    <x v="3"/>
    <x v="194"/>
    <x v="74"/>
    <x v="10"/>
    <x v="13"/>
  </r>
  <r>
    <x v="195"/>
    <n v="138"/>
    <n v="-3"/>
    <x v="4"/>
    <x v="2"/>
    <x v="6"/>
    <x v="0"/>
    <x v="160"/>
    <x v="166"/>
    <x v="1"/>
    <x v="10"/>
  </r>
  <r>
    <x v="267"/>
    <n v="85"/>
    <n v="13"/>
    <x v="5"/>
    <x v="2"/>
    <x v="16"/>
    <x v="3"/>
    <x v="201"/>
    <x v="210"/>
    <x v="12"/>
    <x v="15"/>
  </r>
  <r>
    <x v="170"/>
    <n v="83"/>
    <n v="12"/>
    <x v="9"/>
    <x v="2"/>
    <x v="11"/>
    <x v="3"/>
    <x v="147"/>
    <x v="4"/>
    <x v="1"/>
    <x v="1"/>
  </r>
  <r>
    <x v="262"/>
    <n v="91"/>
    <n v="22"/>
    <x v="5"/>
    <x v="2"/>
    <x v="11"/>
    <x v="3"/>
    <x v="172"/>
    <x v="106"/>
    <x v="0"/>
    <x v="18"/>
  </r>
  <r>
    <x v="140"/>
    <n v="137"/>
    <n v="5"/>
    <x v="4"/>
    <x v="2"/>
    <x v="16"/>
    <x v="0"/>
    <x v="126"/>
    <x v="125"/>
    <x v="0"/>
    <x v="0"/>
  </r>
  <r>
    <x v="319"/>
    <n v="33"/>
    <n v="-12"/>
    <x v="0"/>
    <x v="2"/>
    <x v="6"/>
    <x v="3"/>
    <x v="111"/>
    <x v="237"/>
    <x v="0"/>
    <x v="0"/>
  </r>
  <r>
    <x v="40"/>
    <n v="134"/>
    <n v="-34"/>
    <x v="5"/>
    <x v="1"/>
    <x v="1"/>
    <x v="0"/>
    <x v="38"/>
    <x v="40"/>
    <x v="10"/>
    <x v="13"/>
  </r>
  <r>
    <x v="320"/>
    <n v="134"/>
    <n v="42"/>
    <x v="5"/>
    <x v="1"/>
    <x v="1"/>
    <x v="0"/>
    <x v="222"/>
    <x v="238"/>
    <x v="2"/>
    <x v="4"/>
  </r>
  <r>
    <x v="321"/>
    <n v="133"/>
    <n v="-56"/>
    <x v="5"/>
    <x v="1"/>
    <x v="1"/>
    <x v="0"/>
    <x v="167"/>
    <x v="239"/>
    <x v="15"/>
    <x v="16"/>
  </r>
  <r>
    <x v="168"/>
    <n v="93"/>
    <n v="-84"/>
    <x v="9"/>
    <x v="2"/>
    <x v="6"/>
    <x v="3"/>
    <x v="76"/>
    <x v="55"/>
    <x v="14"/>
    <x v="19"/>
  </r>
  <r>
    <x v="129"/>
    <n v="86"/>
    <n v="-21"/>
    <x v="8"/>
    <x v="0"/>
    <x v="0"/>
    <x v="3"/>
    <x v="119"/>
    <x v="117"/>
    <x v="2"/>
    <x v="4"/>
  </r>
  <r>
    <x v="23"/>
    <n v="132"/>
    <n v="54"/>
    <x v="4"/>
    <x v="2"/>
    <x v="11"/>
    <x v="0"/>
    <x v="23"/>
    <x v="23"/>
    <x v="10"/>
    <x v="13"/>
  </r>
  <r>
    <x v="53"/>
    <n v="132"/>
    <n v="-10"/>
    <x v="9"/>
    <x v="2"/>
    <x v="6"/>
    <x v="0"/>
    <x v="51"/>
    <x v="32"/>
    <x v="13"/>
    <x v="16"/>
  </r>
  <r>
    <x v="220"/>
    <n v="132"/>
    <n v="-79"/>
    <x v="4"/>
    <x v="1"/>
    <x v="15"/>
    <x v="0"/>
    <x v="171"/>
    <x v="181"/>
    <x v="7"/>
    <x v="9"/>
  </r>
  <r>
    <x v="260"/>
    <n v="93"/>
    <n v="-65"/>
    <x v="3"/>
    <x v="2"/>
    <x v="11"/>
    <x v="3"/>
    <x v="195"/>
    <x v="207"/>
    <x v="8"/>
    <x v="11"/>
  </r>
  <r>
    <x v="322"/>
    <n v="95"/>
    <n v="5"/>
    <x v="5"/>
    <x v="2"/>
    <x v="11"/>
    <x v="3"/>
    <x v="223"/>
    <x v="122"/>
    <x v="1"/>
    <x v="10"/>
  </r>
  <r>
    <x v="35"/>
    <n v="97"/>
    <n v="12"/>
    <x v="5"/>
    <x v="2"/>
    <x v="7"/>
    <x v="3"/>
    <x v="17"/>
    <x v="35"/>
    <x v="3"/>
    <x v="3"/>
  </r>
  <r>
    <x v="323"/>
    <n v="131"/>
    <n v="-154"/>
    <x v="2"/>
    <x v="1"/>
    <x v="15"/>
    <x v="0"/>
    <x v="224"/>
    <x v="240"/>
    <x v="17"/>
    <x v="21"/>
  </r>
  <r>
    <x v="266"/>
    <n v="97"/>
    <n v="29"/>
    <x v="5"/>
    <x v="2"/>
    <x v="7"/>
    <x v="3"/>
    <x v="200"/>
    <x v="90"/>
    <x v="4"/>
    <x v="5"/>
  </r>
  <r>
    <x v="18"/>
    <n v="128"/>
    <n v="4"/>
    <x v="9"/>
    <x v="2"/>
    <x v="6"/>
    <x v="0"/>
    <x v="18"/>
    <x v="18"/>
    <x v="7"/>
    <x v="9"/>
  </r>
  <r>
    <x v="10"/>
    <n v="186"/>
    <n v="241"/>
    <x v="6"/>
    <x v="2"/>
    <x v="16"/>
    <x v="2"/>
    <x v="10"/>
    <x v="10"/>
    <x v="0"/>
    <x v="0"/>
  </r>
  <r>
    <x v="34"/>
    <n v="128"/>
    <n v="47"/>
    <x v="3"/>
    <x v="2"/>
    <x v="7"/>
    <x v="0"/>
    <x v="33"/>
    <x v="34"/>
    <x v="0"/>
    <x v="18"/>
  </r>
  <r>
    <x v="140"/>
    <n v="185"/>
    <n v="48"/>
    <x v="3"/>
    <x v="2"/>
    <x v="11"/>
    <x v="2"/>
    <x v="126"/>
    <x v="125"/>
    <x v="0"/>
    <x v="0"/>
  </r>
  <r>
    <x v="324"/>
    <n v="29"/>
    <n v="10"/>
    <x v="5"/>
    <x v="2"/>
    <x v="11"/>
    <x v="0"/>
    <x v="160"/>
    <x v="241"/>
    <x v="0"/>
    <x v="0"/>
  </r>
  <r>
    <x v="33"/>
    <n v="127"/>
    <n v="29"/>
    <x v="9"/>
    <x v="1"/>
    <x v="15"/>
    <x v="0"/>
    <x v="32"/>
    <x v="33"/>
    <x v="7"/>
    <x v="17"/>
  </r>
  <r>
    <x v="205"/>
    <n v="97"/>
    <n v="36"/>
    <x v="0"/>
    <x v="2"/>
    <x v="7"/>
    <x v="3"/>
    <x v="147"/>
    <x v="170"/>
    <x v="0"/>
    <x v="0"/>
  </r>
  <r>
    <x v="108"/>
    <n v="125"/>
    <n v="0"/>
    <x v="9"/>
    <x v="0"/>
    <x v="13"/>
    <x v="0"/>
    <x v="100"/>
    <x v="84"/>
    <x v="17"/>
    <x v="21"/>
  </r>
  <r>
    <x v="325"/>
    <n v="299"/>
    <n v="-8"/>
    <x v="5"/>
    <x v="2"/>
    <x v="6"/>
    <x v="0"/>
    <x v="177"/>
    <x v="156"/>
    <x v="12"/>
    <x v="15"/>
  </r>
  <r>
    <x v="326"/>
    <n v="124"/>
    <n v="54"/>
    <x v="4"/>
    <x v="2"/>
    <x v="14"/>
    <x v="0"/>
    <x v="101"/>
    <x v="36"/>
    <x v="6"/>
    <x v="23"/>
  </r>
  <r>
    <x v="195"/>
    <n v="90"/>
    <n v="17"/>
    <x v="9"/>
    <x v="2"/>
    <x v="16"/>
    <x v="0"/>
    <x v="160"/>
    <x v="166"/>
    <x v="1"/>
    <x v="10"/>
  </r>
  <r>
    <x v="221"/>
    <n v="122"/>
    <n v="11"/>
    <x v="3"/>
    <x v="2"/>
    <x v="7"/>
    <x v="0"/>
    <x v="172"/>
    <x v="182"/>
    <x v="0"/>
    <x v="0"/>
  </r>
  <r>
    <x v="305"/>
    <n v="122"/>
    <n v="-66"/>
    <x v="6"/>
    <x v="0"/>
    <x v="13"/>
    <x v="0"/>
    <x v="50"/>
    <x v="228"/>
    <x v="2"/>
    <x v="2"/>
  </r>
  <r>
    <x v="42"/>
    <n v="90"/>
    <n v="30"/>
    <x v="5"/>
    <x v="1"/>
    <x v="1"/>
    <x v="3"/>
    <x v="40"/>
    <x v="42"/>
    <x v="0"/>
    <x v="0"/>
  </r>
  <r>
    <x v="327"/>
    <n v="182"/>
    <n v="-11"/>
    <x v="9"/>
    <x v="1"/>
    <x v="2"/>
    <x v="2"/>
    <x v="139"/>
    <x v="30"/>
    <x v="2"/>
    <x v="2"/>
  </r>
  <r>
    <x v="121"/>
    <n v="122"/>
    <n v="59"/>
    <x v="0"/>
    <x v="1"/>
    <x v="15"/>
    <x v="0"/>
    <x v="112"/>
    <x v="110"/>
    <x v="10"/>
    <x v="13"/>
  </r>
  <r>
    <x v="328"/>
    <n v="121"/>
    <n v="19"/>
    <x v="3"/>
    <x v="2"/>
    <x v="11"/>
    <x v="0"/>
    <x v="225"/>
    <x v="242"/>
    <x v="13"/>
    <x v="22"/>
  </r>
  <r>
    <x v="135"/>
    <n v="120"/>
    <n v="1"/>
    <x v="8"/>
    <x v="1"/>
    <x v="1"/>
    <x v="0"/>
    <x v="122"/>
    <x v="8"/>
    <x v="4"/>
    <x v="5"/>
  </r>
  <r>
    <x v="147"/>
    <n v="120"/>
    <n v="23"/>
    <x v="4"/>
    <x v="2"/>
    <x v="11"/>
    <x v="0"/>
    <x v="21"/>
    <x v="130"/>
    <x v="17"/>
    <x v="21"/>
  </r>
  <r>
    <x v="74"/>
    <n v="34"/>
    <n v="-11"/>
    <x v="4"/>
    <x v="2"/>
    <x v="14"/>
    <x v="0"/>
    <x v="70"/>
    <x v="11"/>
    <x v="0"/>
    <x v="0"/>
  </r>
  <r>
    <x v="67"/>
    <n v="117"/>
    <n v="17"/>
    <x v="7"/>
    <x v="2"/>
    <x v="8"/>
    <x v="0"/>
    <x v="64"/>
    <x v="64"/>
    <x v="0"/>
    <x v="0"/>
  </r>
  <r>
    <x v="329"/>
    <n v="38"/>
    <n v="9"/>
    <x v="5"/>
    <x v="2"/>
    <x v="11"/>
    <x v="0"/>
    <x v="226"/>
    <x v="168"/>
    <x v="13"/>
    <x v="16"/>
  </r>
  <r>
    <x v="6"/>
    <n v="117"/>
    <n v="-6"/>
    <x v="9"/>
    <x v="0"/>
    <x v="4"/>
    <x v="0"/>
    <x v="6"/>
    <x v="6"/>
    <x v="3"/>
    <x v="3"/>
  </r>
  <r>
    <x v="185"/>
    <n v="180"/>
    <n v="54"/>
    <x v="3"/>
    <x v="2"/>
    <x v="14"/>
    <x v="2"/>
    <x v="144"/>
    <x v="159"/>
    <x v="7"/>
    <x v="17"/>
  </r>
  <r>
    <x v="192"/>
    <n v="99"/>
    <n v="-5"/>
    <x v="8"/>
    <x v="2"/>
    <x v="6"/>
    <x v="3"/>
    <x v="158"/>
    <x v="140"/>
    <x v="5"/>
    <x v="6"/>
  </r>
  <r>
    <x v="89"/>
    <n v="172"/>
    <n v="-103"/>
    <x v="9"/>
    <x v="1"/>
    <x v="1"/>
    <x v="1"/>
    <x v="85"/>
    <x v="71"/>
    <x v="0"/>
    <x v="0"/>
  </r>
  <r>
    <x v="117"/>
    <n v="116"/>
    <n v="16"/>
    <x v="3"/>
    <x v="2"/>
    <x v="11"/>
    <x v="0"/>
    <x v="108"/>
    <x v="106"/>
    <x v="0"/>
    <x v="18"/>
  </r>
  <r>
    <x v="6"/>
    <n v="116"/>
    <n v="-4"/>
    <x v="8"/>
    <x v="2"/>
    <x v="6"/>
    <x v="0"/>
    <x v="6"/>
    <x v="6"/>
    <x v="3"/>
    <x v="3"/>
  </r>
  <r>
    <x v="330"/>
    <n v="171"/>
    <n v="68"/>
    <x v="0"/>
    <x v="2"/>
    <x v="11"/>
    <x v="1"/>
    <x v="163"/>
    <x v="79"/>
    <x v="0"/>
    <x v="0"/>
  </r>
  <r>
    <x v="98"/>
    <n v="46"/>
    <n v="14"/>
    <x v="4"/>
    <x v="2"/>
    <x v="9"/>
    <x v="0"/>
    <x v="91"/>
    <x v="90"/>
    <x v="4"/>
    <x v="5"/>
  </r>
  <r>
    <x v="69"/>
    <n v="115"/>
    <n v="-39"/>
    <x v="9"/>
    <x v="2"/>
    <x v="5"/>
    <x v="0"/>
    <x v="66"/>
    <x v="66"/>
    <x v="4"/>
    <x v="5"/>
  </r>
  <r>
    <x v="331"/>
    <n v="100"/>
    <n v="7"/>
    <x v="5"/>
    <x v="2"/>
    <x v="14"/>
    <x v="3"/>
    <x v="227"/>
    <x v="243"/>
    <x v="1"/>
    <x v="7"/>
  </r>
  <r>
    <x v="132"/>
    <n v="44"/>
    <n v="8"/>
    <x v="5"/>
    <x v="2"/>
    <x v="11"/>
    <x v="0"/>
    <x v="40"/>
    <x v="14"/>
    <x v="8"/>
    <x v="11"/>
  </r>
  <r>
    <x v="206"/>
    <n v="139"/>
    <n v="14"/>
    <x v="9"/>
    <x v="2"/>
    <x v="8"/>
    <x v="0"/>
    <x v="51"/>
    <x v="72"/>
    <x v="16"/>
    <x v="20"/>
  </r>
  <r>
    <x v="332"/>
    <n v="171"/>
    <n v="-140"/>
    <x v="5"/>
    <x v="1"/>
    <x v="2"/>
    <x v="1"/>
    <x v="71"/>
    <x v="74"/>
    <x v="9"/>
    <x v="12"/>
  </r>
  <r>
    <x v="333"/>
    <n v="100"/>
    <n v="12"/>
    <x v="5"/>
    <x v="2"/>
    <x v="14"/>
    <x v="3"/>
    <x v="228"/>
    <x v="244"/>
    <x v="2"/>
    <x v="4"/>
  </r>
  <r>
    <x v="317"/>
    <n v="115"/>
    <n v="25"/>
    <x v="7"/>
    <x v="2"/>
    <x v="11"/>
    <x v="0"/>
    <x v="220"/>
    <x v="181"/>
    <x v="0"/>
    <x v="0"/>
  </r>
  <r>
    <x v="6"/>
    <n v="168"/>
    <n v="-9"/>
    <x v="9"/>
    <x v="2"/>
    <x v="6"/>
    <x v="0"/>
    <x v="6"/>
    <x v="6"/>
    <x v="3"/>
    <x v="3"/>
  </r>
  <r>
    <x v="334"/>
    <n v="115"/>
    <n v="47"/>
    <x v="5"/>
    <x v="0"/>
    <x v="13"/>
    <x v="0"/>
    <x v="229"/>
    <x v="245"/>
    <x v="6"/>
    <x v="23"/>
  </r>
  <r>
    <x v="4"/>
    <n v="168"/>
    <n v="-111"/>
    <x v="5"/>
    <x v="0"/>
    <x v="4"/>
    <x v="1"/>
    <x v="4"/>
    <x v="4"/>
    <x v="2"/>
    <x v="2"/>
  </r>
  <r>
    <x v="335"/>
    <n v="31"/>
    <n v="-7"/>
    <x v="4"/>
    <x v="2"/>
    <x v="9"/>
    <x v="3"/>
    <x v="230"/>
    <x v="246"/>
    <x v="2"/>
    <x v="4"/>
  </r>
  <r>
    <x v="34"/>
    <n v="114"/>
    <n v="41"/>
    <x v="7"/>
    <x v="1"/>
    <x v="15"/>
    <x v="0"/>
    <x v="33"/>
    <x v="34"/>
    <x v="0"/>
    <x v="18"/>
  </r>
  <r>
    <x v="105"/>
    <n v="111"/>
    <n v="9"/>
    <x v="3"/>
    <x v="2"/>
    <x v="11"/>
    <x v="0"/>
    <x v="97"/>
    <x v="96"/>
    <x v="2"/>
    <x v="4"/>
  </r>
  <r>
    <x v="336"/>
    <n v="11"/>
    <n v="-8"/>
    <x v="5"/>
    <x v="2"/>
    <x v="9"/>
    <x v="3"/>
    <x v="167"/>
    <x v="247"/>
    <x v="16"/>
    <x v="20"/>
  </r>
  <r>
    <x v="217"/>
    <n v="110"/>
    <n v="35"/>
    <x v="8"/>
    <x v="1"/>
    <x v="15"/>
    <x v="0"/>
    <x v="47"/>
    <x v="178"/>
    <x v="0"/>
    <x v="0"/>
  </r>
  <r>
    <x v="98"/>
    <n v="59"/>
    <n v="15"/>
    <x v="5"/>
    <x v="2"/>
    <x v="14"/>
    <x v="3"/>
    <x v="91"/>
    <x v="90"/>
    <x v="4"/>
    <x v="5"/>
  </r>
  <r>
    <x v="198"/>
    <n v="166"/>
    <n v="27"/>
    <x v="5"/>
    <x v="0"/>
    <x v="13"/>
    <x v="1"/>
    <x v="162"/>
    <x v="49"/>
    <x v="6"/>
    <x v="8"/>
  </r>
  <r>
    <x v="27"/>
    <n v="109"/>
    <n v="-6"/>
    <x v="7"/>
    <x v="2"/>
    <x v="6"/>
    <x v="0"/>
    <x v="27"/>
    <x v="27"/>
    <x v="2"/>
    <x v="4"/>
  </r>
  <r>
    <x v="276"/>
    <n v="34"/>
    <n v="-6"/>
    <x v="3"/>
    <x v="2"/>
    <x v="12"/>
    <x v="0"/>
    <x v="83"/>
    <x v="97"/>
    <x v="16"/>
    <x v="20"/>
  </r>
  <r>
    <x v="260"/>
    <n v="109"/>
    <n v="40"/>
    <x v="8"/>
    <x v="1"/>
    <x v="15"/>
    <x v="0"/>
    <x v="195"/>
    <x v="207"/>
    <x v="8"/>
    <x v="11"/>
  </r>
  <r>
    <x v="44"/>
    <n v="108"/>
    <n v="22"/>
    <x v="9"/>
    <x v="0"/>
    <x v="13"/>
    <x v="0"/>
    <x v="42"/>
    <x v="44"/>
    <x v="2"/>
    <x v="2"/>
  </r>
  <r>
    <x v="278"/>
    <n v="103"/>
    <n v="50"/>
    <x v="5"/>
    <x v="1"/>
    <x v="15"/>
    <x v="3"/>
    <x v="204"/>
    <x v="115"/>
    <x v="2"/>
    <x v="4"/>
  </r>
  <r>
    <x v="178"/>
    <n v="10"/>
    <n v="-8"/>
    <x v="5"/>
    <x v="2"/>
    <x v="9"/>
    <x v="0"/>
    <x v="151"/>
    <x v="155"/>
    <x v="0"/>
    <x v="0"/>
  </r>
  <r>
    <x v="139"/>
    <n v="90"/>
    <n v="17"/>
    <x v="9"/>
    <x v="2"/>
    <x v="7"/>
    <x v="0"/>
    <x v="18"/>
    <x v="124"/>
    <x v="0"/>
    <x v="18"/>
  </r>
  <r>
    <x v="173"/>
    <n v="105"/>
    <n v="46"/>
    <x v="5"/>
    <x v="2"/>
    <x v="11"/>
    <x v="3"/>
    <x v="149"/>
    <x v="150"/>
    <x v="2"/>
    <x v="4"/>
  </r>
  <r>
    <x v="304"/>
    <n v="105"/>
    <n v="20"/>
    <x v="5"/>
    <x v="2"/>
    <x v="11"/>
    <x v="4"/>
    <x v="214"/>
    <x v="86"/>
    <x v="17"/>
    <x v="21"/>
  </r>
  <r>
    <x v="337"/>
    <n v="22"/>
    <n v="-6"/>
    <x v="8"/>
    <x v="1"/>
    <x v="15"/>
    <x v="0"/>
    <x v="48"/>
    <x v="56"/>
    <x v="17"/>
    <x v="21"/>
  </r>
  <r>
    <x v="83"/>
    <n v="105"/>
    <n v="-33"/>
    <x v="4"/>
    <x v="2"/>
    <x v="8"/>
    <x v="0"/>
    <x v="79"/>
    <x v="78"/>
    <x v="9"/>
    <x v="12"/>
  </r>
  <r>
    <x v="338"/>
    <n v="105"/>
    <n v="25"/>
    <x v="5"/>
    <x v="2"/>
    <x v="7"/>
    <x v="1"/>
    <x v="71"/>
    <x v="248"/>
    <x v="17"/>
    <x v="21"/>
  </r>
  <r>
    <x v="339"/>
    <n v="25"/>
    <n v="-7"/>
    <x v="4"/>
    <x v="2"/>
    <x v="6"/>
    <x v="3"/>
    <x v="126"/>
    <x v="249"/>
    <x v="2"/>
    <x v="4"/>
  </r>
  <r>
    <x v="278"/>
    <n v="104"/>
    <n v="2"/>
    <x v="5"/>
    <x v="1"/>
    <x v="15"/>
    <x v="0"/>
    <x v="204"/>
    <x v="115"/>
    <x v="2"/>
    <x v="4"/>
  </r>
  <r>
    <x v="340"/>
    <n v="16"/>
    <n v="5"/>
    <x v="8"/>
    <x v="2"/>
    <x v="11"/>
    <x v="3"/>
    <x v="68"/>
    <x v="250"/>
    <x v="9"/>
    <x v="12"/>
  </r>
  <r>
    <x v="183"/>
    <n v="64"/>
    <n v="-7"/>
    <x v="9"/>
    <x v="2"/>
    <x v="6"/>
    <x v="0"/>
    <x v="154"/>
    <x v="158"/>
    <x v="3"/>
    <x v="3"/>
  </r>
  <r>
    <x v="341"/>
    <n v="38"/>
    <n v="-6"/>
    <x v="5"/>
    <x v="1"/>
    <x v="15"/>
    <x v="3"/>
    <x v="231"/>
    <x v="251"/>
    <x v="13"/>
    <x v="16"/>
  </r>
  <r>
    <x v="342"/>
    <n v="83"/>
    <n v="12"/>
    <x v="5"/>
    <x v="1"/>
    <x v="1"/>
    <x v="0"/>
    <x v="95"/>
    <x v="252"/>
    <x v="8"/>
    <x v="11"/>
  </r>
  <r>
    <x v="159"/>
    <n v="103"/>
    <n v="36"/>
    <x v="5"/>
    <x v="2"/>
    <x v="7"/>
    <x v="0"/>
    <x v="141"/>
    <x v="140"/>
    <x v="2"/>
    <x v="4"/>
  </r>
  <r>
    <x v="131"/>
    <n v="37"/>
    <n v="-6"/>
    <x v="8"/>
    <x v="2"/>
    <x v="6"/>
    <x v="3"/>
    <x v="120"/>
    <x v="119"/>
    <x v="2"/>
    <x v="4"/>
  </r>
  <r>
    <x v="343"/>
    <n v="105"/>
    <n v="33"/>
    <x v="7"/>
    <x v="2"/>
    <x v="6"/>
    <x v="1"/>
    <x v="44"/>
    <x v="253"/>
    <x v="0"/>
    <x v="0"/>
  </r>
  <r>
    <x v="110"/>
    <n v="78"/>
    <n v="-6"/>
    <x v="5"/>
    <x v="1"/>
    <x v="15"/>
    <x v="3"/>
    <x v="90"/>
    <x v="100"/>
    <x v="0"/>
    <x v="0"/>
  </r>
  <r>
    <x v="14"/>
    <n v="102"/>
    <n v="-90"/>
    <x v="8"/>
    <x v="2"/>
    <x v="6"/>
    <x v="0"/>
    <x v="14"/>
    <x v="14"/>
    <x v="1"/>
    <x v="1"/>
  </r>
  <r>
    <x v="344"/>
    <n v="102"/>
    <n v="11"/>
    <x v="7"/>
    <x v="2"/>
    <x v="14"/>
    <x v="0"/>
    <x v="232"/>
    <x v="254"/>
    <x v="8"/>
    <x v="11"/>
  </r>
  <r>
    <x v="230"/>
    <n v="10"/>
    <n v="-8"/>
    <x v="8"/>
    <x v="2"/>
    <x v="8"/>
    <x v="3"/>
    <x v="90"/>
    <x v="188"/>
    <x v="2"/>
    <x v="4"/>
  </r>
  <r>
    <x v="93"/>
    <n v="101"/>
    <n v="18"/>
    <x v="6"/>
    <x v="2"/>
    <x v="9"/>
    <x v="0"/>
    <x v="15"/>
    <x v="85"/>
    <x v="2"/>
    <x v="2"/>
  </r>
  <r>
    <x v="345"/>
    <n v="42"/>
    <n v="-6"/>
    <x v="3"/>
    <x v="2"/>
    <x v="6"/>
    <x v="3"/>
    <x v="233"/>
    <x v="152"/>
    <x v="10"/>
    <x v="13"/>
  </r>
  <r>
    <x v="239"/>
    <n v="56"/>
    <n v="18"/>
    <x v="5"/>
    <x v="2"/>
    <x v="7"/>
    <x v="3"/>
    <x v="80"/>
    <x v="193"/>
    <x v="1"/>
    <x v="10"/>
  </r>
  <r>
    <x v="339"/>
    <n v="95"/>
    <n v="5"/>
    <x v="5"/>
    <x v="2"/>
    <x v="11"/>
    <x v="0"/>
    <x v="126"/>
    <x v="249"/>
    <x v="2"/>
    <x v="4"/>
  </r>
  <r>
    <x v="346"/>
    <n v="159"/>
    <n v="2"/>
    <x v="9"/>
    <x v="1"/>
    <x v="15"/>
    <x v="1"/>
    <x v="95"/>
    <x v="255"/>
    <x v="7"/>
    <x v="17"/>
  </r>
  <r>
    <x v="304"/>
    <n v="158"/>
    <n v="69"/>
    <x v="9"/>
    <x v="2"/>
    <x v="11"/>
    <x v="1"/>
    <x v="214"/>
    <x v="86"/>
    <x v="17"/>
    <x v="21"/>
  </r>
  <r>
    <x v="230"/>
    <n v="106"/>
    <n v="0"/>
    <x v="5"/>
    <x v="0"/>
    <x v="4"/>
    <x v="1"/>
    <x v="90"/>
    <x v="188"/>
    <x v="2"/>
    <x v="4"/>
  </r>
  <r>
    <x v="92"/>
    <n v="101"/>
    <n v="16"/>
    <x v="3"/>
    <x v="2"/>
    <x v="14"/>
    <x v="0"/>
    <x v="87"/>
    <x v="84"/>
    <x v="3"/>
    <x v="3"/>
  </r>
  <r>
    <x v="152"/>
    <n v="107"/>
    <n v="37"/>
    <x v="9"/>
    <x v="2"/>
    <x v="16"/>
    <x v="0"/>
    <x v="105"/>
    <x v="135"/>
    <x v="6"/>
    <x v="23"/>
  </r>
  <r>
    <x v="347"/>
    <n v="156"/>
    <n v="36"/>
    <x v="4"/>
    <x v="2"/>
    <x v="14"/>
    <x v="1"/>
    <x v="126"/>
    <x v="256"/>
    <x v="3"/>
    <x v="3"/>
  </r>
  <r>
    <x v="348"/>
    <n v="108"/>
    <n v="-19"/>
    <x v="9"/>
    <x v="0"/>
    <x v="0"/>
    <x v="3"/>
    <x v="234"/>
    <x v="123"/>
    <x v="0"/>
    <x v="0"/>
  </r>
  <r>
    <x v="233"/>
    <n v="107"/>
    <n v="-54"/>
    <x v="3"/>
    <x v="2"/>
    <x v="11"/>
    <x v="1"/>
    <x v="140"/>
    <x v="190"/>
    <x v="12"/>
    <x v="15"/>
  </r>
  <r>
    <x v="349"/>
    <n v="100"/>
    <n v="-58"/>
    <x v="3"/>
    <x v="2"/>
    <x v="7"/>
    <x v="0"/>
    <x v="235"/>
    <x v="178"/>
    <x v="0"/>
    <x v="18"/>
  </r>
  <r>
    <x v="249"/>
    <n v="108"/>
    <n v="26"/>
    <x v="3"/>
    <x v="2"/>
    <x v="16"/>
    <x v="3"/>
    <x v="93"/>
    <x v="201"/>
    <x v="0"/>
    <x v="0"/>
  </r>
  <r>
    <x v="350"/>
    <n v="100"/>
    <n v="6"/>
    <x v="3"/>
    <x v="2"/>
    <x v="11"/>
    <x v="0"/>
    <x v="80"/>
    <x v="257"/>
    <x v="2"/>
    <x v="4"/>
  </r>
  <r>
    <x v="186"/>
    <n v="100"/>
    <n v="-23"/>
    <x v="8"/>
    <x v="0"/>
    <x v="4"/>
    <x v="0"/>
    <x v="156"/>
    <x v="160"/>
    <x v="13"/>
    <x v="16"/>
  </r>
  <r>
    <x v="96"/>
    <n v="43"/>
    <n v="17"/>
    <x v="5"/>
    <x v="2"/>
    <x v="14"/>
    <x v="3"/>
    <x v="51"/>
    <x v="88"/>
    <x v="15"/>
    <x v="16"/>
  </r>
  <r>
    <x v="167"/>
    <n v="155"/>
    <n v="26"/>
    <x v="9"/>
    <x v="2"/>
    <x v="11"/>
    <x v="1"/>
    <x v="68"/>
    <x v="147"/>
    <x v="7"/>
    <x v="9"/>
  </r>
  <r>
    <x v="351"/>
    <n v="151"/>
    <n v="9"/>
    <x v="9"/>
    <x v="2"/>
    <x v="7"/>
    <x v="1"/>
    <x v="21"/>
    <x v="258"/>
    <x v="2"/>
    <x v="4"/>
  </r>
  <r>
    <x v="133"/>
    <n v="151"/>
    <n v="29"/>
    <x v="4"/>
    <x v="2"/>
    <x v="7"/>
    <x v="1"/>
    <x v="121"/>
    <x v="120"/>
    <x v="13"/>
    <x v="16"/>
  </r>
  <r>
    <x v="15"/>
    <n v="110"/>
    <n v="-68"/>
    <x v="3"/>
    <x v="2"/>
    <x v="6"/>
    <x v="1"/>
    <x v="15"/>
    <x v="15"/>
    <x v="0"/>
    <x v="0"/>
  </r>
  <r>
    <x v="74"/>
    <n v="98"/>
    <n v="9"/>
    <x v="5"/>
    <x v="1"/>
    <x v="15"/>
    <x v="0"/>
    <x v="70"/>
    <x v="11"/>
    <x v="0"/>
    <x v="0"/>
  </r>
  <r>
    <x v="15"/>
    <n v="97"/>
    <n v="-62"/>
    <x v="5"/>
    <x v="2"/>
    <x v="5"/>
    <x v="0"/>
    <x v="15"/>
    <x v="15"/>
    <x v="0"/>
    <x v="0"/>
  </r>
  <r>
    <x v="94"/>
    <n v="111"/>
    <n v="35"/>
    <x v="4"/>
    <x v="2"/>
    <x v="16"/>
    <x v="0"/>
    <x v="88"/>
    <x v="86"/>
    <x v="17"/>
    <x v="21"/>
  </r>
  <r>
    <x v="265"/>
    <n v="45"/>
    <n v="17"/>
    <x v="8"/>
    <x v="0"/>
    <x v="13"/>
    <x v="0"/>
    <x v="199"/>
    <x v="190"/>
    <x v="12"/>
    <x v="15"/>
  </r>
  <r>
    <x v="352"/>
    <n v="112"/>
    <n v="15"/>
    <x v="5"/>
    <x v="1"/>
    <x v="1"/>
    <x v="0"/>
    <x v="126"/>
    <x v="138"/>
    <x v="2"/>
    <x v="4"/>
  </r>
  <r>
    <x v="2"/>
    <n v="110"/>
    <n v="20"/>
    <x v="4"/>
    <x v="2"/>
    <x v="11"/>
    <x v="4"/>
    <x v="2"/>
    <x v="2"/>
    <x v="2"/>
    <x v="2"/>
  </r>
  <r>
    <x v="61"/>
    <n v="98"/>
    <n v="-5"/>
    <x v="5"/>
    <x v="2"/>
    <x v="6"/>
    <x v="3"/>
    <x v="59"/>
    <x v="58"/>
    <x v="0"/>
    <x v="0"/>
  </r>
  <r>
    <x v="353"/>
    <n v="110"/>
    <n v="12"/>
    <x v="0"/>
    <x v="2"/>
    <x v="11"/>
    <x v="4"/>
    <x v="236"/>
    <x v="259"/>
    <x v="6"/>
    <x v="23"/>
  </r>
  <r>
    <x v="18"/>
    <n v="95"/>
    <n v="11"/>
    <x v="3"/>
    <x v="1"/>
    <x v="15"/>
    <x v="0"/>
    <x v="18"/>
    <x v="18"/>
    <x v="7"/>
    <x v="9"/>
  </r>
  <r>
    <x v="184"/>
    <n v="1228"/>
    <n v="14"/>
    <x v="9"/>
    <x v="1"/>
    <x v="1"/>
    <x v="3"/>
    <x v="155"/>
    <x v="21"/>
    <x v="2"/>
    <x v="4"/>
  </r>
  <r>
    <x v="253"/>
    <n v="29"/>
    <n v="0"/>
    <x v="9"/>
    <x v="1"/>
    <x v="15"/>
    <x v="0"/>
    <x v="180"/>
    <x v="88"/>
    <x v="15"/>
    <x v="16"/>
  </r>
  <r>
    <x v="1"/>
    <n v="94"/>
    <n v="27"/>
    <x v="5"/>
    <x v="2"/>
    <x v="14"/>
    <x v="0"/>
    <x v="1"/>
    <x v="1"/>
    <x v="1"/>
    <x v="1"/>
  </r>
  <r>
    <x v="87"/>
    <n v="115"/>
    <n v="25"/>
    <x v="8"/>
    <x v="0"/>
    <x v="13"/>
    <x v="0"/>
    <x v="83"/>
    <x v="80"/>
    <x v="5"/>
    <x v="6"/>
  </r>
  <r>
    <x v="170"/>
    <n v="149"/>
    <n v="15"/>
    <x v="9"/>
    <x v="2"/>
    <x v="6"/>
    <x v="1"/>
    <x v="147"/>
    <x v="4"/>
    <x v="1"/>
    <x v="1"/>
  </r>
  <r>
    <x v="92"/>
    <n v="148"/>
    <n v="23"/>
    <x v="3"/>
    <x v="2"/>
    <x v="8"/>
    <x v="1"/>
    <x v="87"/>
    <x v="84"/>
    <x v="3"/>
    <x v="3"/>
  </r>
  <r>
    <x v="25"/>
    <n v="93"/>
    <n v="15"/>
    <x v="5"/>
    <x v="0"/>
    <x v="13"/>
    <x v="0"/>
    <x v="25"/>
    <x v="25"/>
    <x v="11"/>
    <x v="14"/>
  </r>
  <r>
    <x v="329"/>
    <n v="113"/>
    <n v="24"/>
    <x v="3"/>
    <x v="2"/>
    <x v="7"/>
    <x v="4"/>
    <x v="226"/>
    <x v="168"/>
    <x v="13"/>
    <x v="16"/>
  </r>
  <r>
    <x v="232"/>
    <n v="48"/>
    <n v="2"/>
    <x v="9"/>
    <x v="2"/>
    <x v="11"/>
    <x v="0"/>
    <x v="181"/>
    <x v="189"/>
    <x v="8"/>
    <x v="11"/>
  </r>
  <r>
    <x v="296"/>
    <n v="148"/>
    <n v="9"/>
    <x v="8"/>
    <x v="0"/>
    <x v="0"/>
    <x v="3"/>
    <x v="94"/>
    <x v="225"/>
    <x v="7"/>
    <x v="9"/>
  </r>
  <r>
    <x v="354"/>
    <n v="114"/>
    <n v="11"/>
    <x v="3"/>
    <x v="2"/>
    <x v="14"/>
    <x v="4"/>
    <x v="237"/>
    <x v="76"/>
    <x v="7"/>
    <x v="17"/>
  </r>
  <r>
    <x v="51"/>
    <n v="92"/>
    <n v="42"/>
    <x v="5"/>
    <x v="2"/>
    <x v="11"/>
    <x v="0"/>
    <x v="49"/>
    <x v="50"/>
    <x v="13"/>
    <x v="16"/>
  </r>
  <r>
    <x v="355"/>
    <n v="117"/>
    <n v="14"/>
    <x v="9"/>
    <x v="2"/>
    <x v="16"/>
    <x v="3"/>
    <x v="139"/>
    <x v="260"/>
    <x v="0"/>
    <x v="0"/>
  </r>
  <r>
    <x v="52"/>
    <n v="21"/>
    <n v="-10"/>
    <x v="3"/>
    <x v="2"/>
    <x v="12"/>
    <x v="0"/>
    <x v="50"/>
    <x v="51"/>
    <x v="0"/>
    <x v="18"/>
  </r>
  <r>
    <x v="356"/>
    <n v="33"/>
    <n v="-10"/>
    <x v="7"/>
    <x v="2"/>
    <x v="12"/>
    <x v="3"/>
    <x v="54"/>
    <x v="211"/>
    <x v="0"/>
    <x v="0"/>
  </r>
  <r>
    <x v="69"/>
    <n v="114"/>
    <n v="8"/>
    <x v="9"/>
    <x v="0"/>
    <x v="13"/>
    <x v="4"/>
    <x v="66"/>
    <x v="66"/>
    <x v="4"/>
    <x v="5"/>
  </r>
  <r>
    <x v="172"/>
    <n v="115"/>
    <n v="0"/>
    <x v="8"/>
    <x v="0"/>
    <x v="13"/>
    <x v="4"/>
    <x v="115"/>
    <x v="38"/>
    <x v="9"/>
    <x v="12"/>
  </r>
  <r>
    <x v="9"/>
    <n v="90"/>
    <n v="29"/>
    <x v="4"/>
    <x v="2"/>
    <x v="14"/>
    <x v="0"/>
    <x v="9"/>
    <x v="9"/>
    <x v="5"/>
    <x v="6"/>
  </r>
  <r>
    <x v="357"/>
    <n v="61"/>
    <n v="1"/>
    <x v="5"/>
    <x v="1"/>
    <x v="15"/>
    <x v="0"/>
    <x v="238"/>
    <x v="161"/>
    <x v="11"/>
    <x v="14"/>
  </r>
  <r>
    <x v="358"/>
    <n v="119"/>
    <n v="1"/>
    <x v="8"/>
    <x v="1"/>
    <x v="1"/>
    <x v="0"/>
    <x v="100"/>
    <x v="261"/>
    <x v="6"/>
    <x v="8"/>
  </r>
  <r>
    <x v="81"/>
    <n v="117"/>
    <n v="36"/>
    <x v="5"/>
    <x v="2"/>
    <x v="5"/>
    <x v="4"/>
    <x v="77"/>
    <x v="76"/>
    <x v="16"/>
    <x v="20"/>
  </r>
  <r>
    <x v="359"/>
    <n v="148"/>
    <n v="54"/>
    <x v="5"/>
    <x v="1"/>
    <x v="1"/>
    <x v="3"/>
    <x v="239"/>
    <x v="262"/>
    <x v="3"/>
    <x v="3"/>
  </r>
  <r>
    <x v="158"/>
    <n v="249"/>
    <n v="-5"/>
    <x v="3"/>
    <x v="2"/>
    <x v="6"/>
    <x v="0"/>
    <x v="140"/>
    <x v="122"/>
    <x v="1"/>
    <x v="10"/>
  </r>
  <r>
    <x v="85"/>
    <n v="147"/>
    <n v="73"/>
    <x v="9"/>
    <x v="2"/>
    <x v="11"/>
    <x v="3"/>
    <x v="81"/>
    <x v="76"/>
    <x v="6"/>
    <x v="23"/>
  </r>
  <r>
    <x v="360"/>
    <n v="118"/>
    <n v="35"/>
    <x v="0"/>
    <x v="2"/>
    <x v="14"/>
    <x v="1"/>
    <x v="49"/>
    <x v="252"/>
    <x v="0"/>
    <x v="0"/>
  </r>
  <r>
    <x v="162"/>
    <n v="119"/>
    <n v="56"/>
    <x v="0"/>
    <x v="2"/>
    <x v="6"/>
    <x v="1"/>
    <x v="51"/>
    <x v="143"/>
    <x v="11"/>
    <x v="14"/>
  </r>
  <r>
    <x v="346"/>
    <n v="90"/>
    <n v="27"/>
    <x v="5"/>
    <x v="2"/>
    <x v="14"/>
    <x v="0"/>
    <x v="95"/>
    <x v="255"/>
    <x v="7"/>
    <x v="17"/>
  </r>
  <r>
    <x v="231"/>
    <n v="32"/>
    <n v="1"/>
    <x v="5"/>
    <x v="2"/>
    <x v="11"/>
    <x v="0"/>
    <x v="180"/>
    <x v="175"/>
    <x v="18"/>
    <x v="24"/>
  </r>
  <r>
    <x v="361"/>
    <n v="89"/>
    <n v="-89"/>
    <x v="5"/>
    <x v="1"/>
    <x v="15"/>
    <x v="0"/>
    <x v="161"/>
    <x v="221"/>
    <x v="15"/>
    <x v="16"/>
  </r>
  <r>
    <x v="296"/>
    <n v="146"/>
    <n v="66"/>
    <x v="8"/>
    <x v="0"/>
    <x v="4"/>
    <x v="3"/>
    <x v="94"/>
    <x v="225"/>
    <x v="7"/>
    <x v="9"/>
  </r>
  <r>
    <x v="362"/>
    <n v="89"/>
    <n v="-37"/>
    <x v="3"/>
    <x v="2"/>
    <x v="16"/>
    <x v="0"/>
    <x v="240"/>
    <x v="74"/>
    <x v="2"/>
    <x v="4"/>
  </r>
  <r>
    <x v="211"/>
    <n v="88"/>
    <n v="11"/>
    <x v="9"/>
    <x v="0"/>
    <x v="13"/>
    <x v="0"/>
    <x v="17"/>
    <x v="86"/>
    <x v="17"/>
    <x v="21"/>
  </r>
  <r>
    <x v="363"/>
    <n v="121"/>
    <n v="41"/>
    <x v="3"/>
    <x v="2"/>
    <x v="11"/>
    <x v="1"/>
    <x v="80"/>
    <x v="263"/>
    <x v="12"/>
    <x v="15"/>
  </r>
  <r>
    <x v="241"/>
    <n v="88"/>
    <n v="20"/>
    <x v="5"/>
    <x v="2"/>
    <x v="6"/>
    <x v="0"/>
    <x v="1"/>
    <x v="195"/>
    <x v="2"/>
    <x v="4"/>
  </r>
  <r>
    <x v="150"/>
    <n v="87"/>
    <n v="-83"/>
    <x v="4"/>
    <x v="2"/>
    <x v="8"/>
    <x v="0"/>
    <x v="133"/>
    <x v="133"/>
    <x v="14"/>
    <x v="19"/>
  </r>
  <r>
    <x v="364"/>
    <n v="87"/>
    <n v="4"/>
    <x v="5"/>
    <x v="2"/>
    <x v="16"/>
    <x v="0"/>
    <x v="110"/>
    <x v="75"/>
    <x v="3"/>
    <x v="3"/>
  </r>
  <r>
    <x v="365"/>
    <n v="122"/>
    <n v="15"/>
    <x v="9"/>
    <x v="0"/>
    <x v="13"/>
    <x v="1"/>
    <x v="241"/>
    <x v="264"/>
    <x v="12"/>
    <x v="15"/>
  </r>
  <r>
    <x v="366"/>
    <n v="87"/>
    <n v="10"/>
    <x v="9"/>
    <x v="2"/>
    <x v="11"/>
    <x v="0"/>
    <x v="33"/>
    <x v="265"/>
    <x v="17"/>
    <x v="21"/>
  </r>
  <r>
    <x v="367"/>
    <n v="53"/>
    <n v="8"/>
    <x v="9"/>
    <x v="1"/>
    <x v="15"/>
    <x v="3"/>
    <x v="129"/>
    <x v="266"/>
    <x v="2"/>
    <x v="4"/>
  </r>
  <r>
    <x v="102"/>
    <n v="87"/>
    <n v="-32"/>
    <x v="6"/>
    <x v="2"/>
    <x v="9"/>
    <x v="0"/>
    <x v="21"/>
    <x v="85"/>
    <x v="0"/>
    <x v="0"/>
  </r>
  <r>
    <x v="368"/>
    <n v="86"/>
    <n v="-55"/>
    <x v="7"/>
    <x v="2"/>
    <x v="6"/>
    <x v="0"/>
    <x v="242"/>
    <x v="74"/>
    <x v="10"/>
    <x v="13"/>
  </r>
  <r>
    <x v="369"/>
    <n v="125"/>
    <n v="22"/>
    <x v="9"/>
    <x v="2"/>
    <x v="11"/>
    <x v="1"/>
    <x v="243"/>
    <x v="69"/>
    <x v="8"/>
    <x v="11"/>
  </r>
  <r>
    <x v="148"/>
    <n v="128"/>
    <n v="-3"/>
    <x v="9"/>
    <x v="2"/>
    <x v="6"/>
    <x v="4"/>
    <x v="131"/>
    <x v="131"/>
    <x v="13"/>
    <x v="16"/>
  </r>
  <r>
    <x v="192"/>
    <n v="143"/>
    <n v="-124"/>
    <x v="4"/>
    <x v="2"/>
    <x v="6"/>
    <x v="3"/>
    <x v="158"/>
    <x v="140"/>
    <x v="5"/>
    <x v="6"/>
  </r>
  <r>
    <x v="53"/>
    <n v="86"/>
    <n v="22"/>
    <x v="5"/>
    <x v="2"/>
    <x v="6"/>
    <x v="0"/>
    <x v="51"/>
    <x v="32"/>
    <x v="13"/>
    <x v="16"/>
  </r>
  <r>
    <x v="370"/>
    <n v="86"/>
    <n v="9"/>
    <x v="9"/>
    <x v="2"/>
    <x v="6"/>
    <x v="0"/>
    <x v="244"/>
    <x v="267"/>
    <x v="5"/>
    <x v="6"/>
  </r>
  <r>
    <x v="257"/>
    <n v="85"/>
    <n v="-9"/>
    <x v="3"/>
    <x v="2"/>
    <x v="6"/>
    <x v="0"/>
    <x v="194"/>
    <x v="74"/>
    <x v="10"/>
    <x v="13"/>
  </r>
  <r>
    <x v="236"/>
    <n v="129"/>
    <n v="-75"/>
    <x v="4"/>
    <x v="2"/>
    <x v="16"/>
    <x v="4"/>
    <x v="183"/>
    <x v="192"/>
    <x v="2"/>
    <x v="4"/>
  </r>
  <r>
    <x v="371"/>
    <n v="84"/>
    <n v="-42"/>
    <x v="5"/>
    <x v="0"/>
    <x v="13"/>
    <x v="0"/>
    <x v="245"/>
    <x v="268"/>
    <x v="13"/>
    <x v="22"/>
  </r>
  <r>
    <x v="91"/>
    <n v="83"/>
    <n v="-81"/>
    <x v="9"/>
    <x v="1"/>
    <x v="1"/>
    <x v="0"/>
    <x v="46"/>
    <x v="83"/>
    <x v="6"/>
    <x v="8"/>
  </r>
  <r>
    <x v="265"/>
    <n v="143"/>
    <n v="6"/>
    <x v="5"/>
    <x v="0"/>
    <x v="13"/>
    <x v="3"/>
    <x v="199"/>
    <x v="190"/>
    <x v="12"/>
    <x v="15"/>
  </r>
  <r>
    <x v="372"/>
    <n v="336"/>
    <n v="123"/>
    <x v="9"/>
    <x v="0"/>
    <x v="4"/>
    <x v="3"/>
    <x v="246"/>
    <x v="269"/>
    <x v="18"/>
    <x v="24"/>
  </r>
  <r>
    <x v="44"/>
    <n v="323"/>
    <n v="122"/>
    <x v="4"/>
    <x v="0"/>
    <x v="4"/>
    <x v="3"/>
    <x v="42"/>
    <x v="44"/>
    <x v="2"/>
    <x v="2"/>
  </r>
  <r>
    <x v="228"/>
    <n v="130"/>
    <n v="61"/>
    <x v="9"/>
    <x v="2"/>
    <x v="16"/>
    <x v="4"/>
    <x v="178"/>
    <x v="28"/>
    <x v="12"/>
    <x v="15"/>
  </r>
  <r>
    <x v="260"/>
    <n v="152"/>
    <n v="-3"/>
    <x v="4"/>
    <x v="2"/>
    <x v="6"/>
    <x v="0"/>
    <x v="195"/>
    <x v="207"/>
    <x v="8"/>
    <x v="11"/>
  </r>
  <r>
    <x v="365"/>
    <n v="25"/>
    <n v="10"/>
    <x v="8"/>
    <x v="1"/>
    <x v="15"/>
    <x v="3"/>
    <x v="241"/>
    <x v="264"/>
    <x v="12"/>
    <x v="15"/>
  </r>
  <r>
    <x v="109"/>
    <n v="140"/>
    <n v="15"/>
    <x v="4"/>
    <x v="2"/>
    <x v="11"/>
    <x v="3"/>
    <x v="101"/>
    <x v="99"/>
    <x v="2"/>
    <x v="4"/>
  </r>
  <r>
    <x v="209"/>
    <n v="45"/>
    <n v="0"/>
    <x v="5"/>
    <x v="2"/>
    <x v="11"/>
    <x v="3"/>
    <x v="23"/>
    <x v="173"/>
    <x v="2"/>
    <x v="4"/>
  </r>
  <r>
    <x v="125"/>
    <n v="132"/>
    <n v="49"/>
    <x v="9"/>
    <x v="2"/>
    <x v="16"/>
    <x v="0"/>
    <x v="71"/>
    <x v="113"/>
    <x v="0"/>
    <x v="0"/>
  </r>
  <r>
    <x v="197"/>
    <n v="133"/>
    <n v="12"/>
    <x v="4"/>
    <x v="2"/>
    <x v="11"/>
    <x v="4"/>
    <x v="161"/>
    <x v="168"/>
    <x v="13"/>
    <x v="16"/>
  </r>
  <r>
    <x v="155"/>
    <n v="82"/>
    <n v="13"/>
    <x v="5"/>
    <x v="2"/>
    <x v="16"/>
    <x v="0"/>
    <x v="137"/>
    <x v="137"/>
    <x v="2"/>
    <x v="4"/>
  </r>
  <r>
    <x v="211"/>
    <n v="140"/>
    <n v="56"/>
    <x v="3"/>
    <x v="2"/>
    <x v="16"/>
    <x v="3"/>
    <x v="17"/>
    <x v="86"/>
    <x v="17"/>
    <x v="21"/>
  </r>
  <r>
    <x v="298"/>
    <n v="81"/>
    <n v="19"/>
    <x v="0"/>
    <x v="2"/>
    <x v="7"/>
    <x v="0"/>
    <x v="68"/>
    <x v="48"/>
    <x v="0"/>
    <x v="0"/>
  </r>
  <r>
    <x v="45"/>
    <n v="137"/>
    <n v="38"/>
    <x v="4"/>
    <x v="2"/>
    <x v="7"/>
    <x v="4"/>
    <x v="43"/>
    <x v="45"/>
    <x v="7"/>
    <x v="9"/>
  </r>
  <r>
    <x v="373"/>
    <n v="137"/>
    <n v="-41"/>
    <x v="9"/>
    <x v="0"/>
    <x v="4"/>
    <x v="4"/>
    <x v="247"/>
    <x v="270"/>
    <x v="9"/>
    <x v="12"/>
  </r>
  <r>
    <x v="351"/>
    <n v="140"/>
    <n v="57"/>
    <x v="5"/>
    <x v="2"/>
    <x v="5"/>
    <x v="4"/>
    <x v="21"/>
    <x v="258"/>
    <x v="2"/>
    <x v="4"/>
  </r>
  <r>
    <x v="374"/>
    <n v="139"/>
    <n v="30"/>
    <x v="9"/>
    <x v="2"/>
    <x v="16"/>
    <x v="3"/>
    <x v="147"/>
    <x v="64"/>
    <x v="6"/>
    <x v="23"/>
  </r>
  <r>
    <x v="241"/>
    <n v="138"/>
    <n v="11"/>
    <x v="4"/>
    <x v="2"/>
    <x v="11"/>
    <x v="3"/>
    <x v="1"/>
    <x v="195"/>
    <x v="2"/>
    <x v="4"/>
  </r>
  <r>
    <x v="375"/>
    <n v="79"/>
    <n v="-124"/>
    <x v="6"/>
    <x v="2"/>
    <x v="9"/>
    <x v="0"/>
    <x v="93"/>
    <x v="271"/>
    <x v="8"/>
    <x v="11"/>
  </r>
  <r>
    <x v="376"/>
    <n v="136"/>
    <n v="41"/>
    <x v="9"/>
    <x v="0"/>
    <x v="13"/>
    <x v="3"/>
    <x v="238"/>
    <x v="272"/>
    <x v="18"/>
    <x v="24"/>
  </r>
  <r>
    <x v="265"/>
    <n v="145"/>
    <n v="16"/>
    <x v="9"/>
    <x v="2"/>
    <x v="14"/>
    <x v="4"/>
    <x v="199"/>
    <x v="190"/>
    <x v="12"/>
    <x v="15"/>
  </r>
  <r>
    <x v="142"/>
    <n v="44"/>
    <n v="20"/>
    <x v="5"/>
    <x v="2"/>
    <x v="14"/>
    <x v="3"/>
    <x v="76"/>
    <x v="127"/>
    <x v="17"/>
    <x v="21"/>
  </r>
  <r>
    <x v="274"/>
    <n v="79"/>
    <n v="6"/>
    <x v="0"/>
    <x v="2"/>
    <x v="6"/>
    <x v="0"/>
    <x v="95"/>
    <x v="215"/>
    <x v="2"/>
    <x v="4"/>
  </r>
  <r>
    <x v="126"/>
    <n v="79"/>
    <n v="36"/>
    <x v="3"/>
    <x v="2"/>
    <x v="16"/>
    <x v="0"/>
    <x v="116"/>
    <x v="114"/>
    <x v="6"/>
    <x v="8"/>
  </r>
  <r>
    <x v="180"/>
    <n v="134"/>
    <n v="-13"/>
    <x v="9"/>
    <x v="0"/>
    <x v="0"/>
    <x v="3"/>
    <x v="152"/>
    <x v="75"/>
    <x v="3"/>
    <x v="3"/>
  </r>
  <r>
    <x v="21"/>
    <n v="133"/>
    <n v="5"/>
    <x v="4"/>
    <x v="2"/>
    <x v="11"/>
    <x v="3"/>
    <x v="21"/>
    <x v="21"/>
    <x v="0"/>
    <x v="0"/>
  </r>
  <r>
    <x v="179"/>
    <n v="47"/>
    <n v="20"/>
    <x v="0"/>
    <x v="2"/>
    <x v="7"/>
    <x v="3"/>
    <x v="1"/>
    <x v="156"/>
    <x v="12"/>
    <x v="15"/>
  </r>
  <r>
    <x v="226"/>
    <n v="133"/>
    <n v="-42"/>
    <x v="8"/>
    <x v="0"/>
    <x v="3"/>
    <x v="3"/>
    <x v="177"/>
    <x v="185"/>
    <x v="0"/>
    <x v="0"/>
  </r>
  <r>
    <x v="377"/>
    <n v="78"/>
    <n v="27"/>
    <x v="9"/>
    <x v="2"/>
    <x v="11"/>
    <x v="0"/>
    <x v="145"/>
    <x v="273"/>
    <x v="8"/>
    <x v="11"/>
  </r>
  <r>
    <x v="378"/>
    <n v="78"/>
    <n v="7"/>
    <x v="8"/>
    <x v="1"/>
    <x v="1"/>
    <x v="0"/>
    <x v="152"/>
    <x v="108"/>
    <x v="4"/>
    <x v="5"/>
  </r>
  <r>
    <x v="379"/>
    <n v="76"/>
    <n v="-92"/>
    <x v="2"/>
    <x v="1"/>
    <x v="15"/>
    <x v="0"/>
    <x v="248"/>
    <x v="195"/>
    <x v="2"/>
    <x v="4"/>
  </r>
  <r>
    <x v="380"/>
    <n v="76"/>
    <n v="-50"/>
    <x v="8"/>
    <x v="2"/>
    <x v="6"/>
    <x v="0"/>
    <x v="0"/>
    <x v="274"/>
    <x v="2"/>
    <x v="4"/>
  </r>
  <r>
    <x v="202"/>
    <n v="76"/>
    <n v="19"/>
    <x v="9"/>
    <x v="2"/>
    <x v="7"/>
    <x v="0"/>
    <x v="18"/>
    <x v="141"/>
    <x v="2"/>
    <x v="2"/>
  </r>
  <r>
    <x v="123"/>
    <n v="74"/>
    <n v="29"/>
    <x v="9"/>
    <x v="2"/>
    <x v="11"/>
    <x v="0"/>
    <x v="114"/>
    <x v="111"/>
    <x v="16"/>
    <x v="20"/>
  </r>
  <r>
    <x v="381"/>
    <n v="74"/>
    <n v="-25"/>
    <x v="9"/>
    <x v="2"/>
    <x v="11"/>
    <x v="0"/>
    <x v="120"/>
    <x v="76"/>
    <x v="2"/>
    <x v="4"/>
  </r>
  <r>
    <x v="113"/>
    <n v="146"/>
    <n v="-63"/>
    <x v="9"/>
    <x v="0"/>
    <x v="0"/>
    <x v="4"/>
    <x v="104"/>
    <x v="102"/>
    <x v="12"/>
    <x v="15"/>
  </r>
  <r>
    <x v="110"/>
    <n v="73"/>
    <n v="-31"/>
    <x v="8"/>
    <x v="1"/>
    <x v="2"/>
    <x v="0"/>
    <x v="90"/>
    <x v="100"/>
    <x v="0"/>
    <x v="0"/>
  </r>
  <r>
    <x v="58"/>
    <n v="80"/>
    <n v="22"/>
    <x v="9"/>
    <x v="2"/>
    <x v="11"/>
    <x v="3"/>
    <x v="56"/>
    <x v="56"/>
    <x v="17"/>
    <x v="21"/>
  </r>
  <r>
    <x v="262"/>
    <n v="133"/>
    <n v="46"/>
    <x v="4"/>
    <x v="2"/>
    <x v="16"/>
    <x v="1"/>
    <x v="172"/>
    <x v="106"/>
    <x v="0"/>
    <x v="18"/>
  </r>
  <r>
    <x v="382"/>
    <n v="146"/>
    <n v="7"/>
    <x v="5"/>
    <x v="0"/>
    <x v="4"/>
    <x v="4"/>
    <x v="249"/>
    <x v="213"/>
    <x v="9"/>
    <x v="12"/>
  </r>
  <r>
    <x v="186"/>
    <n v="130"/>
    <n v="-41"/>
    <x v="3"/>
    <x v="2"/>
    <x v="6"/>
    <x v="1"/>
    <x v="156"/>
    <x v="160"/>
    <x v="13"/>
    <x v="16"/>
  </r>
  <r>
    <x v="383"/>
    <n v="141"/>
    <n v="41"/>
    <x v="9"/>
    <x v="2"/>
    <x v="16"/>
    <x v="3"/>
    <x v="40"/>
    <x v="18"/>
    <x v="6"/>
    <x v="23"/>
  </r>
  <r>
    <x v="182"/>
    <n v="147"/>
    <n v="21"/>
    <x v="9"/>
    <x v="1"/>
    <x v="15"/>
    <x v="4"/>
    <x v="23"/>
    <x v="115"/>
    <x v="11"/>
    <x v="14"/>
  </r>
  <r>
    <x v="69"/>
    <n v="73"/>
    <n v="-7"/>
    <x v="8"/>
    <x v="0"/>
    <x v="4"/>
    <x v="0"/>
    <x v="66"/>
    <x v="66"/>
    <x v="4"/>
    <x v="5"/>
  </r>
  <r>
    <x v="384"/>
    <n v="148"/>
    <n v="72"/>
    <x v="0"/>
    <x v="2"/>
    <x v="14"/>
    <x v="4"/>
    <x v="250"/>
    <x v="275"/>
    <x v="17"/>
    <x v="21"/>
  </r>
  <r>
    <x v="385"/>
    <n v="58"/>
    <n v="0"/>
    <x v="3"/>
    <x v="2"/>
    <x v="6"/>
    <x v="3"/>
    <x v="251"/>
    <x v="27"/>
    <x v="14"/>
    <x v="19"/>
  </r>
  <r>
    <x v="276"/>
    <n v="21"/>
    <n v="-13"/>
    <x v="9"/>
    <x v="2"/>
    <x v="12"/>
    <x v="3"/>
    <x v="83"/>
    <x v="97"/>
    <x v="16"/>
    <x v="20"/>
  </r>
  <r>
    <x v="3"/>
    <n v="148"/>
    <n v="25"/>
    <x v="9"/>
    <x v="2"/>
    <x v="6"/>
    <x v="4"/>
    <x v="3"/>
    <x v="3"/>
    <x v="2"/>
    <x v="2"/>
  </r>
  <r>
    <x v="386"/>
    <n v="144"/>
    <n v="-7"/>
    <x v="3"/>
    <x v="0"/>
    <x v="0"/>
    <x v="0"/>
    <x v="252"/>
    <x v="276"/>
    <x v="5"/>
    <x v="6"/>
  </r>
  <r>
    <x v="258"/>
    <n v="145"/>
    <n v="-104"/>
    <x v="4"/>
    <x v="1"/>
    <x v="1"/>
    <x v="3"/>
    <x v="119"/>
    <x v="206"/>
    <x v="4"/>
    <x v="5"/>
  </r>
  <r>
    <x v="82"/>
    <n v="72"/>
    <n v="-49"/>
    <x v="8"/>
    <x v="0"/>
    <x v="4"/>
    <x v="0"/>
    <x v="78"/>
    <x v="77"/>
    <x v="0"/>
    <x v="18"/>
  </r>
  <r>
    <x v="20"/>
    <n v="125"/>
    <n v="15"/>
    <x v="4"/>
    <x v="2"/>
    <x v="16"/>
    <x v="1"/>
    <x v="20"/>
    <x v="20"/>
    <x v="8"/>
    <x v="11"/>
  </r>
  <r>
    <x v="45"/>
    <n v="149"/>
    <n v="15"/>
    <x v="9"/>
    <x v="2"/>
    <x v="6"/>
    <x v="4"/>
    <x v="43"/>
    <x v="45"/>
    <x v="7"/>
    <x v="9"/>
  </r>
  <r>
    <x v="86"/>
    <n v="72"/>
    <n v="16"/>
    <x v="5"/>
    <x v="2"/>
    <x v="16"/>
    <x v="0"/>
    <x v="82"/>
    <x v="79"/>
    <x v="0"/>
    <x v="0"/>
  </r>
  <r>
    <x v="25"/>
    <n v="71"/>
    <n v="0"/>
    <x v="2"/>
    <x v="2"/>
    <x v="9"/>
    <x v="0"/>
    <x v="25"/>
    <x v="25"/>
    <x v="11"/>
    <x v="14"/>
  </r>
  <r>
    <x v="387"/>
    <n v="71"/>
    <n v="-14"/>
    <x v="3"/>
    <x v="1"/>
    <x v="15"/>
    <x v="0"/>
    <x v="44"/>
    <x v="277"/>
    <x v="0"/>
    <x v="0"/>
  </r>
  <r>
    <x v="66"/>
    <n v="154"/>
    <n v="-85"/>
    <x v="9"/>
    <x v="1"/>
    <x v="1"/>
    <x v="1"/>
    <x v="63"/>
    <x v="63"/>
    <x v="10"/>
    <x v="13"/>
  </r>
  <r>
    <x v="120"/>
    <n v="191"/>
    <n v="13"/>
    <x v="2"/>
    <x v="1"/>
    <x v="15"/>
    <x v="0"/>
    <x v="111"/>
    <x v="109"/>
    <x v="0"/>
    <x v="0"/>
  </r>
  <r>
    <x v="371"/>
    <n v="170"/>
    <n v="19"/>
    <x v="4"/>
    <x v="2"/>
    <x v="14"/>
    <x v="3"/>
    <x v="245"/>
    <x v="268"/>
    <x v="13"/>
    <x v="22"/>
  </r>
  <r>
    <x v="40"/>
    <n v="47"/>
    <n v="-3"/>
    <x v="5"/>
    <x v="2"/>
    <x v="11"/>
    <x v="3"/>
    <x v="38"/>
    <x v="40"/>
    <x v="10"/>
    <x v="13"/>
  </r>
  <r>
    <x v="50"/>
    <n v="122"/>
    <n v="-47"/>
    <x v="3"/>
    <x v="2"/>
    <x v="6"/>
    <x v="1"/>
    <x v="48"/>
    <x v="49"/>
    <x v="6"/>
    <x v="8"/>
  </r>
  <r>
    <x v="298"/>
    <n v="70"/>
    <n v="26"/>
    <x v="4"/>
    <x v="2"/>
    <x v="7"/>
    <x v="0"/>
    <x v="68"/>
    <x v="48"/>
    <x v="0"/>
    <x v="0"/>
  </r>
  <r>
    <x v="231"/>
    <n v="155"/>
    <n v="5"/>
    <x v="9"/>
    <x v="2"/>
    <x v="11"/>
    <x v="1"/>
    <x v="180"/>
    <x v="175"/>
    <x v="18"/>
    <x v="24"/>
  </r>
  <r>
    <x v="388"/>
    <n v="67"/>
    <n v="-86"/>
    <x v="6"/>
    <x v="1"/>
    <x v="15"/>
    <x v="0"/>
    <x v="253"/>
    <x v="29"/>
    <x v="1"/>
    <x v="10"/>
  </r>
  <r>
    <x v="69"/>
    <n v="67"/>
    <n v="-42"/>
    <x v="9"/>
    <x v="2"/>
    <x v="11"/>
    <x v="0"/>
    <x v="66"/>
    <x v="66"/>
    <x v="4"/>
    <x v="5"/>
  </r>
  <r>
    <x v="37"/>
    <n v="148"/>
    <n v="-101"/>
    <x v="5"/>
    <x v="1"/>
    <x v="2"/>
    <x v="3"/>
    <x v="35"/>
    <x v="37"/>
    <x v="0"/>
    <x v="0"/>
  </r>
  <r>
    <x v="196"/>
    <n v="122"/>
    <n v="38"/>
    <x v="7"/>
    <x v="2"/>
    <x v="14"/>
    <x v="2"/>
    <x v="92"/>
    <x v="167"/>
    <x v="2"/>
    <x v="4"/>
  </r>
  <r>
    <x v="389"/>
    <n v="16"/>
    <n v="-5"/>
    <x v="5"/>
    <x v="2"/>
    <x v="11"/>
    <x v="3"/>
    <x v="254"/>
    <x v="278"/>
    <x v="3"/>
    <x v="3"/>
  </r>
  <r>
    <x v="173"/>
    <n v="121"/>
    <n v="-17"/>
    <x v="9"/>
    <x v="1"/>
    <x v="15"/>
    <x v="2"/>
    <x v="149"/>
    <x v="150"/>
    <x v="2"/>
    <x v="4"/>
  </r>
  <r>
    <x v="110"/>
    <n v="42"/>
    <n v="-15"/>
    <x v="13"/>
    <x v="2"/>
    <x v="9"/>
    <x v="3"/>
    <x v="90"/>
    <x v="100"/>
    <x v="0"/>
    <x v="0"/>
  </r>
  <r>
    <x v="230"/>
    <n v="65"/>
    <n v="-4"/>
    <x v="7"/>
    <x v="2"/>
    <x v="7"/>
    <x v="0"/>
    <x v="90"/>
    <x v="188"/>
    <x v="2"/>
    <x v="4"/>
  </r>
  <r>
    <x v="354"/>
    <n v="119"/>
    <n v="-43"/>
    <x v="0"/>
    <x v="2"/>
    <x v="8"/>
    <x v="2"/>
    <x v="237"/>
    <x v="76"/>
    <x v="7"/>
    <x v="17"/>
  </r>
  <r>
    <x v="368"/>
    <n v="155"/>
    <n v="56"/>
    <x v="9"/>
    <x v="1"/>
    <x v="15"/>
    <x v="1"/>
    <x v="242"/>
    <x v="74"/>
    <x v="10"/>
    <x v="13"/>
  </r>
  <r>
    <x v="4"/>
    <n v="119"/>
    <n v="-5"/>
    <x v="2"/>
    <x v="2"/>
    <x v="6"/>
    <x v="2"/>
    <x v="4"/>
    <x v="4"/>
    <x v="2"/>
    <x v="2"/>
  </r>
  <r>
    <x v="390"/>
    <n v="118"/>
    <n v="25"/>
    <x v="3"/>
    <x v="2"/>
    <x v="7"/>
    <x v="2"/>
    <x v="255"/>
    <x v="279"/>
    <x v="7"/>
    <x v="17"/>
  </r>
  <r>
    <x v="101"/>
    <n v="116"/>
    <n v="22"/>
    <x v="8"/>
    <x v="0"/>
    <x v="13"/>
    <x v="2"/>
    <x v="94"/>
    <x v="93"/>
    <x v="9"/>
    <x v="12"/>
  </r>
  <r>
    <x v="21"/>
    <n v="158"/>
    <n v="-29"/>
    <x v="12"/>
    <x v="2"/>
    <x v="7"/>
    <x v="1"/>
    <x v="21"/>
    <x v="21"/>
    <x v="0"/>
    <x v="0"/>
  </r>
  <r>
    <x v="291"/>
    <n v="158"/>
    <n v="69"/>
    <x v="9"/>
    <x v="2"/>
    <x v="11"/>
    <x v="1"/>
    <x v="3"/>
    <x v="38"/>
    <x v="9"/>
    <x v="12"/>
  </r>
  <r>
    <x v="256"/>
    <n v="65"/>
    <n v="-52"/>
    <x v="9"/>
    <x v="0"/>
    <x v="13"/>
    <x v="0"/>
    <x v="193"/>
    <x v="205"/>
    <x v="1"/>
    <x v="10"/>
  </r>
  <r>
    <x v="391"/>
    <n v="160"/>
    <n v="-59"/>
    <x v="5"/>
    <x v="2"/>
    <x v="6"/>
    <x v="1"/>
    <x v="256"/>
    <x v="110"/>
    <x v="10"/>
    <x v="13"/>
  </r>
  <r>
    <x v="46"/>
    <n v="162"/>
    <n v="20"/>
    <x v="9"/>
    <x v="1"/>
    <x v="1"/>
    <x v="1"/>
    <x v="44"/>
    <x v="46"/>
    <x v="5"/>
    <x v="6"/>
  </r>
  <r>
    <x v="152"/>
    <n v="63"/>
    <n v="1"/>
    <x v="3"/>
    <x v="2"/>
    <x v="14"/>
    <x v="0"/>
    <x v="105"/>
    <x v="135"/>
    <x v="6"/>
    <x v="23"/>
  </r>
  <r>
    <x v="392"/>
    <n v="64"/>
    <n v="27"/>
    <x v="4"/>
    <x v="2"/>
    <x v="7"/>
    <x v="3"/>
    <x v="68"/>
    <x v="280"/>
    <x v="0"/>
    <x v="0"/>
  </r>
  <r>
    <x v="393"/>
    <n v="166"/>
    <n v="-113"/>
    <x v="3"/>
    <x v="0"/>
    <x v="13"/>
    <x v="1"/>
    <x v="257"/>
    <x v="281"/>
    <x v="10"/>
    <x v="13"/>
  </r>
  <r>
    <x v="394"/>
    <n v="167"/>
    <n v="43"/>
    <x v="0"/>
    <x v="2"/>
    <x v="14"/>
    <x v="1"/>
    <x v="78"/>
    <x v="282"/>
    <x v="6"/>
    <x v="8"/>
  </r>
  <r>
    <x v="395"/>
    <n v="123"/>
    <n v="17"/>
    <x v="9"/>
    <x v="1"/>
    <x v="15"/>
    <x v="0"/>
    <x v="258"/>
    <x v="96"/>
    <x v="11"/>
    <x v="14"/>
  </r>
  <r>
    <x v="95"/>
    <n v="63"/>
    <n v="14"/>
    <x v="5"/>
    <x v="2"/>
    <x v="16"/>
    <x v="0"/>
    <x v="89"/>
    <x v="87"/>
    <x v="0"/>
    <x v="0"/>
  </r>
  <r>
    <x v="296"/>
    <n v="891"/>
    <n v="0"/>
    <x v="4"/>
    <x v="2"/>
    <x v="6"/>
    <x v="0"/>
    <x v="94"/>
    <x v="225"/>
    <x v="7"/>
    <x v="9"/>
  </r>
  <r>
    <x v="166"/>
    <n v="75"/>
    <n v="28"/>
    <x v="6"/>
    <x v="2"/>
    <x v="7"/>
    <x v="3"/>
    <x v="146"/>
    <x v="146"/>
    <x v="0"/>
    <x v="0"/>
  </r>
  <r>
    <x v="239"/>
    <n v="62"/>
    <n v="6"/>
    <x v="4"/>
    <x v="2"/>
    <x v="7"/>
    <x v="0"/>
    <x v="80"/>
    <x v="193"/>
    <x v="1"/>
    <x v="10"/>
  </r>
  <r>
    <x v="308"/>
    <n v="29"/>
    <n v="-18"/>
    <x v="0"/>
    <x v="2"/>
    <x v="9"/>
    <x v="3"/>
    <x v="216"/>
    <x v="230"/>
    <x v="15"/>
    <x v="16"/>
  </r>
  <r>
    <x v="396"/>
    <n v="168"/>
    <n v="18"/>
    <x v="7"/>
    <x v="2"/>
    <x v="11"/>
    <x v="4"/>
    <x v="180"/>
    <x v="143"/>
    <x v="11"/>
    <x v="14"/>
  </r>
  <r>
    <x v="179"/>
    <n v="70"/>
    <n v="24"/>
    <x v="9"/>
    <x v="2"/>
    <x v="11"/>
    <x v="3"/>
    <x v="1"/>
    <x v="156"/>
    <x v="12"/>
    <x v="15"/>
  </r>
  <r>
    <x v="198"/>
    <n v="169"/>
    <n v="55"/>
    <x v="3"/>
    <x v="2"/>
    <x v="6"/>
    <x v="4"/>
    <x v="162"/>
    <x v="49"/>
    <x v="6"/>
    <x v="8"/>
  </r>
  <r>
    <x v="120"/>
    <n v="32"/>
    <n v="-8"/>
    <x v="5"/>
    <x v="2"/>
    <x v="11"/>
    <x v="0"/>
    <x v="111"/>
    <x v="109"/>
    <x v="0"/>
    <x v="0"/>
  </r>
  <r>
    <x v="89"/>
    <n v="44"/>
    <n v="-8"/>
    <x v="9"/>
    <x v="2"/>
    <x v="11"/>
    <x v="3"/>
    <x v="85"/>
    <x v="71"/>
    <x v="0"/>
    <x v="0"/>
  </r>
  <r>
    <x v="77"/>
    <n v="116"/>
    <n v="-56"/>
    <x v="4"/>
    <x v="2"/>
    <x v="11"/>
    <x v="2"/>
    <x v="73"/>
    <x v="72"/>
    <x v="16"/>
    <x v="20"/>
  </r>
  <r>
    <x v="397"/>
    <n v="156"/>
    <n v="21"/>
    <x v="9"/>
    <x v="1"/>
    <x v="1"/>
    <x v="0"/>
    <x v="259"/>
    <x v="26"/>
    <x v="0"/>
    <x v="0"/>
  </r>
  <r>
    <x v="141"/>
    <n v="62"/>
    <n v="6"/>
    <x v="7"/>
    <x v="2"/>
    <x v="9"/>
    <x v="0"/>
    <x v="60"/>
    <x v="126"/>
    <x v="8"/>
    <x v="11"/>
  </r>
  <r>
    <x v="25"/>
    <n v="54"/>
    <n v="1"/>
    <x v="5"/>
    <x v="2"/>
    <x v="6"/>
    <x v="3"/>
    <x v="25"/>
    <x v="25"/>
    <x v="11"/>
    <x v="14"/>
  </r>
  <r>
    <x v="147"/>
    <n v="111"/>
    <n v="11"/>
    <x v="6"/>
    <x v="2"/>
    <x v="7"/>
    <x v="2"/>
    <x v="21"/>
    <x v="130"/>
    <x v="17"/>
    <x v="21"/>
  </r>
  <r>
    <x v="398"/>
    <n v="158"/>
    <n v="-63"/>
    <x v="3"/>
    <x v="1"/>
    <x v="1"/>
    <x v="3"/>
    <x v="260"/>
    <x v="283"/>
    <x v="17"/>
    <x v="21"/>
  </r>
  <r>
    <x v="183"/>
    <n v="7"/>
    <n v="-3"/>
    <x v="5"/>
    <x v="2"/>
    <x v="9"/>
    <x v="3"/>
    <x v="154"/>
    <x v="158"/>
    <x v="3"/>
    <x v="3"/>
  </r>
  <r>
    <x v="346"/>
    <n v="61"/>
    <n v="28"/>
    <x v="5"/>
    <x v="2"/>
    <x v="7"/>
    <x v="3"/>
    <x v="95"/>
    <x v="255"/>
    <x v="7"/>
    <x v="17"/>
  </r>
  <r>
    <x v="176"/>
    <n v="61"/>
    <n v="-50"/>
    <x v="3"/>
    <x v="2"/>
    <x v="7"/>
    <x v="0"/>
    <x v="50"/>
    <x v="153"/>
    <x v="9"/>
    <x v="12"/>
  </r>
  <r>
    <x v="274"/>
    <n v="154"/>
    <n v="26"/>
    <x v="3"/>
    <x v="0"/>
    <x v="13"/>
    <x v="0"/>
    <x v="95"/>
    <x v="215"/>
    <x v="2"/>
    <x v="4"/>
  </r>
  <r>
    <x v="9"/>
    <n v="62"/>
    <n v="1"/>
    <x v="9"/>
    <x v="2"/>
    <x v="6"/>
    <x v="0"/>
    <x v="9"/>
    <x v="9"/>
    <x v="5"/>
    <x v="6"/>
  </r>
  <r>
    <x v="399"/>
    <n v="169"/>
    <n v="38"/>
    <x v="9"/>
    <x v="2"/>
    <x v="6"/>
    <x v="4"/>
    <x v="261"/>
    <x v="284"/>
    <x v="2"/>
    <x v="2"/>
  </r>
  <r>
    <x v="376"/>
    <n v="61"/>
    <n v="18"/>
    <x v="5"/>
    <x v="0"/>
    <x v="13"/>
    <x v="0"/>
    <x v="238"/>
    <x v="272"/>
    <x v="18"/>
    <x v="24"/>
  </r>
  <r>
    <x v="93"/>
    <n v="61"/>
    <n v="-23"/>
    <x v="5"/>
    <x v="2"/>
    <x v="6"/>
    <x v="0"/>
    <x v="15"/>
    <x v="85"/>
    <x v="2"/>
    <x v="2"/>
  </r>
  <r>
    <x v="400"/>
    <n v="171"/>
    <n v="14"/>
    <x v="6"/>
    <x v="2"/>
    <x v="16"/>
    <x v="4"/>
    <x v="78"/>
    <x v="285"/>
    <x v="17"/>
    <x v="21"/>
  </r>
  <r>
    <x v="244"/>
    <n v="60"/>
    <n v="-49"/>
    <x v="2"/>
    <x v="2"/>
    <x v="7"/>
    <x v="0"/>
    <x v="187"/>
    <x v="196"/>
    <x v="7"/>
    <x v="9"/>
  </r>
  <r>
    <x v="356"/>
    <n v="25"/>
    <n v="-11"/>
    <x v="8"/>
    <x v="2"/>
    <x v="11"/>
    <x v="3"/>
    <x v="54"/>
    <x v="211"/>
    <x v="0"/>
    <x v="0"/>
  </r>
  <r>
    <x v="156"/>
    <n v="163"/>
    <n v="26"/>
    <x v="3"/>
    <x v="2"/>
    <x v="16"/>
    <x v="0"/>
    <x v="138"/>
    <x v="138"/>
    <x v="18"/>
    <x v="24"/>
  </r>
  <r>
    <x v="132"/>
    <n v="173"/>
    <n v="86"/>
    <x v="8"/>
    <x v="0"/>
    <x v="3"/>
    <x v="4"/>
    <x v="40"/>
    <x v="14"/>
    <x v="8"/>
    <x v="11"/>
  </r>
  <r>
    <x v="40"/>
    <n v="257"/>
    <n v="-3"/>
    <x v="5"/>
    <x v="1"/>
    <x v="2"/>
    <x v="3"/>
    <x v="38"/>
    <x v="40"/>
    <x v="10"/>
    <x v="13"/>
  </r>
  <r>
    <x v="401"/>
    <n v="108"/>
    <n v="37"/>
    <x v="5"/>
    <x v="2"/>
    <x v="11"/>
    <x v="2"/>
    <x v="101"/>
    <x v="286"/>
    <x v="6"/>
    <x v="23"/>
  </r>
  <r>
    <x v="402"/>
    <n v="177"/>
    <n v="41"/>
    <x v="3"/>
    <x v="2"/>
    <x v="16"/>
    <x v="4"/>
    <x v="262"/>
    <x v="287"/>
    <x v="5"/>
    <x v="6"/>
  </r>
  <r>
    <x v="74"/>
    <n v="106"/>
    <n v="15"/>
    <x v="0"/>
    <x v="2"/>
    <x v="7"/>
    <x v="2"/>
    <x v="70"/>
    <x v="11"/>
    <x v="0"/>
    <x v="0"/>
  </r>
  <r>
    <x v="29"/>
    <n v="41"/>
    <n v="-14"/>
    <x v="4"/>
    <x v="2"/>
    <x v="12"/>
    <x v="3"/>
    <x v="28"/>
    <x v="29"/>
    <x v="12"/>
    <x v="15"/>
  </r>
  <r>
    <x v="87"/>
    <n v="168"/>
    <n v="-10"/>
    <x v="9"/>
    <x v="0"/>
    <x v="13"/>
    <x v="3"/>
    <x v="83"/>
    <x v="80"/>
    <x v="5"/>
    <x v="6"/>
  </r>
  <r>
    <x v="108"/>
    <n v="60"/>
    <n v="21"/>
    <x v="3"/>
    <x v="2"/>
    <x v="11"/>
    <x v="0"/>
    <x v="100"/>
    <x v="84"/>
    <x v="17"/>
    <x v="21"/>
  </r>
  <r>
    <x v="403"/>
    <n v="31"/>
    <n v="-11"/>
    <x v="3"/>
    <x v="2"/>
    <x v="11"/>
    <x v="0"/>
    <x v="111"/>
    <x v="288"/>
    <x v="16"/>
    <x v="20"/>
  </r>
  <r>
    <x v="196"/>
    <n v="179"/>
    <n v="0"/>
    <x v="5"/>
    <x v="2"/>
    <x v="6"/>
    <x v="4"/>
    <x v="92"/>
    <x v="167"/>
    <x v="2"/>
    <x v="4"/>
  </r>
  <r>
    <x v="140"/>
    <n v="106"/>
    <n v="12"/>
    <x v="9"/>
    <x v="2"/>
    <x v="5"/>
    <x v="2"/>
    <x v="126"/>
    <x v="125"/>
    <x v="0"/>
    <x v="0"/>
  </r>
  <r>
    <x v="262"/>
    <n v="60"/>
    <n v="13"/>
    <x v="5"/>
    <x v="2"/>
    <x v="14"/>
    <x v="0"/>
    <x v="172"/>
    <x v="106"/>
    <x v="0"/>
    <x v="18"/>
  </r>
  <r>
    <x v="117"/>
    <n v="180"/>
    <n v="5"/>
    <x v="9"/>
    <x v="2"/>
    <x v="5"/>
    <x v="4"/>
    <x v="108"/>
    <x v="106"/>
    <x v="0"/>
    <x v="18"/>
  </r>
  <r>
    <x v="103"/>
    <n v="60"/>
    <n v="-10"/>
    <x v="5"/>
    <x v="1"/>
    <x v="15"/>
    <x v="0"/>
    <x v="95"/>
    <x v="94"/>
    <x v="0"/>
    <x v="0"/>
  </r>
  <r>
    <x v="357"/>
    <n v="59"/>
    <n v="25"/>
    <x v="9"/>
    <x v="2"/>
    <x v="11"/>
    <x v="0"/>
    <x v="238"/>
    <x v="161"/>
    <x v="11"/>
    <x v="14"/>
  </r>
  <r>
    <x v="54"/>
    <n v="170"/>
    <n v="73"/>
    <x v="5"/>
    <x v="0"/>
    <x v="13"/>
    <x v="3"/>
    <x v="52"/>
    <x v="52"/>
    <x v="16"/>
    <x v="20"/>
  </r>
  <r>
    <x v="362"/>
    <n v="59"/>
    <n v="10"/>
    <x v="5"/>
    <x v="2"/>
    <x v="7"/>
    <x v="0"/>
    <x v="240"/>
    <x v="74"/>
    <x v="2"/>
    <x v="4"/>
  </r>
  <r>
    <x v="276"/>
    <n v="24"/>
    <n v="-21"/>
    <x v="0"/>
    <x v="2"/>
    <x v="9"/>
    <x v="0"/>
    <x v="83"/>
    <x v="97"/>
    <x v="16"/>
    <x v="20"/>
  </r>
  <r>
    <x v="33"/>
    <n v="105"/>
    <n v="-26"/>
    <x v="2"/>
    <x v="2"/>
    <x v="12"/>
    <x v="2"/>
    <x v="32"/>
    <x v="33"/>
    <x v="7"/>
    <x v="17"/>
  </r>
  <r>
    <x v="211"/>
    <n v="103"/>
    <n v="46"/>
    <x v="5"/>
    <x v="2"/>
    <x v="6"/>
    <x v="2"/>
    <x v="17"/>
    <x v="86"/>
    <x v="17"/>
    <x v="21"/>
  </r>
  <r>
    <x v="404"/>
    <n v="171"/>
    <n v="17"/>
    <x v="7"/>
    <x v="2"/>
    <x v="14"/>
    <x v="3"/>
    <x v="61"/>
    <x v="289"/>
    <x v="7"/>
    <x v="17"/>
  </r>
  <r>
    <x v="147"/>
    <n v="102"/>
    <n v="13"/>
    <x v="5"/>
    <x v="2"/>
    <x v="11"/>
    <x v="2"/>
    <x v="21"/>
    <x v="130"/>
    <x v="17"/>
    <x v="21"/>
  </r>
  <r>
    <x v="139"/>
    <n v="98"/>
    <n v="12"/>
    <x v="5"/>
    <x v="2"/>
    <x v="7"/>
    <x v="2"/>
    <x v="18"/>
    <x v="124"/>
    <x v="0"/>
    <x v="18"/>
  </r>
  <r>
    <x v="291"/>
    <n v="59"/>
    <n v="10"/>
    <x v="3"/>
    <x v="2"/>
    <x v="12"/>
    <x v="0"/>
    <x v="3"/>
    <x v="38"/>
    <x v="9"/>
    <x v="12"/>
  </r>
  <r>
    <x v="296"/>
    <n v="189"/>
    <n v="60"/>
    <x v="3"/>
    <x v="1"/>
    <x v="15"/>
    <x v="4"/>
    <x v="94"/>
    <x v="225"/>
    <x v="7"/>
    <x v="9"/>
  </r>
  <r>
    <x v="405"/>
    <n v="58"/>
    <n v="-52"/>
    <x v="9"/>
    <x v="1"/>
    <x v="1"/>
    <x v="0"/>
    <x v="263"/>
    <x v="290"/>
    <x v="7"/>
    <x v="9"/>
  </r>
  <r>
    <x v="95"/>
    <n v="60"/>
    <n v="3"/>
    <x v="9"/>
    <x v="2"/>
    <x v="6"/>
    <x v="3"/>
    <x v="89"/>
    <x v="87"/>
    <x v="0"/>
    <x v="0"/>
  </r>
  <r>
    <x v="406"/>
    <n v="58"/>
    <n v="-8"/>
    <x v="5"/>
    <x v="2"/>
    <x v="6"/>
    <x v="0"/>
    <x v="167"/>
    <x v="291"/>
    <x v="2"/>
    <x v="4"/>
  </r>
  <r>
    <x v="166"/>
    <n v="94"/>
    <n v="20"/>
    <x v="5"/>
    <x v="1"/>
    <x v="15"/>
    <x v="3"/>
    <x v="146"/>
    <x v="146"/>
    <x v="0"/>
    <x v="0"/>
  </r>
  <r>
    <x v="117"/>
    <n v="193"/>
    <n v="-166"/>
    <x v="9"/>
    <x v="2"/>
    <x v="6"/>
    <x v="1"/>
    <x v="108"/>
    <x v="106"/>
    <x v="0"/>
    <x v="18"/>
  </r>
  <r>
    <x v="203"/>
    <n v="199"/>
    <n v="0"/>
    <x v="3"/>
    <x v="2"/>
    <x v="11"/>
    <x v="1"/>
    <x v="165"/>
    <x v="169"/>
    <x v="2"/>
    <x v="2"/>
  </r>
  <r>
    <x v="133"/>
    <n v="202"/>
    <n v="89"/>
    <x v="6"/>
    <x v="2"/>
    <x v="14"/>
    <x v="1"/>
    <x v="121"/>
    <x v="120"/>
    <x v="13"/>
    <x v="16"/>
  </r>
  <r>
    <x v="133"/>
    <n v="58"/>
    <n v="17"/>
    <x v="5"/>
    <x v="2"/>
    <x v="7"/>
    <x v="0"/>
    <x v="121"/>
    <x v="120"/>
    <x v="13"/>
    <x v="16"/>
  </r>
  <r>
    <x v="407"/>
    <n v="57"/>
    <n v="-28"/>
    <x v="5"/>
    <x v="2"/>
    <x v="8"/>
    <x v="0"/>
    <x v="101"/>
    <x v="216"/>
    <x v="0"/>
    <x v="0"/>
  </r>
  <r>
    <x v="103"/>
    <n v="204"/>
    <n v="-94"/>
    <x v="3"/>
    <x v="2"/>
    <x v="7"/>
    <x v="1"/>
    <x v="95"/>
    <x v="94"/>
    <x v="0"/>
    <x v="0"/>
  </r>
  <r>
    <x v="408"/>
    <n v="98"/>
    <n v="-12"/>
    <x v="5"/>
    <x v="0"/>
    <x v="0"/>
    <x v="2"/>
    <x v="264"/>
    <x v="143"/>
    <x v="11"/>
    <x v="14"/>
  </r>
  <r>
    <x v="110"/>
    <n v="22"/>
    <n v="-12"/>
    <x v="9"/>
    <x v="2"/>
    <x v="11"/>
    <x v="0"/>
    <x v="90"/>
    <x v="100"/>
    <x v="0"/>
    <x v="0"/>
  </r>
  <r>
    <x v="83"/>
    <n v="97"/>
    <n v="17"/>
    <x v="5"/>
    <x v="2"/>
    <x v="11"/>
    <x v="2"/>
    <x v="79"/>
    <x v="78"/>
    <x v="9"/>
    <x v="12"/>
  </r>
  <r>
    <x v="300"/>
    <n v="57"/>
    <n v="24"/>
    <x v="4"/>
    <x v="2"/>
    <x v="12"/>
    <x v="0"/>
    <x v="65"/>
    <x v="226"/>
    <x v="14"/>
    <x v="19"/>
  </r>
  <r>
    <x v="409"/>
    <n v="97"/>
    <n v="14"/>
    <x v="5"/>
    <x v="2"/>
    <x v="14"/>
    <x v="2"/>
    <x v="3"/>
    <x v="112"/>
    <x v="7"/>
    <x v="9"/>
  </r>
  <r>
    <x v="171"/>
    <n v="97"/>
    <n v="17"/>
    <x v="5"/>
    <x v="2"/>
    <x v="11"/>
    <x v="2"/>
    <x v="148"/>
    <x v="149"/>
    <x v="2"/>
    <x v="4"/>
  </r>
  <r>
    <x v="91"/>
    <n v="96"/>
    <n v="22"/>
    <x v="4"/>
    <x v="2"/>
    <x v="11"/>
    <x v="2"/>
    <x v="46"/>
    <x v="83"/>
    <x v="6"/>
    <x v="8"/>
  </r>
  <r>
    <x v="114"/>
    <n v="94"/>
    <n v="27"/>
    <x v="5"/>
    <x v="2"/>
    <x v="16"/>
    <x v="2"/>
    <x v="105"/>
    <x v="103"/>
    <x v="0"/>
    <x v="0"/>
  </r>
  <r>
    <x v="260"/>
    <n v="26"/>
    <n v="-17"/>
    <x v="8"/>
    <x v="2"/>
    <x v="11"/>
    <x v="0"/>
    <x v="195"/>
    <x v="207"/>
    <x v="8"/>
    <x v="11"/>
  </r>
  <r>
    <x v="410"/>
    <n v="93"/>
    <n v="44"/>
    <x v="5"/>
    <x v="2"/>
    <x v="11"/>
    <x v="2"/>
    <x v="265"/>
    <x v="234"/>
    <x v="7"/>
    <x v="9"/>
  </r>
  <r>
    <x v="29"/>
    <n v="93"/>
    <n v="-65"/>
    <x v="3"/>
    <x v="2"/>
    <x v="11"/>
    <x v="2"/>
    <x v="28"/>
    <x v="29"/>
    <x v="12"/>
    <x v="15"/>
  </r>
  <r>
    <x v="222"/>
    <n v="92"/>
    <n v="5"/>
    <x v="7"/>
    <x v="2"/>
    <x v="7"/>
    <x v="2"/>
    <x v="173"/>
    <x v="3"/>
    <x v="2"/>
    <x v="2"/>
  </r>
  <r>
    <x v="9"/>
    <n v="57"/>
    <n v="27"/>
    <x v="5"/>
    <x v="2"/>
    <x v="14"/>
    <x v="0"/>
    <x v="9"/>
    <x v="9"/>
    <x v="5"/>
    <x v="6"/>
  </r>
  <r>
    <x v="138"/>
    <n v="57"/>
    <n v="7"/>
    <x v="9"/>
    <x v="1"/>
    <x v="15"/>
    <x v="0"/>
    <x v="125"/>
    <x v="123"/>
    <x v="9"/>
    <x v="12"/>
  </r>
  <r>
    <x v="411"/>
    <n v="57"/>
    <n v="21"/>
    <x v="3"/>
    <x v="2"/>
    <x v="12"/>
    <x v="0"/>
    <x v="172"/>
    <x v="234"/>
    <x v="7"/>
    <x v="9"/>
  </r>
  <r>
    <x v="239"/>
    <n v="128"/>
    <n v="4"/>
    <x v="9"/>
    <x v="2"/>
    <x v="6"/>
    <x v="0"/>
    <x v="80"/>
    <x v="193"/>
    <x v="1"/>
    <x v="10"/>
  </r>
  <r>
    <x v="37"/>
    <n v="89"/>
    <n v="-4"/>
    <x v="4"/>
    <x v="2"/>
    <x v="6"/>
    <x v="2"/>
    <x v="35"/>
    <x v="37"/>
    <x v="0"/>
    <x v="0"/>
  </r>
  <r>
    <x v="132"/>
    <n v="221"/>
    <n v="26"/>
    <x v="0"/>
    <x v="1"/>
    <x v="15"/>
    <x v="0"/>
    <x v="40"/>
    <x v="14"/>
    <x v="8"/>
    <x v="11"/>
  </r>
  <r>
    <x v="240"/>
    <n v="205"/>
    <n v="-119"/>
    <x v="9"/>
    <x v="2"/>
    <x v="6"/>
    <x v="4"/>
    <x v="50"/>
    <x v="194"/>
    <x v="7"/>
    <x v="9"/>
  </r>
  <r>
    <x v="308"/>
    <n v="191"/>
    <n v="51"/>
    <x v="4"/>
    <x v="2"/>
    <x v="16"/>
    <x v="3"/>
    <x v="216"/>
    <x v="230"/>
    <x v="15"/>
    <x v="16"/>
  </r>
  <r>
    <x v="179"/>
    <n v="206"/>
    <n v="18"/>
    <x v="3"/>
    <x v="2"/>
    <x v="7"/>
    <x v="4"/>
    <x v="1"/>
    <x v="156"/>
    <x v="12"/>
    <x v="15"/>
  </r>
  <r>
    <x v="192"/>
    <n v="56"/>
    <n v="0"/>
    <x v="3"/>
    <x v="2"/>
    <x v="7"/>
    <x v="0"/>
    <x v="158"/>
    <x v="140"/>
    <x v="5"/>
    <x v="6"/>
  </r>
  <r>
    <x v="202"/>
    <n v="88"/>
    <n v="16"/>
    <x v="3"/>
    <x v="2"/>
    <x v="11"/>
    <x v="2"/>
    <x v="18"/>
    <x v="141"/>
    <x v="2"/>
    <x v="2"/>
  </r>
  <r>
    <x v="294"/>
    <n v="224"/>
    <n v="58"/>
    <x v="9"/>
    <x v="0"/>
    <x v="4"/>
    <x v="3"/>
    <x v="210"/>
    <x v="223"/>
    <x v="6"/>
    <x v="8"/>
  </r>
  <r>
    <x v="412"/>
    <n v="193"/>
    <n v="8"/>
    <x v="3"/>
    <x v="2"/>
    <x v="14"/>
    <x v="3"/>
    <x v="266"/>
    <x v="292"/>
    <x v="13"/>
    <x v="22"/>
  </r>
  <r>
    <x v="101"/>
    <n v="87"/>
    <n v="36"/>
    <x v="4"/>
    <x v="2"/>
    <x v="11"/>
    <x v="2"/>
    <x v="94"/>
    <x v="93"/>
    <x v="9"/>
    <x v="12"/>
  </r>
  <r>
    <x v="141"/>
    <n v="189"/>
    <n v="4"/>
    <x v="8"/>
    <x v="2"/>
    <x v="6"/>
    <x v="3"/>
    <x v="60"/>
    <x v="126"/>
    <x v="8"/>
    <x v="11"/>
  </r>
  <r>
    <x v="195"/>
    <n v="55"/>
    <n v="-33"/>
    <x v="5"/>
    <x v="1"/>
    <x v="1"/>
    <x v="0"/>
    <x v="160"/>
    <x v="166"/>
    <x v="1"/>
    <x v="10"/>
  </r>
  <r>
    <x v="413"/>
    <n v="85"/>
    <n v="-1"/>
    <x v="9"/>
    <x v="2"/>
    <x v="6"/>
    <x v="2"/>
    <x v="80"/>
    <x v="293"/>
    <x v="0"/>
    <x v="0"/>
  </r>
  <r>
    <x v="125"/>
    <n v="252"/>
    <n v="56"/>
    <x v="5"/>
    <x v="0"/>
    <x v="4"/>
    <x v="3"/>
    <x v="71"/>
    <x v="113"/>
    <x v="0"/>
    <x v="0"/>
  </r>
  <r>
    <x v="139"/>
    <n v="197"/>
    <n v="73"/>
    <x v="8"/>
    <x v="1"/>
    <x v="2"/>
    <x v="0"/>
    <x v="18"/>
    <x v="124"/>
    <x v="0"/>
    <x v="18"/>
  </r>
  <r>
    <x v="10"/>
    <n v="17"/>
    <n v="-3"/>
    <x v="5"/>
    <x v="2"/>
    <x v="11"/>
    <x v="3"/>
    <x v="10"/>
    <x v="10"/>
    <x v="0"/>
    <x v="0"/>
  </r>
  <r>
    <x v="414"/>
    <n v="100"/>
    <n v="28"/>
    <x v="5"/>
    <x v="2"/>
    <x v="7"/>
    <x v="3"/>
    <x v="267"/>
    <x v="294"/>
    <x v="0"/>
    <x v="18"/>
  </r>
  <r>
    <x v="40"/>
    <n v="80"/>
    <n v="-19"/>
    <x v="4"/>
    <x v="2"/>
    <x v="11"/>
    <x v="3"/>
    <x v="38"/>
    <x v="40"/>
    <x v="10"/>
    <x v="13"/>
  </r>
  <r>
    <x v="137"/>
    <n v="75"/>
    <n v="29"/>
    <x v="8"/>
    <x v="2"/>
    <x v="5"/>
    <x v="3"/>
    <x v="124"/>
    <x v="21"/>
    <x v="3"/>
    <x v="3"/>
  </r>
  <r>
    <x v="40"/>
    <n v="26"/>
    <n v="4"/>
    <x v="5"/>
    <x v="2"/>
    <x v="6"/>
    <x v="3"/>
    <x v="38"/>
    <x v="40"/>
    <x v="10"/>
    <x v="13"/>
  </r>
  <r>
    <x v="415"/>
    <n v="55"/>
    <n v="12"/>
    <x v="4"/>
    <x v="2"/>
    <x v="9"/>
    <x v="0"/>
    <x v="29"/>
    <x v="260"/>
    <x v="0"/>
    <x v="0"/>
  </r>
  <r>
    <x v="292"/>
    <n v="157"/>
    <n v="5"/>
    <x v="6"/>
    <x v="2"/>
    <x v="6"/>
    <x v="3"/>
    <x v="108"/>
    <x v="187"/>
    <x v="6"/>
    <x v="8"/>
  </r>
  <r>
    <x v="89"/>
    <n v="200"/>
    <n v="-60"/>
    <x v="3"/>
    <x v="1"/>
    <x v="2"/>
    <x v="3"/>
    <x v="85"/>
    <x v="71"/>
    <x v="0"/>
    <x v="0"/>
  </r>
  <r>
    <x v="191"/>
    <n v="230"/>
    <n v="5"/>
    <x v="5"/>
    <x v="2"/>
    <x v="6"/>
    <x v="3"/>
    <x v="69"/>
    <x v="164"/>
    <x v="8"/>
    <x v="11"/>
  </r>
  <r>
    <x v="179"/>
    <n v="213"/>
    <n v="-145"/>
    <x v="9"/>
    <x v="1"/>
    <x v="2"/>
    <x v="4"/>
    <x v="1"/>
    <x v="156"/>
    <x v="12"/>
    <x v="15"/>
  </r>
  <r>
    <x v="161"/>
    <n v="55"/>
    <n v="4"/>
    <x v="5"/>
    <x v="2"/>
    <x v="11"/>
    <x v="0"/>
    <x v="143"/>
    <x v="142"/>
    <x v="16"/>
    <x v="20"/>
  </r>
  <r>
    <x v="416"/>
    <n v="220"/>
    <n v="-19"/>
    <x v="5"/>
    <x v="2"/>
    <x v="6"/>
    <x v="4"/>
    <x v="268"/>
    <x v="27"/>
    <x v="6"/>
    <x v="8"/>
  </r>
  <r>
    <x v="46"/>
    <n v="150"/>
    <n v="32"/>
    <x v="9"/>
    <x v="2"/>
    <x v="7"/>
    <x v="0"/>
    <x v="44"/>
    <x v="46"/>
    <x v="5"/>
    <x v="6"/>
  </r>
  <r>
    <x v="105"/>
    <n v="203"/>
    <n v="84"/>
    <x v="5"/>
    <x v="0"/>
    <x v="3"/>
    <x v="3"/>
    <x v="97"/>
    <x v="96"/>
    <x v="2"/>
    <x v="4"/>
  </r>
  <r>
    <x v="135"/>
    <n v="93"/>
    <n v="31"/>
    <x v="9"/>
    <x v="0"/>
    <x v="13"/>
    <x v="3"/>
    <x v="122"/>
    <x v="8"/>
    <x v="4"/>
    <x v="5"/>
  </r>
  <r>
    <x v="417"/>
    <n v="290"/>
    <n v="35"/>
    <x v="7"/>
    <x v="2"/>
    <x v="7"/>
    <x v="0"/>
    <x v="21"/>
    <x v="295"/>
    <x v="7"/>
    <x v="9"/>
  </r>
  <r>
    <x v="237"/>
    <n v="48"/>
    <n v="6"/>
    <x v="8"/>
    <x v="2"/>
    <x v="6"/>
    <x v="0"/>
    <x v="184"/>
    <x v="124"/>
    <x v="2"/>
    <x v="4"/>
  </r>
  <r>
    <x v="222"/>
    <n v="221"/>
    <n v="35"/>
    <x v="3"/>
    <x v="0"/>
    <x v="13"/>
    <x v="4"/>
    <x v="173"/>
    <x v="3"/>
    <x v="2"/>
    <x v="2"/>
  </r>
  <r>
    <x v="418"/>
    <n v="55"/>
    <n v="18"/>
    <x v="5"/>
    <x v="2"/>
    <x v="8"/>
    <x v="0"/>
    <x v="269"/>
    <x v="275"/>
    <x v="17"/>
    <x v="21"/>
  </r>
  <r>
    <x v="87"/>
    <n v="227"/>
    <n v="102"/>
    <x v="2"/>
    <x v="0"/>
    <x v="13"/>
    <x v="4"/>
    <x v="83"/>
    <x v="80"/>
    <x v="5"/>
    <x v="6"/>
  </r>
  <r>
    <x v="419"/>
    <n v="55"/>
    <n v="-39"/>
    <x v="3"/>
    <x v="2"/>
    <x v="11"/>
    <x v="0"/>
    <x v="200"/>
    <x v="79"/>
    <x v="0"/>
    <x v="0"/>
  </r>
  <r>
    <x v="417"/>
    <n v="207"/>
    <n v="33"/>
    <x v="5"/>
    <x v="0"/>
    <x v="13"/>
    <x v="3"/>
    <x v="21"/>
    <x v="295"/>
    <x v="7"/>
    <x v="9"/>
  </r>
  <r>
    <x v="52"/>
    <n v="64"/>
    <n v="6"/>
    <x v="3"/>
    <x v="2"/>
    <x v="6"/>
    <x v="0"/>
    <x v="50"/>
    <x v="51"/>
    <x v="0"/>
    <x v="18"/>
  </r>
  <r>
    <x v="203"/>
    <n v="89"/>
    <n v="6"/>
    <x v="4"/>
    <x v="2"/>
    <x v="6"/>
    <x v="0"/>
    <x v="165"/>
    <x v="169"/>
    <x v="2"/>
    <x v="2"/>
  </r>
  <r>
    <x v="21"/>
    <n v="54"/>
    <n v="27"/>
    <x v="5"/>
    <x v="2"/>
    <x v="11"/>
    <x v="0"/>
    <x v="21"/>
    <x v="21"/>
    <x v="0"/>
    <x v="0"/>
  </r>
  <r>
    <x v="109"/>
    <n v="84"/>
    <n v="41"/>
    <x v="9"/>
    <x v="2"/>
    <x v="14"/>
    <x v="2"/>
    <x v="101"/>
    <x v="99"/>
    <x v="2"/>
    <x v="4"/>
  </r>
  <r>
    <x v="257"/>
    <n v="209"/>
    <n v="-21"/>
    <x v="5"/>
    <x v="0"/>
    <x v="0"/>
    <x v="3"/>
    <x v="194"/>
    <x v="74"/>
    <x v="10"/>
    <x v="13"/>
  </r>
  <r>
    <x v="168"/>
    <n v="79"/>
    <n v="33"/>
    <x v="3"/>
    <x v="2"/>
    <x v="11"/>
    <x v="3"/>
    <x v="76"/>
    <x v="55"/>
    <x v="14"/>
    <x v="19"/>
  </r>
  <r>
    <x v="420"/>
    <n v="54"/>
    <n v="8"/>
    <x v="3"/>
    <x v="2"/>
    <x v="14"/>
    <x v="0"/>
    <x v="115"/>
    <x v="296"/>
    <x v="5"/>
    <x v="6"/>
  </r>
  <r>
    <x v="64"/>
    <n v="229"/>
    <n v="59"/>
    <x v="6"/>
    <x v="2"/>
    <x v="6"/>
    <x v="4"/>
    <x v="61"/>
    <x v="61"/>
    <x v="1"/>
    <x v="7"/>
  </r>
  <r>
    <x v="346"/>
    <n v="158"/>
    <n v="38"/>
    <x v="9"/>
    <x v="2"/>
    <x v="7"/>
    <x v="3"/>
    <x v="95"/>
    <x v="255"/>
    <x v="7"/>
    <x v="17"/>
  </r>
  <r>
    <x v="147"/>
    <n v="248"/>
    <n v="105"/>
    <x v="5"/>
    <x v="0"/>
    <x v="4"/>
    <x v="4"/>
    <x v="21"/>
    <x v="130"/>
    <x v="17"/>
    <x v="21"/>
  </r>
  <r>
    <x v="18"/>
    <n v="199"/>
    <n v="6"/>
    <x v="5"/>
    <x v="2"/>
    <x v="6"/>
    <x v="3"/>
    <x v="18"/>
    <x v="18"/>
    <x v="7"/>
    <x v="9"/>
  </r>
  <r>
    <x v="12"/>
    <n v="253"/>
    <n v="-11"/>
    <x v="8"/>
    <x v="2"/>
    <x v="5"/>
    <x v="4"/>
    <x v="12"/>
    <x v="12"/>
    <x v="2"/>
    <x v="4"/>
  </r>
  <r>
    <x v="275"/>
    <n v="257"/>
    <n v="-252"/>
    <x v="3"/>
    <x v="2"/>
    <x v="6"/>
    <x v="4"/>
    <x v="120"/>
    <x v="216"/>
    <x v="0"/>
    <x v="0"/>
  </r>
  <r>
    <x v="421"/>
    <n v="193"/>
    <n v="33"/>
    <x v="4"/>
    <x v="0"/>
    <x v="13"/>
    <x v="0"/>
    <x v="92"/>
    <x v="132"/>
    <x v="6"/>
    <x v="8"/>
  </r>
  <r>
    <x v="422"/>
    <n v="109"/>
    <n v="35"/>
    <x v="7"/>
    <x v="2"/>
    <x v="14"/>
    <x v="0"/>
    <x v="76"/>
    <x v="108"/>
    <x v="4"/>
    <x v="5"/>
  </r>
  <r>
    <x v="209"/>
    <n v="214"/>
    <n v="30"/>
    <x v="9"/>
    <x v="0"/>
    <x v="13"/>
    <x v="0"/>
    <x v="23"/>
    <x v="173"/>
    <x v="2"/>
    <x v="4"/>
  </r>
  <r>
    <x v="269"/>
    <n v="141"/>
    <n v="7"/>
    <x v="0"/>
    <x v="2"/>
    <x v="6"/>
    <x v="0"/>
    <x v="33"/>
    <x v="105"/>
    <x v="8"/>
    <x v="11"/>
  </r>
  <r>
    <x v="132"/>
    <n v="201"/>
    <n v="32"/>
    <x v="3"/>
    <x v="1"/>
    <x v="15"/>
    <x v="3"/>
    <x v="40"/>
    <x v="14"/>
    <x v="8"/>
    <x v="11"/>
  </r>
  <r>
    <x v="137"/>
    <n v="54"/>
    <n v="12"/>
    <x v="3"/>
    <x v="2"/>
    <x v="16"/>
    <x v="0"/>
    <x v="124"/>
    <x v="21"/>
    <x v="3"/>
    <x v="3"/>
  </r>
  <r>
    <x v="11"/>
    <n v="83"/>
    <n v="6"/>
    <x v="7"/>
    <x v="2"/>
    <x v="16"/>
    <x v="1"/>
    <x v="11"/>
    <x v="11"/>
    <x v="1"/>
    <x v="7"/>
  </r>
  <r>
    <x v="173"/>
    <n v="54"/>
    <n v="-3"/>
    <x v="9"/>
    <x v="2"/>
    <x v="6"/>
    <x v="0"/>
    <x v="149"/>
    <x v="150"/>
    <x v="2"/>
    <x v="4"/>
  </r>
  <r>
    <x v="85"/>
    <n v="53"/>
    <n v="5"/>
    <x v="9"/>
    <x v="2"/>
    <x v="14"/>
    <x v="0"/>
    <x v="81"/>
    <x v="76"/>
    <x v="6"/>
    <x v="23"/>
  </r>
  <r>
    <x v="214"/>
    <n v="258"/>
    <n v="-27"/>
    <x v="5"/>
    <x v="0"/>
    <x v="4"/>
    <x v="4"/>
    <x v="168"/>
    <x v="176"/>
    <x v="12"/>
    <x v="15"/>
  </r>
  <r>
    <x v="423"/>
    <n v="199"/>
    <n v="8"/>
    <x v="5"/>
    <x v="2"/>
    <x v="6"/>
    <x v="0"/>
    <x v="179"/>
    <x v="297"/>
    <x v="2"/>
    <x v="2"/>
  </r>
  <r>
    <x v="268"/>
    <n v="82"/>
    <n v="-27"/>
    <x v="9"/>
    <x v="2"/>
    <x v="8"/>
    <x v="1"/>
    <x v="144"/>
    <x v="211"/>
    <x v="0"/>
    <x v="0"/>
  </r>
  <r>
    <x v="241"/>
    <n v="139"/>
    <n v="36"/>
    <x v="9"/>
    <x v="2"/>
    <x v="11"/>
    <x v="0"/>
    <x v="1"/>
    <x v="195"/>
    <x v="2"/>
    <x v="4"/>
  </r>
  <r>
    <x v="74"/>
    <n v="53"/>
    <n v="15"/>
    <x v="5"/>
    <x v="2"/>
    <x v="11"/>
    <x v="0"/>
    <x v="70"/>
    <x v="11"/>
    <x v="0"/>
    <x v="0"/>
  </r>
  <r>
    <x v="304"/>
    <n v="53"/>
    <n v="1"/>
    <x v="3"/>
    <x v="2"/>
    <x v="11"/>
    <x v="0"/>
    <x v="214"/>
    <x v="86"/>
    <x v="17"/>
    <x v="21"/>
  </r>
  <r>
    <x v="424"/>
    <n v="101"/>
    <n v="38"/>
    <x v="5"/>
    <x v="1"/>
    <x v="15"/>
    <x v="0"/>
    <x v="270"/>
    <x v="298"/>
    <x v="0"/>
    <x v="0"/>
  </r>
  <r>
    <x v="29"/>
    <n v="262"/>
    <n v="215"/>
    <x v="5"/>
    <x v="0"/>
    <x v="3"/>
    <x v="4"/>
    <x v="28"/>
    <x v="29"/>
    <x v="12"/>
    <x v="15"/>
  </r>
  <r>
    <x v="82"/>
    <n v="82"/>
    <n v="-39"/>
    <x v="4"/>
    <x v="2"/>
    <x v="14"/>
    <x v="1"/>
    <x v="78"/>
    <x v="77"/>
    <x v="0"/>
    <x v="18"/>
  </r>
  <r>
    <x v="327"/>
    <n v="154"/>
    <n v="39"/>
    <x v="9"/>
    <x v="2"/>
    <x v="7"/>
    <x v="0"/>
    <x v="139"/>
    <x v="30"/>
    <x v="2"/>
    <x v="2"/>
  </r>
  <r>
    <x v="425"/>
    <n v="52"/>
    <n v="18"/>
    <x v="5"/>
    <x v="2"/>
    <x v="11"/>
    <x v="0"/>
    <x v="271"/>
    <x v="299"/>
    <x v="7"/>
    <x v="17"/>
  </r>
  <r>
    <x v="353"/>
    <n v="1599"/>
    <n v="37"/>
    <x v="7"/>
    <x v="0"/>
    <x v="0"/>
    <x v="3"/>
    <x v="236"/>
    <x v="259"/>
    <x v="6"/>
    <x v="23"/>
  </r>
  <r>
    <x v="223"/>
    <n v="338"/>
    <n v="41"/>
    <x v="0"/>
    <x v="2"/>
    <x v="7"/>
    <x v="3"/>
    <x v="174"/>
    <x v="67"/>
    <x v="8"/>
    <x v="11"/>
  </r>
  <r>
    <x v="260"/>
    <n v="51"/>
    <n v="-49"/>
    <x v="5"/>
    <x v="0"/>
    <x v="0"/>
    <x v="0"/>
    <x v="195"/>
    <x v="207"/>
    <x v="8"/>
    <x v="11"/>
  </r>
  <r>
    <x v="258"/>
    <n v="224"/>
    <n v="-81"/>
    <x v="9"/>
    <x v="1"/>
    <x v="1"/>
    <x v="0"/>
    <x v="119"/>
    <x v="206"/>
    <x v="4"/>
    <x v="5"/>
  </r>
  <r>
    <x v="426"/>
    <n v="207"/>
    <n v="37"/>
    <x v="3"/>
    <x v="2"/>
    <x v="7"/>
    <x v="0"/>
    <x v="272"/>
    <x v="300"/>
    <x v="2"/>
    <x v="4"/>
  </r>
  <r>
    <x v="427"/>
    <n v="51"/>
    <n v="14"/>
    <x v="5"/>
    <x v="2"/>
    <x v="11"/>
    <x v="0"/>
    <x v="273"/>
    <x v="183"/>
    <x v="11"/>
    <x v="14"/>
  </r>
  <r>
    <x v="98"/>
    <n v="82"/>
    <n v="8"/>
    <x v="9"/>
    <x v="0"/>
    <x v="13"/>
    <x v="1"/>
    <x v="91"/>
    <x v="90"/>
    <x v="4"/>
    <x v="5"/>
  </r>
  <r>
    <x v="106"/>
    <n v="50"/>
    <n v="-17"/>
    <x v="5"/>
    <x v="2"/>
    <x v="11"/>
    <x v="0"/>
    <x v="98"/>
    <x v="97"/>
    <x v="16"/>
    <x v="20"/>
  </r>
  <r>
    <x v="14"/>
    <n v="263"/>
    <n v="-31"/>
    <x v="6"/>
    <x v="0"/>
    <x v="0"/>
    <x v="4"/>
    <x v="14"/>
    <x v="14"/>
    <x v="1"/>
    <x v="1"/>
  </r>
  <r>
    <x v="209"/>
    <n v="50"/>
    <n v="7"/>
    <x v="7"/>
    <x v="2"/>
    <x v="9"/>
    <x v="0"/>
    <x v="23"/>
    <x v="173"/>
    <x v="2"/>
    <x v="4"/>
  </r>
  <r>
    <x v="368"/>
    <n v="245"/>
    <n v="-3"/>
    <x v="3"/>
    <x v="0"/>
    <x v="4"/>
    <x v="3"/>
    <x v="242"/>
    <x v="74"/>
    <x v="10"/>
    <x v="13"/>
  </r>
  <r>
    <x v="125"/>
    <n v="82"/>
    <n v="24"/>
    <x v="7"/>
    <x v="2"/>
    <x v="7"/>
    <x v="1"/>
    <x v="71"/>
    <x v="113"/>
    <x v="0"/>
    <x v="0"/>
  </r>
  <r>
    <x v="112"/>
    <n v="229"/>
    <n v="-41"/>
    <x v="2"/>
    <x v="0"/>
    <x v="13"/>
    <x v="0"/>
    <x v="103"/>
    <x v="101"/>
    <x v="4"/>
    <x v="5"/>
  </r>
  <r>
    <x v="147"/>
    <n v="50"/>
    <n v="14"/>
    <x v="8"/>
    <x v="0"/>
    <x v="0"/>
    <x v="0"/>
    <x v="21"/>
    <x v="130"/>
    <x v="17"/>
    <x v="21"/>
  </r>
  <r>
    <x v="179"/>
    <n v="220"/>
    <n v="40"/>
    <x v="5"/>
    <x v="0"/>
    <x v="13"/>
    <x v="0"/>
    <x v="1"/>
    <x v="156"/>
    <x v="12"/>
    <x v="15"/>
  </r>
  <r>
    <x v="8"/>
    <n v="263"/>
    <n v="-63"/>
    <x v="5"/>
    <x v="0"/>
    <x v="0"/>
    <x v="4"/>
    <x v="8"/>
    <x v="8"/>
    <x v="4"/>
    <x v="5"/>
  </r>
  <r>
    <x v="3"/>
    <n v="81"/>
    <n v="-41"/>
    <x v="4"/>
    <x v="2"/>
    <x v="12"/>
    <x v="1"/>
    <x v="3"/>
    <x v="3"/>
    <x v="2"/>
    <x v="2"/>
  </r>
  <r>
    <x v="428"/>
    <n v="50"/>
    <n v="-17"/>
    <x v="5"/>
    <x v="2"/>
    <x v="11"/>
    <x v="0"/>
    <x v="274"/>
    <x v="301"/>
    <x v="15"/>
    <x v="16"/>
  </r>
  <r>
    <x v="3"/>
    <n v="49"/>
    <n v="5"/>
    <x v="3"/>
    <x v="2"/>
    <x v="7"/>
    <x v="0"/>
    <x v="3"/>
    <x v="3"/>
    <x v="2"/>
    <x v="2"/>
  </r>
  <r>
    <x v="9"/>
    <n v="237"/>
    <n v="47"/>
    <x v="6"/>
    <x v="2"/>
    <x v="14"/>
    <x v="3"/>
    <x v="9"/>
    <x v="9"/>
    <x v="5"/>
    <x v="6"/>
  </r>
  <r>
    <x v="429"/>
    <n v="264"/>
    <n v="-30"/>
    <x v="9"/>
    <x v="1"/>
    <x v="15"/>
    <x v="4"/>
    <x v="275"/>
    <x v="26"/>
    <x v="0"/>
    <x v="0"/>
  </r>
  <r>
    <x v="89"/>
    <n v="49"/>
    <n v="3"/>
    <x v="8"/>
    <x v="2"/>
    <x v="16"/>
    <x v="0"/>
    <x v="85"/>
    <x v="71"/>
    <x v="0"/>
    <x v="0"/>
  </r>
  <r>
    <x v="275"/>
    <n v="63"/>
    <n v="-24"/>
    <x v="7"/>
    <x v="2"/>
    <x v="8"/>
    <x v="0"/>
    <x v="120"/>
    <x v="216"/>
    <x v="0"/>
    <x v="0"/>
  </r>
  <r>
    <x v="120"/>
    <n v="81"/>
    <n v="-51"/>
    <x v="0"/>
    <x v="2"/>
    <x v="11"/>
    <x v="1"/>
    <x v="111"/>
    <x v="109"/>
    <x v="0"/>
    <x v="0"/>
  </r>
  <r>
    <x v="130"/>
    <n v="264"/>
    <n v="71"/>
    <x v="12"/>
    <x v="1"/>
    <x v="15"/>
    <x v="4"/>
    <x v="23"/>
    <x v="118"/>
    <x v="15"/>
    <x v="16"/>
  </r>
  <r>
    <x v="296"/>
    <n v="48"/>
    <n v="11"/>
    <x v="5"/>
    <x v="2"/>
    <x v="16"/>
    <x v="0"/>
    <x v="94"/>
    <x v="225"/>
    <x v="7"/>
    <x v="9"/>
  </r>
  <r>
    <x v="289"/>
    <n v="48"/>
    <n v="15"/>
    <x v="8"/>
    <x v="2"/>
    <x v="7"/>
    <x v="0"/>
    <x v="60"/>
    <x v="190"/>
    <x v="2"/>
    <x v="2"/>
  </r>
  <r>
    <x v="104"/>
    <n v="245"/>
    <n v="-78"/>
    <x v="5"/>
    <x v="0"/>
    <x v="3"/>
    <x v="3"/>
    <x v="96"/>
    <x v="95"/>
    <x v="2"/>
    <x v="4"/>
  </r>
  <r>
    <x v="33"/>
    <n v="146"/>
    <n v="42"/>
    <x v="4"/>
    <x v="2"/>
    <x v="7"/>
    <x v="3"/>
    <x v="32"/>
    <x v="33"/>
    <x v="7"/>
    <x v="17"/>
  </r>
  <r>
    <x v="95"/>
    <n v="245"/>
    <n v="10"/>
    <x v="5"/>
    <x v="1"/>
    <x v="2"/>
    <x v="0"/>
    <x v="89"/>
    <x v="87"/>
    <x v="0"/>
    <x v="0"/>
  </r>
  <r>
    <x v="232"/>
    <n v="245"/>
    <n v="91"/>
    <x v="5"/>
    <x v="1"/>
    <x v="2"/>
    <x v="3"/>
    <x v="181"/>
    <x v="189"/>
    <x v="8"/>
    <x v="11"/>
  </r>
  <r>
    <x v="363"/>
    <n v="80"/>
    <n v="3"/>
    <x v="9"/>
    <x v="2"/>
    <x v="11"/>
    <x v="1"/>
    <x v="80"/>
    <x v="263"/>
    <x v="12"/>
    <x v="15"/>
  </r>
  <r>
    <x v="164"/>
    <n v="269"/>
    <n v="33"/>
    <x v="4"/>
    <x v="1"/>
    <x v="1"/>
    <x v="4"/>
    <x v="101"/>
    <x v="144"/>
    <x v="7"/>
    <x v="17"/>
  </r>
  <r>
    <x v="430"/>
    <n v="80"/>
    <n v="22"/>
    <x v="9"/>
    <x v="2"/>
    <x v="11"/>
    <x v="1"/>
    <x v="3"/>
    <x v="296"/>
    <x v="5"/>
    <x v="6"/>
  </r>
  <r>
    <x v="198"/>
    <n v="284"/>
    <n v="44"/>
    <x v="7"/>
    <x v="2"/>
    <x v="7"/>
    <x v="0"/>
    <x v="162"/>
    <x v="49"/>
    <x v="6"/>
    <x v="8"/>
  </r>
  <r>
    <x v="431"/>
    <n v="313"/>
    <n v="44"/>
    <x v="9"/>
    <x v="0"/>
    <x v="0"/>
    <x v="0"/>
    <x v="276"/>
    <x v="117"/>
    <x v="2"/>
    <x v="4"/>
  </r>
  <r>
    <x v="432"/>
    <n v="80"/>
    <n v="-26"/>
    <x v="6"/>
    <x v="2"/>
    <x v="9"/>
    <x v="1"/>
    <x v="277"/>
    <x v="302"/>
    <x v="7"/>
    <x v="17"/>
  </r>
  <r>
    <x v="433"/>
    <n v="48"/>
    <n v="-8"/>
    <x v="2"/>
    <x v="2"/>
    <x v="11"/>
    <x v="0"/>
    <x v="278"/>
    <x v="303"/>
    <x v="11"/>
    <x v="14"/>
  </r>
  <r>
    <x v="434"/>
    <n v="87"/>
    <n v="16"/>
    <x v="5"/>
    <x v="2"/>
    <x v="6"/>
    <x v="3"/>
    <x v="279"/>
    <x v="205"/>
    <x v="2"/>
    <x v="2"/>
  </r>
  <r>
    <x v="256"/>
    <n v="47"/>
    <n v="-114"/>
    <x v="4"/>
    <x v="1"/>
    <x v="15"/>
    <x v="0"/>
    <x v="193"/>
    <x v="205"/>
    <x v="1"/>
    <x v="10"/>
  </r>
  <r>
    <x v="362"/>
    <n v="140"/>
    <n v="28"/>
    <x v="5"/>
    <x v="0"/>
    <x v="4"/>
    <x v="0"/>
    <x v="240"/>
    <x v="74"/>
    <x v="2"/>
    <x v="4"/>
  </r>
  <r>
    <x v="141"/>
    <n v="47"/>
    <n v="1"/>
    <x v="5"/>
    <x v="2"/>
    <x v="11"/>
    <x v="0"/>
    <x v="60"/>
    <x v="126"/>
    <x v="8"/>
    <x v="11"/>
  </r>
  <r>
    <x v="159"/>
    <n v="79"/>
    <n v="-2"/>
    <x v="5"/>
    <x v="1"/>
    <x v="15"/>
    <x v="1"/>
    <x v="141"/>
    <x v="140"/>
    <x v="2"/>
    <x v="4"/>
  </r>
  <r>
    <x v="131"/>
    <n v="78"/>
    <n v="-64"/>
    <x v="0"/>
    <x v="2"/>
    <x v="11"/>
    <x v="1"/>
    <x v="120"/>
    <x v="119"/>
    <x v="2"/>
    <x v="4"/>
  </r>
  <r>
    <x v="176"/>
    <n v="47"/>
    <n v="-3"/>
    <x v="5"/>
    <x v="2"/>
    <x v="11"/>
    <x v="0"/>
    <x v="50"/>
    <x v="153"/>
    <x v="9"/>
    <x v="12"/>
  </r>
  <r>
    <x v="297"/>
    <n v="185"/>
    <n v="48"/>
    <x v="3"/>
    <x v="2"/>
    <x v="11"/>
    <x v="3"/>
    <x v="211"/>
    <x v="139"/>
    <x v="18"/>
    <x v="24"/>
  </r>
  <r>
    <x v="172"/>
    <n v="77"/>
    <n v="36"/>
    <x v="5"/>
    <x v="2"/>
    <x v="16"/>
    <x v="1"/>
    <x v="115"/>
    <x v="38"/>
    <x v="9"/>
    <x v="12"/>
  </r>
  <r>
    <x v="435"/>
    <n v="259"/>
    <n v="47"/>
    <x v="4"/>
    <x v="2"/>
    <x v="7"/>
    <x v="3"/>
    <x v="49"/>
    <x v="304"/>
    <x v="0"/>
    <x v="0"/>
  </r>
  <r>
    <x v="436"/>
    <n v="75"/>
    <n v="0"/>
    <x v="0"/>
    <x v="2"/>
    <x v="6"/>
    <x v="1"/>
    <x v="280"/>
    <x v="127"/>
    <x v="17"/>
    <x v="21"/>
  </r>
  <r>
    <x v="437"/>
    <n v="75"/>
    <n v="0"/>
    <x v="9"/>
    <x v="2"/>
    <x v="16"/>
    <x v="1"/>
    <x v="281"/>
    <x v="305"/>
    <x v="2"/>
    <x v="4"/>
  </r>
  <r>
    <x v="161"/>
    <n v="46"/>
    <n v="0"/>
    <x v="3"/>
    <x v="2"/>
    <x v="12"/>
    <x v="0"/>
    <x v="143"/>
    <x v="142"/>
    <x v="16"/>
    <x v="20"/>
  </r>
  <r>
    <x v="162"/>
    <n v="46"/>
    <n v="13"/>
    <x v="9"/>
    <x v="2"/>
    <x v="7"/>
    <x v="0"/>
    <x v="51"/>
    <x v="143"/>
    <x v="11"/>
    <x v="14"/>
  </r>
  <r>
    <x v="2"/>
    <n v="200"/>
    <n v="13"/>
    <x v="4"/>
    <x v="0"/>
    <x v="4"/>
    <x v="0"/>
    <x v="2"/>
    <x v="2"/>
    <x v="2"/>
    <x v="2"/>
  </r>
  <r>
    <x v="438"/>
    <n v="46"/>
    <n v="-14"/>
    <x v="8"/>
    <x v="0"/>
    <x v="4"/>
    <x v="0"/>
    <x v="200"/>
    <x v="300"/>
    <x v="2"/>
    <x v="4"/>
  </r>
  <r>
    <x v="439"/>
    <n v="126"/>
    <n v="52"/>
    <x v="3"/>
    <x v="2"/>
    <x v="7"/>
    <x v="3"/>
    <x v="49"/>
    <x v="306"/>
    <x v="2"/>
    <x v="4"/>
  </r>
  <r>
    <x v="237"/>
    <n v="74"/>
    <n v="29"/>
    <x v="9"/>
    <x v="2"/>
    <x v="11"/>
    <x v="1"/>
    <x v="184"/>
    <x v="124"/>
    <x v="2"/>
    <x v="4"/>
  </r>
  <r>
    <x v="204"/>
    <n v="45"/>
    <n v="13"/>
    <x v="3"/>
    <x v="2"/>
    <x v="9"/>
    <x v="0"/>
    <x v="161"/>
    <x v="28"/>
    <x v="12"/>
    <x v="15"/>
  </r>
  <r>
    <x v="180"/>
    <n v="74"/>
    <n v="9"/>
    <x v="9"/>
    <x v="2"/>
    <x v="16"/>
    <x v="3"/>
    <x v="152"/>
    <x v="75"/>
    <x v="3"/>
    <x v="3"/>
  </r>
  <r>
    <x v="260"/>
    <n v="129"/>
    <n v="11"/>
    <x v="5"/>
    <x v="0"/>
    <x v="4"/>
    <x v="3"/>
    <x v="195"/>
    <x v="207"/>
    <x v="8"/>
    <x v="11"/>
  </r>
  <r>
    <x v="297"/>
    <n v="122"/>
    <n v="50"/>
    <x v="0"/>
    <x v="2"/>
    <x v="11"/>
    <x v="3"/>
    <x v="211"/>
    <x v="139"/>
    <x v="18"/>
    <x v="24"/>
  </r>
  <r>
    <x v="192"/>
    <n v="74"/>
    <n v="-51"/>
    <x v="9"/>
    <x v="2"/>
    <x v="11"/>
    <x v="3"/>
    <x v="158"/>
    <x v="140"/>
    <x v="5"/>
    <x v="6"/>
  </r>
  <r>
    <x v="229"/>
    <n v="278"/>
    <n v="39"/>
    <x v="4"/>
    <x v="1"/>
    <x v="1"/>
    <x v="4"/>
    <x v="179"/>
    <x v="187"/>
    <x v="6"/>
    <x v="8"/>
  </r>
  <r>
    <x v="440"/>
    <n v="282"/>
    <n v="14"/>
    <x v="3"/>
    <x v="2"/>
    <x v="5"/>
    <x v="4"/>
    <x v="101"/>
    <x v="307"/>
    <x v="13"/>
    <x v="22"/>
  </r>
  <r>
    <x v="134"/>
    <n v="45"/>
    <n v="0"/>
    <x v="5"/>
    <x v="2"/>
    <x v="14"/>
    <x v="0"/>
    <x v="54"/>
    <x v="121"/>
    <x v="17"/>
    <x v="21"/>
  </r>
  <r>
    <x v="51"/>
    <n v="45"/>
    <n v="6"/>
    <x v="9"/>
    <x v="2"/>
    <x v="16"/>
    <x v="0"/>
    <x v="49"/>
    <x v="50"/>
    <x v="13"/>
    <x v="16"/>
  </r>
  <r>
    <x v="392"/>
    <n v="45"/>
    <n v="16"/>
    <x v="9"/>
    <x v="2"/>
    <x v="11"/>
    <x v="0"/>
    <x v="68"/>
    <x v="280"/>
    <x v="0"/>
    <x v="0"/>
  </r>
  <r>
    <x v="441"/>
    <n v="73"/>
    <n v="-36"/>
    <x v="9"/>
    <x v="1"/>
    <x v="1"/>
    <x v="3"/>
    <x v="44"/>
    <x v="308"/>
    <x v="2"/>
    <x v="4"/>
  </r>
  <r>
    <x v="83"/>
    <n v="45"/>
    <n v="12"/>
    <x v="3"/>
    <x v="2"/>
    <x v="7"/>
    <x v="0"/>
    <x v="79"/>
    <x v="78"/>
    <x v="9"/>
    <x v="12"/>
  </r>
  <r>
    <x v="312"/>
    <n v="72"/>
    <n v="-6"/>
    <x v="9"/>
    <x v="2"/>
    <x v="6"/>
    <x v="3"/>
    <x v="219"/>
    <x v="121"/>
    <x v="13"/>
    <x v="16"/>
  </r>
  <r>
    <x v="371"/>
    <n v="71"/>
    <n v="-44"/>
    <x v="4"/>
    <x v="0"/>
    <x v="13"/>
    <x v="3"/>
    <x v="245"/>
    <x v="268"/>
    <x v="13"/>
    <x v="22"/>
  </r>
  <r>
    <x v="429"/>
    <n v="45"/>
    <n v="-2"/>
    <x v="3"/>
    <x v="2"/>
    <x v="16"/>
    <x v="0"/>
    <x v="275"/>
    <x v="26"/>
    <x v="0"/>
    <x v="0"/>
  </r>
  <r>
    <x v="141"/>
    <n v="286"/>
    <n v="140"/>
    <x v="7"/>
    <x v="2"/>
    <x v="16"/>
    <x v="4"/>
    <x v="60"/>
    <x v="126"/>
    <x v="8"/>
    <x v="11"/>
  </r>
  <r>
    <x v="442"/>
    <n v="294"/>
    <n v="138"/>
    <x v="5"/>
    <x v="0"/>
    <x v="3"/>
    <x v="4"/>
    <x v="282"/>
    <x v="182"/>
    <x v="0"/>
    <x v="0"/>
  </r>
  <r>
    <x v="127"/>
    <n v="223"/>
    <n v="4"/>
    <x v="9"/>
    <x v="0"/>
    <x v="4"/>
    <x v="0"/>
    <x v="117"/>
    <x v="115"/>
    <x v="13"/>
    <x v="22"/>
  </r>
  <r>
    <x v="443"/>
    <n v="20"/>
    <n v="-2"/>
    <x v="8"/>
    <x v="0"/>
    <x v="13"/>
    <x v="3"/>
    <x v="283"/>
    <x v="10"/>
    <x v="17"/>
    <x v="21"/>
  </r>
  <r>
    <x v="243"/>
    <n v="302"/>
    <n v="75"/>
    <x v="7"/>
    <x v="1"/>
    <x v="15"/>
    <x v="4"/>
    <x v="186"/>
    <x v="186"/>
    <x v="5"/>
    <x v="6"/>
  </r>
  <r>
    <x v="269"/>
    <n v="113"/>
    <n v="28"/>
    <x v="5"/>
    <x v="2"/>
    <x v="6"/>
    <x v="3"/>
    <x v="33"/>
    <x v="105"/>
    <x v="8"/>
    <x v="11"/>
  </r>
  <r>
    <x v="101"/>
    <n v="44"/>
    <n v="2"/>
    <x v="9"/>
    <x v="2"/>
    <x v="7"/>
    <x v="0"/>
    <x v="94"/>
    <x v="93"/>
    <x v="9"/>
    <x v="12"/>
  </r>
  <r>
    <x v="444"/>
    <n v="305"/>
    <n v="-270"/>
    <x v="4"/>
    <x v="0"/>
    <x v="0"/>
    <x v="4"/>
    <x v="284"/>
    <x v="296"/>
    <x v="5"/>
    <x v="6"/>
  </r>
  <r>
    <x v="437"/>
    <n v="306"/>
    <n v="-147"/>
    <x v="9"/>
    <x v="2"/>
    <x v="6"/>
    <x v="4"/>
    <x v="281"/>
    <x v="305"/>
    <x v="2"/>
    <x v="4"/>
  </r>
  <r>
    <x v="240"/>
    <n v="70"/>
    <n v="-64"/>
    <x v="4"/>
    <x v="2"/>
    <x v="11"/>
    <x v="3"/>
    <x v="50"/>
    <x v="194"/>
    <x v="7"/>
    <x v="9"/>
  </r>
  <r>
    <x v="249"/>
    <n v="44"/>
    <n v="11"/>
    <x v="3"/>
    <x v="2"/>
    <x v="11"/>
    <x v="0"/>
    <x v="93"/>
    <x v="201"/>
    <x v="0"/>
    <x v="0"/>
  </r>
  <r>
    <x v="102"/>
    <n v="44"/>
    <n v="14"/>
    <x v="9"/>
    <x v="2"/>
    <x v="7"/>
    <x v="0"/>
    <x v="21"/>
    <x v="85"/>
    <x v="0"/>
    <x v="0"/>
  </r>
  <r>
    <x v="29"/>
    <n v="319"/>
    <n v="312"/>
    <x v="4"/>
    <x v="2"/>
    <x v="6"/>
    <x v="4"/>
    <x v="28"/>
    <x v="29"/>
    <x v="12"/>
    <x v="15"/>
  </r>
  <r>
    <x v="217"/>
    <n v="287"/>
    <n v="-280"/>
    <x v="13"/>
    <x v="1"/>
    <x v="1"/>
    <x v="3"/>
    <x v="47"/>
    <x v="178"/>
    <x v="0"/>
    <x v="0"/>
  </r>
  <r>
    <x v="296"/>
    <n v="44"/>
    <n v="10"/>
    <x v="9"/>
    <x v="2"/>
    <x v="11"/>
    <x v="0"/>
    <x v="94"/>
    <x v="225"/>
    <x v="7"/>
    <x v="9"/>
  </r>
  <r>
    <x v="111"/>
    <n v="288"/>
    <n v="-180"/>
    <x v="3"/>
    <x v="1"/>
    <x v="1"/>
    <x v="0"/>
    <x v="102"/>
    <x v="91"/>
    <x v="0"/>
    <x v="18"/>
  </r>
  <r>
    <x v="52"/>
    <n v="49"/>
    <n v="-31"/>
    <x v="5"/>
    <x v="2"/>
    <x v="11"/>
    <x v="0"/>
    <x v="50"/>
    <x v="51"/>
    <x v="0"/>
    <x v="18"/>
  </r>
  <r>
    <x v="160"/>
    <n v="43"/>
    <n v="-10"/>
    <x v="3"/>
    <x v="2"/>
    <x v="9"/>
    <x v="0"/>
    <x v="142"/>
    <x v="141"/>
    <x v="8"/>
    <x v="11"/>
  </r>
  <r>
    <x v="153"/>
    <n v="43"/>
    <n v="5"/>
    <x v="9"/>
    <x v="2"/>
    <x v="11"/>
    <x v="0"/>
    <x v="135"/>
    <x v="115"/>
    <x v="0"/>
    <x v="0"/>
  </r>
  <r>
    <x v="0"/>
    <n v="68"/>
    <n v="-27"/>
    <x v="9"/>
    <x v="0"/>
    <x v="13"/>
    <x v="3"/>
    <x v="0"/>
    <x v="0"/>
    <x v="0"/>
    <x v="0"/>
  </r>
  <r>
    <x v="83"/>
    <n v="320"/>
    <n v="144"/>
    <x v="8"/>
    <x v="0"/>
    <x v="3"/>
    <x v="4"/>
    <x v="79"/>
    <x v="78"/>
    <x v="9"/>
    <x v="12"/>
  </r>
  <r>
    <x v="99"/>
    <n v="67"/>
    <n v="2"/>
    <x v="3"/>
    <x v="2"/>
    <x v="14"/>
    <x v="3"/>
    <x v="92"/>
    <x v="91"/>
    <x v="0"/>
    <x v="18"/>
  </r>
  <r>
    <x v="314"/>
    <n v="66"/>
    <n v="-12"/>
    <x v="4"/>
    <x v="2"/>
    <x v="11"/>
    <x v="3"/>
    <x v="4"/>
    <x v="234"/>
    <x v="7"/>
    <x v="9"/>
  </r>
  <r>
    <x v="347"/>
    <n v="321"/>
    <n v="26"/>
    <x v="9"/>
    <x v="0"/>
    <x v="3"/>
    <x v="4"/>
    <x v="126"/>
    <x v="256"/>
    <x v="3"/>
    <x v="3"/>
  </r>
  <r>
    <x v="230"/>
    <n v="43"/>
    <n v="-5"/>
    <x v="5"/>
    <x v="2"/>
    <x v="6"/>
    <x v="0"/>
    <x v="90"/>
    <x v="188"/>
    <x v="2"/>
    <x v="4"/>
  </r>
  <r>
    <x v="197"/>
    <n v="114"/>
    <n v="-39"/>
    <x v="4"/>
    <x v="2"/>
    <x v="8"/>
    <x v="0"/>
    <x v="161"/>
    <x v="168"/>
    <x v="13"/>
    <x v="16"/>
  </r>
  <r>
    <x v="146"/>
    <n v="43"/>
    <n v="17"/>
    <x v="8"/>
    <x v="2"/>
    <x v="6"/>
    <x v="0"/>
    <x v="130"/>
    <x v="129"/>
    <x v="1"/>
    <x v="7"/>
  </r>
  <r>
    <x v="230"/>
    <n v="43"/>
    <n v="21"/>
    <x v="9"/>
    <x v="2"/>
    <x v="16"/>
    <x v="0"/>
    <x v="90"/>
    <x v="188"/>
    <x v="2"/>
    <x v="4"/>
  </r>
  <r>
    <x v="168"/>
    <n v="637"/>
    <n v="50"/>
    <x v="4"/>
    <x v="2"/>
    <x v="6"/>
    <x v="0"/>
    <x v="76"/>
    <x v="55"/>
    <x v="14"/>
    <x v="19"/>
  </r>
  <r>
    <x v="9"/>
    <n v="300"/>
    <n v="42"/>
    <x v="5"/>
    <x v="0"/>
    <x v="3"/>
    <x v="0"/>
    <x v="9"/>
    <x v="9"/>
    <x v="5"/>
    <x v="6"/>
  </r>
  <r>
    <x v="445"/>
    <n v="341"/>
    <n v="44"/>
    <x v="0"/>
    <x v="1"/>
    <x v="15"/>
    <x v="3"/>
    <x v="163"/>
    <x v="300"/>
    <x v="2"/>
    <x v="4"/>
  </r>
  <r>
    <x v="90"/>
    <n v="102"/>
    <n v="0"/>
    <x v="9"/>
    <x v="0"/>
    <x v="4"/>
    <x v="0"/>
    <x v="86"/>
    <x v="82"/>
    <x v="2"/>
    <x v="4"/>
  </r>
  <r>
    <x v="14"/>
    <n v="328"/>
    <n v="-15"/>
    <x v="9"/>
    <x v="0"/>
    <x v="0"/>
    <x v="4"/>
    <x v="14"/>
    <x v="14"/>
    <x v="1"/>
    <x v="1"/>
  </r>
  <r>
    <x v="446"/>
    <n v="341"/>
    <n v="160"/>
    <x v="0"/>
    <x v="2"/>
    <x v="11"/>
    <x v="4"/>
    <x v="144"/>
    <x v="309"/>
    <x v="2"/>
    <x v="4"/>
  </r>
  <r>
    <x v="447"/>
    <n v="62"/>
    <n v="11"/>
    <x v="0"/>
    <x v="2"/>
    <x v="7"/>
    <x v="3"/>
    <x v="76"/>
    <x v="187"/>
    <x v="6"/>
    <x v="8"/>
  </r>
  <r>
    <x v="232"/>
    <n v="42"/>
    <n v="13"/>
    <x v="9"/>
    <x v="2"/>
    <x v="12"/>
    <x v="0"/>
    <x v="181"/>
    <x v="189"/>
    <x v="8"/>
    <x v="11"/>
  </r>
  <r>
    <x v="297"/>
    <n v="62"/>
    <n v="28"/>
    <x v="4"/>
    <x v="2"/>
    <x v="7"/>
    <x v="3"/>
    <x v="211"/>
    <x v="139"/>
    <x v="18"/>
    <x v="24"/>
  </r>
  <r>
    <x v="159"/>
    <n v="42"/>
    <n v="7"/>
    <x v="5"/>
    <x v="2"/>
    <x v="8"/>
    <x v="0"/>
    <x v="141"/>
    <x v="140"/>
    <x v="2"/>
    <x v="4"/>
  </r>
  <r>
    <x v="448"/>
    <n v="42"/>
    <n v="-3"/>
    <x v="8"/>
    <x v="0"/>
    <x v="0"/>
    <x v="0"/>
    <x v="285"/>
    <x v="310"/>
    <x v="12"/>
    <x v="15"/>
  </r>
  <r>
    <x v="388"/>
    <n v="313"/>
    <n v="-13"/>
    <x v="4"/>
    <x v="1"/>
    <x v="2"/>
    <x v="3"/>
    <x v="253"/>
    <x v="29"/>
    <x v="1"/>
    <x v="10"/>
  </r>
  <r>
    <x v="76"/>
    <n v="109"/>
    <n v="52"/>
    <x v="5"/>
    <x v="2"/>
    <x v="11"/>
    <x v="3"/>
    <x v="72"/>
    <x v="71"/>
    <x v="0"/>
    <x v="0"/>
  </r>
  <r>
    <x v="12"/>
    <n v="226"/>
    <n v="58"/>
    <x v="9"/>
    <x v="0"/>
    <x v="13"/>
    <x v="0"/>
    <x v="12"/>
    <x v="12"/>
    <x v="2"/>
    <x v="4"/>
  </r>
  <r>
    <x v="54"/>
    <n v="62"/>
    <n v="-1"/>
    <x v="8"/>
    <x v="0"/>
    <x v="4"/>
    <x v="3"/>
    <x v="52"/>
    <x v="52"/>
    <x v="16"/>
    <x v="20"/>
  </r>
  <r>
    <x v="67"/>
    <n v="61"/>
    <n v="-25"/>
    <x v="3"/>
    <x v="0"/>
    <x v="13"/>
    <x v="3"/>
    <x v="64"/>
    <x v="64"/>
    <x v="0"/>
    <x v="0"/>
  </r>
  <r>
    <x v="260"/>
    <n v="222"/>
    <n v="74"/>
    <x v="4"/>
    <x v="2"/>
    <x v="7"/>
    <x v="0"/>
    <x v="195"/>
    <x v="207"/>
    <x v="8"/>
    <x v="11"/>
  </r>
  <r>
    <x v="202"/>
    <n v="342"/>
    <n v="-154"/>
    <x v="0"/>
    <x v="1"/>
    <x v="15"/>
    <x v="4"/>
    <x v="18"/>
    <x v="141"/>
    <x v="2"/>
    <x v="2"/>
  </r>
  <r>
    <x v="70"/>
    <n v="344"/>
    <n v="-34"/>
    <x v="9"/>
    <x v="2"/>
    <x v="6"/>
    <x v="4"/>
    <x v="67"/>
    <x v="67"/>
    <x v="15"/>
    <x v="16"/>
  </r>
  <r>
    <x v="449"/>
    <n v="345"/>
    <n v="38"/>
    <x v="0"/>
    <x v="2"/>
    <x v="7"/>
    <x v="4"/>
    <x v="286"/>
    <x v="311"/>
    <x v="15"/>
    <x v="16"/>
  </r>
  <r>
    <x v="450"/>
    <n v="46"/>
    <n v="0"/>
    <x v="5"/>
    <x v="0"/>
    <x v="0"/>
    <x v="0"/>
    <x v="287"/>
    <x v="92"/>
    <x v="0"/>
    <x v="0"/>
  </r>
  <r>
    <x v="209"/>
    <n v="255"/>
    <n v="74"/>
    <x v="4"/>
    <x v="2"/>
    <x v="7"/>
    <x v="0"/>
    <x v="23"/>
    <x v="173"/>
    <x v="2"/>
    <x v="4"/>
  </r>
  <r>
    <x v="338"/>
    <n v="360"/>
    <n v="32"/>
    <x v="9"/>
    <x v="2"/>
    <x v="6"/>
    <x v="3"/>
    <x v="71"/>
    <x v="248"/>
    <x v="17"/>
    <x v="21"/>
  </r>
  <r>
    <x v="170"/>
    <n v="372"/>
    <n v="59"/>
    <x v="9"/>
    <x v="0"/>
    <x v="3"/>
    <x v="3"/>
    <x v="147"/>
    <x v="4"/>
    <x v="1"/>
    <x v="1"/>
  </r>
  <r>
    <x v="139"/>
    <n v="61"/>
    <n v="30"/>
    <x v="5"/>
    <x v="2"/>
    <x v="7"/>
    <x v="3"/>
    <x v="18"/>
    <x v="124"/>
    <x v="0"/>
    <x v="18"/>
  </r>
  <r>
    <x v="77"/>
    <n v="42"/>
    <n v="12"/>
    <x v="4"/>
    <x v="2"/>
    <x v="7"/>
    <x v="0"/>
    <x v="73"/>
    <x v="72"/>
    <x v="16"/>
    <x v="20"/>
  </r>
  <r>
    <x v="197"/>
    <n v="42"/>
    <n v="-26"/>
    <x v="5"/>
    <x v="2"/>
    <x v="8"/>
    <x v="0"/>
    <x v="161"/>
    <x v="168"/>
    <x v="13"/>
    <x v="16"/>
  </r>
  <r>
    <x v="451"/>
    <n v="61"/>
    <n v="25"/>
    <x v="3"/>
    <x v="2"/>
    <x v="6"/>
    <x v="3"/>
    <x v="238"/>
    <x v="312"/>
    <x v="13"/>
    <x v="16"/>
  </r>
  <r>
    <x v="25"/>
    <n v="41"/>
    <n v="11"/>
    <x v="7"/>
    <x v="2"/>
    <x v="7"/>
    <x v="0"/>
    <x v="25"/>
    <x v="25"/>
    <x v="11"/>
    <x v="14"/>
  </r>
  <r>
    <x v="133"/>
    <n v="40"/>
    <n v="13"/>
    <x v="9"/>
    <x v="2"/>
    <x v="14"/>
    <x v="0"/>
    <x v="121"/>
    <x v="120"/>
    <x v="13"/>
    <x v="16"/>
  </r>
  <r>
    <x v="113"/>
    <n v="59"/>
    <n v="21"/>
    <x v="5"/>
    <x v="2"/>
    <x v="11"/>
    <x v="3"/>
    <x v="104"/>
    <x v="102"/>
    <x v="12"/>
    <x v="15"/>
  </r>
  <r>
    <x v="268"/>
    <n v="57"/>
    <n v="27"/>
    <x v="5"/>
    <x v="2"/>
    <x v="16"/>
    <x v="3"/>
    <x v="144"/>
    <x v="211"/>
    <x v="0"/>
    <x v="0"/>
  </r>
  <r>
    <x v="7"/>
    <n v="17"/>
    <n v="6"/>
    <x v="8"/>
    <x v="2"/>
    <x v="11"/>
    <x v="3"/>
    <x v="7"/>
    <x v="7"/>
    <x v="2"/>
    <x v="4"/>
  </r>
  <r>
    <x v="162"/>
    <n v="40"/>
    <n v="10"/>
    <x v="5"/>
    <x v="2"/>
    <x v="11"/>
    <x v="0"/>
    <x v="51"/>
    <x v="143"/>
    <x v="11"/>
    <x v="14"/>
  </r>
  <r>
    <x v="309"/>
    <n v="349"/>
    <n v="-24"/>
    <x v="5"/>
    <x v="2"/>
    <x v="6"/>
    <x v="4"/>
    <x v="217"/>
    <x v="231"/>
    <x v="2"/>
    <x v="2"/>
  </r>
  <r>
    <x v="452"/>
    <n v="335"/>
    <n v="-22"/>
    <x v="0"/>
    <x v="1"/>
    <x v="1"/>
    <x v="3"/>
    <x v="54"/>
    <x v="159"/>
    <x v="2"/>
    <x v="4"/>
  </r>
  <r>
    <x v="202"/>
    <n v="40"/>
    <n v="16"/>
    <x v="9"/>
    <x v="2"/>
    <x v="7"/>
    <x v="0"/>
    <x v="18"/>
    <x v="141"/>
    <x v="2"/>
    <x v="2"/>
  </r>
  <r>
    <x v="53"/>
    <n v="40"/>
    <n v="17"/>
    <x v="5"/>
    <x v="2"/>
    <x v="11"/>
    <x v="0"/>
    <x v="51"/>
    <x v="32"/>
    <x v="13"/>
    <x v="16"/>
  </r>
  <r>
    <x v="197"/>
    <n v="40"/>
    <n v="-7"/>
    <x v="9"/>
    <x v="2"/>
    <x v="11"/>
    <x v="0"/>
    <x v="161"/>
    <x v="168"/>
    <x v="13"/>
    <x v="16"/>
  </r>
  <r>
    <x v="260"/>
    <n v="352"/>
    <n v="74"/>
    <x v="2"/>
    <x v="2"/>
    <x v="11"/>
    <x v="4"/>
    <x v="195"/>
    <x v="207"/>
    <x v="8"/>
    <x v="11"/>
  </r>
  <r>
    <x v="186"/>
    <n v="55"/>
    <n v="-26"/>
    <x v="3"/>
    <x v="2"/>
    <x v="6"/>
    <x v="3"/>
    <x v="156"/>
    <x v="160"/>
    <x v="13"/>
    <x v="16"/>
  </r>
  <r>
    <x v="102"/>
    <n v="352"/>
    <n v="18"/>
    <x v="4"/>
    <x v="2"/>
    <x v="5"/>
    <x v="4"/>
    <x v="21"/>
    <x v="85"/>
    <x v="0"/>
    <x v="0"/>
  </r>
  <r>
    <x v="36"/>
    <n v="53"/>
    <n v="-18"/>
    <x v="3"/>
    <x v="2"/>
    <x v="14"/>
    <x v="3"/>
    <x v="34"/>
    <x v="36"/>
    <x v="2"/>
    <x v="2"/>
  </r>
  <r>
    <x v="429"/>
    <n v="51"/>
    <n v="7"/>
    <x v="5"/>
    <x v="1"/>
    <x v="15"/>
    <x v="3"/>
    <x v="275"/>
    <x v="26"/>
    <x v="0"/>
    <x v="0"/>
  </r>
  <r>
    <x v="406"/>
    <n v="40"/>
    <n v="-37"/>
    <x v="9"/>
    <x v="2"/>
    <x v="11"/>
    <x v="0"/>
    <x v="167"/>
    <x v="291"/>
    <x v="2"/>
    <x v="4"/>
  </r>
  <r>
    <x v="193"/>
    <n v="39"/>
    <n v="14"/>
    <x v="4"/>
    <x v="2"/>
    <x v="12"/>
    <x v="0"/>
    <x v="159"/>
    <x v="16"/>
    <x v="1"/>
    <x v="1"/>
  </r>
  <r>
    <x v="453"/>
    <n v="355"/>
    <n v="-4"/>
    <x v="5"/>
    <x v="2"/>
    <x v="6"/>
    <x v="4"/>
    <x v="47"/>
    <x v="154"/>
    <x v="2"/>
    <x v="4"/>
  </r>
  <r>
    <x v="7"/>
    <n v="357"/>
    <n v="139"/>
    <x v="5"/>
    <x v="2"/>
    <x v="6"/>
    <x v="4"/>
    <x v="7"/>
    <x v="7"/>
    <x v="2"/>
    <x v="4"/>
  </r>
  <r>
    <x v="117"/>
    <n v="38"/>
    <n v="18"/>
    <x v="8"/>
    <x v="2"/>
    <x v="8"/>
    <x v="0"/>
    <x v="108"/>
    <x v="106"/>
    <x v="0"/>
    <x v="18"/>
  </r>
  <r>
    <x v="198"/>
    <n v="38"/>
    <n v="9"/>
    <x v="5"/>
    <x v="2"/>
    <x v="11"/>
    <x v="0"/>
    <x v="162"/>
    <x v="49"/>
    <x v="6"/>
    <x v="8"/>
  </r>
  <r>
    <x v="294"/>
    <n v="141"/>
    <n v="10"/>
    <x v="3"/>
    <x v="2"/>
    <x v="16"/>
    <x v="3"/>
    <x v="210"/>
    <x v="223"/>
    <x v="6"/>
    <x v="8"/>
  </r>
  <r>
    <x v="392"/>
    <n v="36"/>
    <n v="4"/>
    <x v="6"/>
    <x v="2"/>
    <x v="7"/>
    <x v="0"/>
    <x v="68"/>
    <x v="280"/>
    <x v="0"/>
    <x v="0"/>
  </r>
  <r>
    <x v="133"/>
    <n v="351"/>
    <n v="-94"/>
    <x v="4"/>
    <x v="0"/>
    <x v="0"/>
    <x v="0"/>
    <x v="121"/>
    <x v="120"/>
    <x v="13"/>
    <x v="16"/>
  </r>
  <r>
    <x v="199"/>
    <n v="369"/>
    <n v="15"/>
    <x v="9"/>
    <x v="0"/>
    <x v="0"/>
    <x v="4"/>
    <x v="163"/>
    <x v="90"/>
    <x v="4"/>
    <x v="5"/>
  </r>
  <r>
    <x v="9"/>
    <n v="53"/>
    <n v="24"/>
    <x v="7"/>
    <x v="2"/>
    <x v="7"/>
    <x v="1"/>
    <x v="9"/>
    <x v="9"/>
    <x v="5"/>
    <x v="6"/>
  </r>
  <r>
    <x v="454"/>
    <n v="371"/>
    <n v="115"/>
    <x v="8"/>
    <x v="1"/>
    <x v="2"/>
    <x v="4"/>
    <x v="160"/>
    <x v="67"/>
    <x v="2"/>
    <x v="4"/>
  </r>
  <r>
    <x v="85"/>
    <n v="499"/>
    <n v="33"/>
    <x v="3"/>
    <x v="2"/>
    <x v="6"/>
    <x v="0"/>
    <x v="81"/>
    <x v="76"/>
    <x v="6"/>
    <x v="23"/>
  </r>
  <r>
    <x v="170"/>
    <n v="223"/>
    <n v="62"/>
    <x v="0"/>
    <x v="2"/>
    <x v="16"/>
    <x v="0"/>
    <x v="147"/>
    <x v="4"/>
    <x v="1"/>
    <x v="1"/>
  </r>
  <r>
    <x v="191"/>
    <n v="50"/>
    <n v="-4"/>
    <x v="7"/>
    <x v="2"/>
    <x v="14"/>
    <x v="1"/>
    <x v="69"/>
    <x v="164"/>
    <x v="8"/>
    <x v="11"/>
  </r>
  <r>
    <x v="179"/>
    <n v="391"/>
    <n v="90"/>
    <x v="7"/>
    <x v="0"/>
    <x v="4"/>
    <x v="4"/>
    <x v="1"/>
    <x v="156"/>
    <x v="12"/>
    <x v="15"/>
  </r>
  <r>
    <x v="455"/>
    <n v="416"/>
    <n v="137"/>
    <x v="9"/>
    <x v="0"/>
    <x v="4"/>
    <x v="4"/>
    <x v="288"/>
    <x v="313"/>
    <x v="4"/>
    <x v="5"/>
  </r>
  <r>
    <x v="437"/>
    <n v="424"/>
    <n v="-17"/>
    <x v="6"/>
    <x v="1"/>
    <x v="1"/>
    <x v="4"/>
    <x v="281"/>
    <x v="305"/>
    <x v="2"/>
    <x v="4"/>
  </r>
  <r>
    <x v="38"/>
    <n v="362"/>
    <n v="127"/>
    <x v="8"/>
    <x v="1"/>
    <x v="2"/>
    <x v="0"/>
    <x v="36"/>
    <x v="38"/>
    <x v="9"/>
    <x v="12"/>
  </r>
  <r>
    <x v="8"/>
    <n v="36"/>
    <n v="-7"/>
    <x v="8"/>
    <x v="0"/>
    <x v="0"/>
    <x v="0"/>
    <x v="8"/>
    <x v="8"/>
    <x v="4"/>
    <x v="5"/>
  </r>
  <r>
    <x v="177"/>
    <n v="34"/>
    <n v="-10"/>
    <x v="9"/>
    <x v="2"/>
    <x v="9"/>
    <x v="0"/>
    <x v="71"/>
    <x v="154"/>
    <x v="7"/>
    <x v="9"/>
  </r>
  <r>
    <x v="154"/>
    <n v="367"/>
    <n v="73"/>
    <x v="9"/>
    <x v="0"/>
    <x v="0"/>
    <x v="3"/>
    <x v="136"/>
    <x v="136"/>
    <x v="0"/>
    <x v="0"/>
  </r>
  <r>
    <x v="135"/>
    <n v="425"/>
    <n v="208"/>
    <x v="0"/>
    <x v="2"/>
    <x v="6"/>
    <x v="4"/>
    <x v="122"/>
    <x v="8"/>
    <x v="4"/>
    <x v="5"/>
  </r>
  <r>
    <x v="368"/>
    <n v="433"/>
    <n v="26"/>
    <x v="9"/>
    <x v="0"/>
    <x v="3"/>
    <x v="4"/>
    <x v="242"/>
    <x v="74"/>
    <x v="10"/>
    <x v="13"/>
  </r>
  <r>
    <x v="454"/>
    <n v="460"/>
    <n v="31"/>
    <x v="9"/>
    <x v="1"/>
    <x v="2"/>
    <x v="4"/>
    <x v="160"/>
    <x v="67"/>
    <x v="2"/>
    <x v="4"/>
  </r>
  <r>
    <x v="256"/>
    <n v="62"/>
    <n v="-56"/>
    <x v="4"/>
    <x v="2"/>
    <x v="8"/>
    <x v="0"/>
    <x v="193"/>
    <x v="205"/>
    <x v="1"/>
    <x v="10"/>
  </r>
  <r>
    <x v="83"/>
    <n v="50"/>
    <n v="16"/>
    <x v="8"/>
    <x v="2"/>
    <x v="11"/>
    <x v="1"/>
    <x v="79"/>
    <x v="78"/>
    <x v="9"/>
    <x v="12"/>
  </r>
  <r>
    <x v="369"/>
    <n v="460"/>
    <n v="-143"/>
    <x v="9"/>
    <x v="1"/>
    <x v="1"/>
    <x v="4"/>
    <x v="243"/>
    <x v="69"/>
    <x v="8"/>
    <x v="11"/>
  </r>
  <r>
    <x v="265"/>
    <n v="34"/>
    <n v="3"/>
    <x v="9"/>
    <x v="2"/>
    <x v="6"/>
    <x v="0"/>
    <x v="199"/>
    <x v="190"/>
    <x v="12"/>
    <x v="15"/>
  </r>
  <r>
    <x v="259"/>
    <n v="227"/>
    <n v="59"/>
    <x v="5"/>
    <x v="1"/>
    <x v="15"/>
    <x v="3"/>
    <x v="184"/>
    <x v="57"/>
    <x v="0"/>
    <x v="0"/>
  </r>
  <r>
    <x v="376"/>
    <n v="469"/>
    <n v="33"/>
    <x v="3"/>
    <x v="0"/>
    <x v="0"/>
    <x v="4"/>
    <x v="238"/>
    <x v="272"/>
    <x v="18"/>
    <x v="24"/>
  </r>
  <r>
    <x v="9"/>
    <n v="103"/>
    <n v="46"/>
    <x v="5"/>
    <x v="2"/>
    <x v="6"/>
    <x v="3"/>
    <x v="9"/>
    <x v="9"/>
    <x v="5"/>
    <x v="6"/>
  </r>
  <r>
    <x v="247"/>
    <n v="34"/>
    <n v="-13"/>
    <x v="4"/>
    <x v="2"/>
    <x v="12"/>
    <x v="0"/>
    <x v="189"/>
    <x v="199"/>
    <x v="1"/>
    <x v="10"/>
  </r>
  <r>
    <x v="142"/>
    <n v="137"/>
    <n v="63"/>
    <x v="9"/>
    <x v="2"/>
    <x v="11"/>
    <x v="0"/>
    <x v="76"/>
    <x v="127"/>
    <x v="17"/>
    <x v="21"/>
  </r>
  <r>
    <x v="456"/>
    <n v="34"/>
    <n v="12"/>
    <x v="5"/>
    <x v="2"/>
    <x v="11"/>
    <x v="0"/>
    <x v="172"/>
    <x v="297"/>
    <x v="2"/>
    <x v="2"/>
  </r>
  <r>
    <x v="362"/>
    <n v="474"/>
    <n v="56"/>
    <x v="3"/>
    <x v="0"/>
    <x v="4"/>
    <x v="4"/>
    <x v="240"/>
    <x v="74"/>
    <x v="2"/>
    <x v="4"/>
  </r>
  <r>
    <x v="239"/>
    <n v="50"/>
    <n v="3"/>
    <x v="5"/>
    <x v="2"/>
    <x v="11"/>
    <x v="1"/>
    <x v="80"/>
    <x v="193"/>
    <x v="1"/>
    <x v="10"/>
  </r>
  <r>
    <x v="67"/>
    <n v="69"/>
    <n v="-67"/>
    <x v="3"/>
    <x v="2"/>
    <x v="8"/>
    <x v="3"/>
    <x v="64"/>
    <x v="64"/>
    <x v="0"/>
    <x v="0"/>
  </r>
  <r>
    <x v="457"/>
    <n v="389"/>
    <n v="-83"/>
    <x v="9"/>
    <x v="1"/>
    <x v="1"/>
    <x v="3"/>
    <x v="139"/>
    <x v="244"/>
    <x v="16"/>
    <x v="20"/>
  </r>
  <r>
    <x v="256"/>
    <n v="77"/>
    <n v="-43"/>
    <x v="2"/>
    <x v="2"/>
    <x v="11"/>
    <x v="0"/>
    <x v="193"/>
    <x v="205"/>
    <x v="1"/>
    <x v="10"/>
  </r>
  <r>
    <x v="7"/>
    <n v="51"/>
    <n v="21"/>
    <x v="9"/>
    <x v="2"/>
    <x v="14"/>
    <x v="0"/>
    <x v="7"/>
    <x v="7"/>
    <x v="2"/>
    <x v="4"/>
  </r>
  <r>
    <x v="114"/>
    <n v="394"/>
    <n v="146"/>
    <x v="5"/>
    <x v="1"/>
    <x v="2"/>
    <x v="3"/>
    <x v="105"/>
    <x v="103"/>
    <x v="0"/>
    <x v="0"/>
  </r>
  <r>
    <x v="252"/>
    <n v="48"/>
    <n v="-22"/>
    <x v="5"/>
    <x v="2"/>
    <x v="6"/>
    <x v="1"/>
    <x v="191"/>
    <x v="202"/>
    <x v="17"/>
    <x v="21"/>
  </r>
  <r>
    <x v="177"/>
    <n v="34"/>
    <n v="-12"/>
    <x v="4"/>
    <x v="2"/>
    <x v="12"/>
    <x v="0"/>
    <x v="71"/>
    <x v="154"/>
    <x v="7"/>
    <x v="9"/>
  </r>
  <r>
    <x v="12"/>
    <n v="484"/>
    <n v="28"/>
    <x v="9"/>
    <x v="0"/>
    <x v="3"/>
    <x v="4"/>
    <x v="12"/>
    <x v="12"/>
    <x v="2"/>
    <x v="4"/>
  </r>
  <r>
    <x v="240"/>
    <n v="47"/>
    <n v="-27"/>
    <x v="3"/>
    <x v="2"/>
    <x v="6"/>
    <x v="1"/>
    <x v="50"/>
    <x v="194"/>
    <x v="7"/>
    <x v="9"/>
  </r>
  <r>
    <x v="2"/>
    <n v="45"/>
    <n v="8"/>
    <x v="3"/>
    <x v="2"/>
    <x v="9"/>
    <x v="1"/>
    <x v="2"/>
    <x v="2"/>
    <x v="2"/>
    <x v="2"/>
  </r>
  <r>
    <x v="458"/>
    <n v="128"/>
    <n v="55"/>
    <x v="8"/>
    <x v="2"/>
    <x v="6"/>
    <x v="0"/>
    <x v="152"/>
    <x v="127"/>
    <x v="17"/>
    <x v="21"/>
  </r>
  <r>
    <x v="58"/>
    <n v="669"/>
    <n v="74"/>
    <x v="4"/>
    <x v="1"/>
    <x v="2"/>
    <x v="0"/>
    <x v="56"/>
    <x v="56"/>
    <x v="17"/>
    <x v="21"/>
  </r>
  <r>
    <x v="459"/>
    <n v="34"/>
    <n v="13"/>
    <x v="5"/>
    <x v="2"/>
    <x v="6"/>
    <x v="0"/>
    <x v="204"/>
    <x v="314"/>
    <x v="3"/>
    <x v="3"/>
  </r>
  <r>
    <x v="223"/>
    <n v="44"/>
    <n v="14"/>
    <x v="9"/>
    <x v="2"/>
    <x v="7"/>
    <x v="2"/>
    <x v="174"/>
    <x v="67"/>
    <x v="8"/>
    <x v="11"/>
  </r>
  <r>
    <x v="20"/>
    <n v="33"/>
    <n v="1"/>
    <x v="5"/>
    <x v="2"/>
    <x v="16"/>
    <x v="0"/>
    <x v="20"/>
    <x v="20"/>
    <x v="8"/>
    <x v="11"/>
  </r>
  <r>
    <x v="362"/>
    <n v="33"/>
    <n v="10"/>
    <x v="9"/>
    <x v="2"/>
    <x v="7"/>
    <x v="0"/>
    <x v="240"/>
    <x v="74"/>
    <x v="2"/>
    <x v="4"/>
  </r>
  <r>
    <x v="100"/>
    <n v="487"/>
    <n v="-23"/>
    <x v="9"/>
    <x v="0"/>
    <x v="3"/>
    <x v="4"/>
    <x v="93"/>
    <x v="92"/>
    <x v="6"/>
    <x v="23"/>
  </r>
  <r>
    <x v="98"/>
    <n v="497"/>
    <n v="179"/>
    <x v="9"/>
    <x v="1"/>
    <x v="1"/>
    <x v="4"/>
    <x v="91"/>
    <x v="90"/>
    <x v="4"/>
    <x v="5"/>
  </r>
  <r>
    <x v="76"/>
    <n v="508"/>
    <n v="203"/>
    <x v="5"/>
    <x v="0"/>
    <x v="13"/>
    <x v="4"/>
    <x v="72"/>
    <x v="71"/>
    <x v="0"/>
    <x v="0"/>
  </r>
  <r>
    <x v="296"/>
    <n v="524"/>
    <n v="-25"/>
    <x v="5"/>
    <x v="0"/>
    <x v="0"/>
    <x v="4"/>
    <x v="94"/>
    <x v="225"/>
    <x v="7"/>
    <x v="9"/>
  </r>
  <r>
    <x v="460"/>
    <n v="425"/>
    <n v="183"/>
    <x v="4"/>
    <x v="0"/>
    <x v="13"/>
    <x v="3"/>
    <x v="163"/>
    <x v="35"/>
    <x v="3"/>
    <x v="3"/>
  </r>
  <r>
    <x v="44"/>
    <n v="168"/>
    <n v="56"/>
    <x v="9"/>
    <x v="2"/>
    <x v="6"/>
    <x v="0"/>
    <x v="42"/>
    <x v="44"/>
    <x v="2"/>
    <x v="2"/>
  </r>
  <r>
    <x v="461"/>
    <n v="141"/>
    <n v="28"/>
    <x v="0"/>
    <x v="1"/>
    <x v="15"/>
    <x v="3"/>
    <x v="289"/>
    <x v="241"/>
    <x v="0"/>
    <x v="0"/>
  </r>
  <r>
    <x v="125"/>
    <n v="429"/>
    <n v="17"/>
    <x v="9"/>
    <x v="1"/>
    <x v="1"/>
    <x v="3"/>
    <x v="71"/>
    <x v="113"/>
    <x v="0"/>
    <x v="0"/>
  </r>
  <r>
    <x v="220"/>
    <n v="44"/>
    <n v="-8"/>
    <x v="9"/>
    <x v="2"/>
    <x v="11"/>
    <x v="2"/>
    <x v="171"/>
    <x v="181"/>
    <x v="7"/>
    <x v="9"/>
  </r>
  <r>
    <x v="171"/>
    <n v="149"/>
    <n v="136"/>
    <x v="9"/>
    <x v="2"/>
    <x v="11"/>
    <x v="3"/>
    <x v="148"/>
    <x v="149"/>
    <x v="2"/>
    <x v="4"/>
  </r>
  <r>
    <x v="16"/>
    <n v="44"/>
    <n v="-34"/>
    <x v="9"/>
    <x v="2"/>
    <x v="11"/>
    <x v="2"/>
    <x v="16"/>
    <x v="16"/>
    <x v="1"/>
    <x v="1"/>
  </r>
  <r>
    <x v="153"/>
    <n v="33"/>
    <n v="10"/>
    <x v="9"/>
    <x v="2"/>
    <x v="7"/>
    <x v="0"/>
    <x v="135"/>
    <x v="115"/>
    <x v="0"/>
    <x v="0"/>
  </r>
  <r>
    <x v="179"/>
    <n v="33"/>
    <n v="9"/>
    <x v="5"/>
    <x v="2"/>
    <x v="7"/>
    <x v="0"/>
    <x v="1"/>
    <x v="156"/>
    <x v="12"/>
    <x v="15"/>
  </r>
  <r>
    <x v="139"/>
    <n v="442"/>
    <n v="31"/>
    <x v="5"/>
    <x v="0"/>
    <x v="0"/>
    <x v="3"/>
    <x v="18"/>
    <x v="124"/>
    <x v="0"/>
    <x v="18"/>
  </r>
  <r>
    <x v="70"/>
    <n v="41"/>
    <n v="6"/>
    <x v="4"/>
    <x v="2"/>
    <x v="9"/>
    <x v="2"/>
    <x v="67"/>
    <x v="67"/>
    <x v="15"/>
    <x v="16"/>
  </r>
  <r>
    <x v="178"/>
    <n v="33"/>
    <n v="-12"/>
    <x v="4"/>
    <x v="2"/>
    <x v="7"/>
    <x v="0"/>
    <x v="151"/>
    <x v="155"/>
    <x v="0"/>
    <x v="0"/>
  </r>
  <r>
    <x v="462"/>
    <n v="32"/>
    <n v="3"/>
    <x v="2"/>
    <x v="2"/>
    <x v="7"/>
    <x v="0"/>
    <x v="29"/>
    <x v="315"/>
    <x v="2"/>
    <x v="4"/>
  </r>
  <r>
    <x v="126"/>
    <n v="32"/>
    <n v="6"/>
    <x v="9"/>
    <x v="2"/>
    <x v="16"/>
    <x v="0"/>
    <x v="116"/>
    <x v="114"/>
    <x v="6"/>
    <x v="8"/>
  </r>
  <r>
    <x v="243"/>
    <n v="179"/>
    <n v="77"/>
    <x v="8"/>
    <x v="2"/>
    <x v="6"/>
    <x v="3"/>
    <x v="186"/>
    <x v="186"/>
    <x v="5"/>
    <x v="6"/>
  </r>
  <r>
    <x v="354"/>
    <n v="31"/>
    <n v="10"/>
    <x v="8"/>
    <x v="2"/>
    <x v="8"/>
    <x v="0"/>
    <x v="237"/>
    <x v="76"/>
    <x v="7"/>
    <x v="17"/>
  </r>
  <r>
    <x v="59"/>
    <n v="140"/>
    <n v="68"/>
    <x v="4"/>
    <x v="2"/>
    <x v="14"/>
    <x v="0"/>
    <x v="57"/>
    <x v="57"/>
    <x v="13"/>
    <x v="22"/>
  </r>
  <r>
    <x v="429"/>
    <n v="529"/>
    <n v="137"/>
    <x v="9"/>
    <x v="0"/>
    <x v="4"/>
    <x v="4"/>
    <x v="275"/>
    <x v="26"/>
    <x v="0"/>
    <x v="0"/>
  </r>
  <r>
    <x v="463"/>
    <n v="534"/>
    <n v="0"/>
    <x v="9"/>
    <x v="2"/>
    <x v="6"/>
    <x v="4"/>
    <x v="214"/>
    <x v="17"/>
    <x v="6"/>
    <x v="8"/>
  </r>
  <r>
    <x v="319"/>
    <n v="41"/>
    <n v="-6"/>
    <x v="8"/>
    <x v="1"/>
    <x v="1"/>
    <x v="2"/>
    <x v="111"/>
    <x v="237"/>
    <x v="0"/>
    <x v="0"/>
  </r>
  <r>
    <x v="176"/>
    <n v="379"/>
    <n v="63"/>
    <x v="5"/>
    <x v="2"/>
    <x v="6"/>
    <x v="0"/>
    <x v="50"/>
    <x v="153"/>
    <x v="9"/>
    <x v="12"/>
  </r>
  <r>
    <x v="187"/>
    <n v="81"/>
    <n v="-44"/>
    <x v="9"/>
    <x v="2"/>
    <x v="11"/>
    <x v="0"/>
    <x v="44"/>
    <x v="161"/>
    <x v="2"/>
    <x v="4"/>
  </r>
  <r>
    <x v="275"/>
    <n v="40"/>
    <n v="-33"/>
    <x v="4"/>
    <x v="2"/>
    <x v="7"/>
    <x v="2"/>
    <x v="120"/>
    <x v="216"/>
    <x v="0"/>
    <x v="0"/>
  </r>
  <r>
    <x v="147"/>
    <n v="40"/>
    <n v="18"/>
    <x v="8"/>
    <x v="0"/>
    <x v="13"/>
    <x v="2"/>
    <x v="21"/>
    <x v="130"/>
    <x v="17"/>
    <x v="21"/>
  </r>
  <r>
    <x v="93"/>
    <n v="534"/>
    <n v="0"/>
    <x v="9"/>
    <x v="2"/>
    <x v="6"/>
    <x v="4"/>
    <x v="15"/>
    <x v="85"/>
    <x v="2"/>
    <x v="2"/>
  </r>
  <r>
    <x v="179"/>
    <n v="31"/>
    <n v="9"/>
    <x v="5"/>
    <x v="2"/>
    <x v="7"/>
    <x v="0"/>
    <x v="1"/>
    <x v="156"/>
    <x v="12"/>
    <x v="15"/>
  </r>
  <r>
    <x v="138"/>
    <n v="473"/>
    <n v="-113"/>
    <x v="6"/>
    <x v="2"/>
    <x v="7"/>
    <x v="3"/>
    <x v="125"/>
    <x v="123"/>
    <x v="9"/>
    <x v="12"/>
  </r>
  <r>
    <x v="464"/>
    <n v="31"/>
    <n v="-10"/>
    <x v="9"/>
    <x v="2"/>
    <x v="9"/>
    <x v="0"/>
    <x v="290"/>
    <x v="316"/>
    <x v="0"/>
    <x v="0"/>
  </r>
  <r>
    <x v="437"/>
    <n v="31"/>
    <n v="-3"/>
    <x v="3"/>
    <x v="2"/>
    <x v="6"/>
    <x v="0"/>
    <x v="281"/>
    <x v="305"/>
    <x v="2"/>
    <x v="4"/>
  </r>
  <r>
    <x v="97"/>
    <n v="91"/>
    <n v="15"/>
    <x v="7"/>
    <x v="2"/>
    <x v="14"/>
    <x v="3"/>
    <x v="90"/>
    <x v="89"/>
    <x v="0"/>
    <x v="0"/>
  </r>
  <r>
    <x v="244"/>
    <n v="30"/>
    <n v="-25"/>
    <x v="5"/>
    <x v="2"/>
    <x v="14"/>
    <x v="0"/>
    <x v="187"/>
    <x v="196"/>
    <x v="7"/>
    <x v="9"/>
  </r>
  <r>
    <x v="228"/>
    <n v="30"/>
    <n v="6"/>
    <x v="8"/>
    <x v="2"/>
    <x v="14"/>
    <x v="0"/>
    <x v="178"/>
    <x v="28"/>
    <x v="12"/>
    <x v="15"/>
  </r>
  <r>
    <x v="14"/>
    <n v="40"/>
    <n v="0"/>
    <x v="9"/>
    <x v="2"/>
    <x v="6"/>
    <x v="2"/>
    <x v="14"/>
    <x v="14"/>
    <x v="1"/>
    <x v="1"/>
  </r>
  <r>
    <x v="230"/>
    <n v="534"/>
    <n v="5"/>
    <x v="5"/>
    <x v="0"/>
    <x v="0"/>
    <x v="4"/>
    <x v="90"/>
    <x v="188"/>
    <x v="2"/>
    <x v="4"/>
  </r>
  <r>
    <x v="110"/>
    <n v="539"/>
    <n v="-146"/>
    <x v="0"/>
    <x v="1"/>
    <x v="15"/>
    <x v="4"/>
    <x v="90"/>
    <x v="100"/>
    <x v="0"/>
    <x v="0"/>
  </r>
  <r>
    <x v="465"/>
    <n v="490"/>
    <n v="-128"/>
    <x v="2"/>
    <x v="1"/>
    <x v="2"/>
    <x v="3"/>
    <x v="291"/>
    <x v="317"/>
    <x v="2"/>
    <x v="4"/>
  </r>
  <r>
    <x v="30"/>
    <n v="163"/>
    <n v="81"/>
    <x v="5"/>
    <x v="0"/>
    <x v="13"/>
    <x v="0"/>
    <x v="29"/>
    <x v="30"/>
    <x v="2"/>
    <x v="2"/>
  </r>
  <r>
    <x v="58"/>
    <n v="184"/>
    <n v="85"/>
    <x v="7"/>
    <x v="2"/>
    <x v="14"/>
    <x v="3"/>
    <x v="56"/>
    <x v="56"/>
    <x v="17"/>
    <x v="21"/>
  </r>
  <r>
    <x v="408"/>
    <n v="494"/>
    <n v="54"/>
    <x v="3"/>
    <x v="1"/>
    <x v="2"/>
    <x v="0"/>
    <x v="264"/>
    <x v="143"/>
    <x v="11"/>
    <x v="14"/>
  </r>
  <r>
    <x v="466"/>
    <n v="30"/>
    <n v="11"/>
    <x v="4"/>
    <x v="2"/>
    <x v="7"/>
    <x v="0"/>
    <x v="145"/>
    <x v="318"/>
    <x v="0"/>
    <x v="18"/>
  </r>
  <r>
    <x v="388"/>
    <n v="30"/>
    <n v="0"/>
    <x v="8"/>
    <x v="2"/>
    <x v="8"/>
    <x v="0"/>
    <x v="253"/>
    <x v="29"/>
    <x v="1"/>
    <x v="10"/>
  </r>
  <r>
    <x v="35"/>
    <n v="39"/>
    <n v="-18"/>
    <x v="5"/>
    <x v="2"/>
    <x v="12"/>
    <x v="2"/>
    <x v="17"/>
    <x v="35"/>
    <x v="3"/>
    <x v="3"/>
  </r>
  <r>
    <x v="274"/>
    <n v="1700"/>
    <n v="85"/>
    <x v="9"/>
    <x v="2"/>
    <x v="5"/>
    <x v="0"/>
    <x v="95"/>
    <x v="215"/>
    <x v="2"/>
    <x v="4"/>
  </r>
  <r>
    <x v="111"/>
    <n v="332"/>
    <n v="-43"/>
    <x v="7"/>
    <x v="0"/>
    <x v="4"/>
    <x v="3"/>
    <x v="102"/>
    <x v="91"/>
    <x v="0"/>
    <x v="18"/>
  </r>
  <r>
    <x v="202"/>
    <n v="436"/>
    <n v="131"/>
    <x v="6"/>
    <x v="2"/>
    <x v="7"/>
    <x v="3"/>
    <x v="18"/>
    <x v="141"/>
    <x v="2"/>
    <x v="2"/>
  </r>
  <r>
    <x v="233"/>
    <n v="30"/>
    <n v="-5"/>
    <x v="5"/>
    <x v="1"/>
    <x v="15"/>
    <x v="0"/>
    <x v="140"/>
    <x v="190"/>
    <x v="12"/>
    <x v="15"/>
  </r>
  <r>
    <x v="234"/>
    <n v="30"/>
    <n v="-10"/>
    <x v="5"/>
    <x v="2"/>
    <x v="11"/>
    <x v="0"/>
    <x v="182"/>
    <x v="191"/>
    <x v="2"/>
    <x v="4"/>
  </r>
  <r>
    <x v="176"/>
    <n v="38"/>
    <n v="-13"/>
    <x v="9"/>
    <x v="2"/>
    <x v="11"/>
    <x v="2"/>
    <x v="50"/>
    <x v="153"/>
    <x v="9"/>
    <x v="12"/>
  </r>
  <r>
    <x v="140"/>
    <n v="511"/>
    <n v="194"/>
    <x v="9"/>
    <x v="1"/>
    <x v="1"/>
    <x v="3"/>
    <x v="126"/>
    <x v="125"/>
    <x v="0"/>
    <x v="0"/>
  </r>
  <r>
    <x v="40"/>
    <n v="37"/>
    <n v="-53"/>
    <x v="9"/>
    <x v="2"/>
    <x v="6"/>
    <x v="2"/>
    <x v="38"/>
    <x v="40"/>
    <x v="10"/>
    <x v="13"/>
  </r>
  <r>
    <x v="81"/>
    <n v="513"/>
    <n v="215"/>
    <x v="5"/>
    <x v="0"/>
    <x v="13"/>
    <x v="0"/>
    <x v="77"/>
    <x v="76"/>
    <x v="16"/>
    <x v="20"/>
  </r>
  <r>
    <x v="70"/>
    <n v="516"/>
    <n v="69"/>
    <x v="3"/>
    <x v="1"/>
    <x v="2"/>
    <x v="3"/>
    <x v="67"/>
    <x v="67"/>
    <x v="15"/>
    <x v="16"/>
  </r>
  <r>
    <x v="131"/>
    <n v="559"/>
    <n v="-19"/>
    <x v="5"/>
    <x v="2"/>
    <x v="5"/>
    <x v="4"/>
    <x v="120"/>
    <x v="119"/>
    <x v="2"/>
    <x v="4"/>
  </r>
  <r>
    <x v="467"/>
    <n v="29"/>
    <n v="-10"/>
    <x v="9"/>
    <x v="2"/>
    <x v="9"/>
    <x v="0"/>
    <x v="179"/>
    <x v="106"/>
    <x v="0"/>
    <x v="18"/>
  </r>
  <r>
    <x v="368"/>
    <n v="148"/>
    <n v="52"/>
    <x v="4"/>
    <x v="2"/>
    <x v="11"/>
    <x v="3"/>
    <x v="242"/>
    <x v="74"/>
    <x v="10"/>
    <x v="13"/>
  </r>
  <r>
    <x v="241"/>
    <n v="559"/>
    <n v="-174"/>
    <x v="5"/>
    <x v="0"/>
    <x v="0"/>
    <x v="4"/>
    <x v="1"/>
    <x v="195"/>
    <x v="2"/>
    <x v="4"/>
  </r>
  <r>
    <x v="267"/>
    <n v="527"/>
    <n v="26"/>
    <x v="9"/>
    <x v="0"/>
    <x v="0"/>
    <x v="0"/>
    <x v="201"/>
    <x v="210"/>
    <x v="12"/>
    <x v="15"/>
  </r>
  <r>
    <x v="268"/>
    <n v="560"/>
    <n v="44"/>
    <x v="9"/>
    <x v="2"/>
    <x v="6"/>
    <x v="4"/>
    <x v="144"/>
    <x v="211"/>
    <x v="0"/>
    <x v="0"/>
  </r>
  <r>
    <x v="193"/>
    <n v="571"/>
    <n v="108"/>
    <x v="13"/>
    <x v="2"/>
    <x v="11"/>
    <x v="4"/>
    <x v="159"/>
    <x v="16"/>
    <x v="1"/>
    <x v="1"/>
  </r>
  <r>
    <x v="468"/>
    <n v="29"/>
    <n v="2"/>
    <x v="9"/>
    <x v="2"/>
    <x v="9"/>
    <x v="0"/>
    <x v="266"/>
    <x v="85"/>
    <x v="1"/>
    <x v="7"/>
  </r>
  <r>
    <x v="267"/>
    <n v="29"/>
    <n v="3"/>
    <x v="5"/>
    <x v="2"/>
    <x v="11"/>
    <x v="0"/>
    <x v="201"/>
    <x v="210"/>
    <x v="12"/>
    <x v="15"/>
  </r>
  <r>
    <x v="252"/>
    <n v="29"/>
    <n v="-3"/>
    <x v="9"/>
    <x v="2"/>
    <x v="6"/>
    <x v="0"/>
    <x v="191"/>
    <x v="202"/>
    <x v="17"/>
    <x v="21"/>
  </r>
  <r>
    <x v="469"/>
    <n v="35"/>
    <n v="14"/>
    <x v="5"/>
    <x v="2"/>
    <x v="11"/>
    <x v="2"/>
    <x v="49"/>
    <x v="105"/>
    <x v="5"/>
    <x v="6"/>
  </r>
  <r>
    <x v="18"/>
    <n v="579"/>
    <n v="139"/>
    <x v="9"/>
    <x v="0"/>
    <x v="3"/>
    <x v="4"/>
    <x v="18"/>
    <x v="18"/>
    <x v="7"/>
    <x v="9"/>
  </r>
  <r>
    <x v="13"/>
    <n v="29"/>
    <n v="-24"/>
    <x v="3"/>
    <x v="2"/>
    <x v="12"/>
    <x v="0"/>
    <x v="13"/>
    <x v="13"/>
    <x v="2"/>
    <x v="4"/>
  </r>
  <r>
    <x v="40"/>
    <n v="593"/>
    <n v="213"/>
    <x v="3"/>
    <x v="1"/>
    <x v="2"/>
    <x v="4"/>
    <x v="38"/>
    <x v="40"/>
    <x v="10"/>
    <x v="13"/>
  </r>
  <r>
    <x v="141"/>
    <n v="217"/>
    <n v="72"/>
    <x v="5"/>
    <x v="1"/>
    <x v="15"/>
    <x v="0"/>
    <x v="60"/>
    <x v="126"/>
    <x v="8"/>
    <x v="11"/>
  </r>
  <r>
    <x v="470"/>
    <n v="353"/>
    <n v="90"/>
    <x v="2"/>
    <x v="2"/>
    <x v="6"/>
    <x v="0"/>
    <x v="36"/>
    <x v="112"/>
    <x v="7"/>
    <x v="9"/>
  </r>
  <r>
    <x v="198"/>
    <n v="382"/>
    <n v="92"/>
    <x v="5"/>
    <x v="0"/>
    <x v="3"/>
    <x v="0"/>
    <x v="162"/>
    <x v="49"/>
    <x v="6"/>
    <x v="8"/>
  </r>
  <r>
    <x v="160"/>
    <n v="597"/>
    <n v="93"/>
    <x v="3"/>
    <x v="1"/>
    <x v="1"/>
    <x v="4"/>
    <x v="142"/>
    <x v="141"/>
    <x v="8"/>
    <x v="11"/>
  </r>
  <r>
    <x v="471"/>
    <n v="212"/>
    <n v="97"/>
    <x v="0"/>
    <x v="2"/>
    <x v="7"/>
    <x v="0"/>
    <x v="292"/>
    <x v="160"/>
    <x v="13"/>
    <x v="16"/>
  </r>
  <r>
    <x v="237"/>
    <n v="689"/>
    <n v="90"/>
    <x v="4"/>
    <x v="2"/>
    <x v="6"/>
    <x v="0"/>
    <x v="184"/>
    <x v="124"/>
    <x v="2"/>
    <x v="4"/>
  </r>
  <r>
    <x v="472"/>
    <n v="28"/>
    <n v="-10"/>
    <x v="9"/>
    <x v="2"/>
    <x v="9"/>
    <x v="0"/>
    <x v="293"/>
    <x v="244"/>
    <x v="16"/>
    <x v="20"/>
  </r>
  <r>
    <x v="173"/>
    <n v="34"/>
    <n v="12"/>
    <x v="9"/>
    <x v="2"/>
    <x v="7"/>
    <x v="2"/>
    <x v="149"/>
    <x v="150"/>
    <x v="2"/>
    <x v="4"/>
  </r>
  <r>
    <x v="58"/>
    <n v="600"/>
    <n v="-102"/>
    <x v="4"/>
    <x v="0"/>
    <x v="0"/>
    <x v="4"/>
    <x v="56"/>
    <x v="56"/>
    <x v="17"/>
    <x v="21"/>
  </r>
  <r>
    <x v="473"/>
    <n v="637"/>
    <n v="113"/>
    <x v="4"/>
    <x v="2"/>
    <x v="6"/>
    <x v="3"/>
    <x v="139"/>
    <x v="315"/>
    <x v="2"/>
    <x v="4"/>
  </r>
  <r>
    <x v="36"/>
    <n v="616"/>
    <n v="-69"/>
    <x v="0"/>
    <x v="1"/>
    <x v="15"/>
    <x v="4"/>
    <x v="34"/>
    <x v="36"/>
    <x v="2"/>
    <x v="2"/>
  </r>
  <r>
    <x v="93"/>
    <n v="624"/>
    <n v="37"/>
    <x v="5"/>
    <x v="0"/>
    <x v="0"/>
    <x v="4"/>
    <x v="15"/>
    <x v="85"/>
    <x v="2"/>
    <x v="2"/>
  </r>
  <r>
    <x v="353"/>
    <n v="28"/>
    <n v="4"/>
    <x v="8"/>
    <x v="2"/>
    <x v="14"/>
    <x v="0"/>
    <x v="236"/>
    <x v="259"/>
    <x v="6"/>
    <x v="23"/>
  </r>
  <r>
    <x v="244"/>
    <n v="584"/>
    <n v="-444"/>
    <x v="0"/>
    <x v="0"/>
    <x v="3"/>
    <x v="3"/>
    <x v="187"/>
    <x v="196"/>
    <x v="7"/>
    <x v="9"/>
  </r>
  <r>
    <x v="146"/>
    <n v="28"/>
    <n v="6"/>
    <x v="3"/>
    <x v="2"/>
    <x v="9"/>
    <x v="0"/>
    <x v="130"/>
    <x v="129"/>
    <x v="1"/>
    <x v="7"/>
  </r>
  <r>
    <x v="3"/>
    <n v="33"/>
    <n v="-1"/>
    <x v="8"/>
    <x v="2"/>
    <x v="6"/>
    <x v="2"/>
    <x v="3"/>
    <x v="3"/>
    <x v="2"/>
    <x v="2"/>
  </r>
  <r>
    <x v="256"/>
    <n v="27"/>
    <n v="-20"/>
    <x v="5"/>
    <x v="2"/>
    <x v="7"/>
    <x v="0"/>
    <x v="193"/>
    <x v="205"/>
    <x v="1"/>
    <x v="10"/>
  </r>
  <r>
    <x v="155"/>
    <n v="27"/>
    <n v="5"/>
    <x v="5"/>
    <x v="2"/>
    <x v="9"/>
    <x v="0"/>
    <x v="137"/>
    <x v="137"/>
    <x v="2"/>
    <x v="4"/>
  </r>
  <r>
    <x v="61"/>
    <n v="27"/>
    <n v="4"/>
    <x v="9"/>
    <x v="2"/>
    <x v="9"/>
    <x v="0"/>
    <x v="59"/>
    <x v="58"/>
    <x v="0"/>
    <x v="0"/>
  </r>
  <r>
    <x v="266"/>
    <n v="635"/>
    <n v="-349"/>
    <x v="4"/>
    <x v="2"/>
    <x v="6"/>
    <x v="4"/>
    <x v="200"/>
    <x v="90"/>
    <x v="4"/>
    <x v="5"/>
  </r>
  <r>
    <x v="259"/>
    <n v="598"/>
    <n v="166"/>
    <x v="3"/>
    <x v="1"/>
    <x v="2"/>
    <x v="3"/>
    <x v="184"/>
    <x v="57"/>
    <x v="0"/>
    <x v="0"/>
  </r>
  <r>
    <x v="353"/>
    <n v="636"/>
    <n v="-204"/>
    <x v="5"/>
    <x v="0"/>
    <x v="3"/>
    <x v="4"/>
    <x v="236"/>
    <x v="259"/>
    <x v="6"/>
    <x v="23"/>
  </r>
  <r>
    <x v="350"/>
    <n v="27"/>
    <n v="9"/>
    <x v="5"/>
    <x v="2"/>
    <x v="7"/>
    <x v="0"/>
    <x v="80"/>
    <x v="257"/>
    <x v="2"/>
    <x v="4"/>
  </r>
  <r>
    <x v="150"/>
    <n v="27"/>
    <n v="-6"/>
    <x v="3"/>
    <x v="2"/>
    <x v="7"/>
    <x v="0"/>
    <x v="133"/>
    <x v="133"/>
    <x v="14"/>
    <x v="19"/>
  </r>
  <r>
    <x v="125"/>
    <n v="637"/>
    <n v="212"/>
    <x v="2"/>
    <x v="0"/>
    <x v="4"/>
    <x v="4"/>
    <x v="71"/>
    <x v="113"/>
    <x v="0"/>
    <x v="0"/>
  </r>
  <r>
    <x v="221"/>
    <n v="290"/>
    <n v="110"/>
    <x v="6"/>
    <x v="2"/>
    <x v="11"/>
    <x v="3"/>
    <x v="172"/>
    <x v="182"/>
    <x v="0"/>
    <x v="0"/>
  </r>
  <r>
    <x v="474"/>
    <n v="27"/>
    <n v="-25"/>
    <x v="5"/>
    <x v="2"/>
    <x v="11"/>
    <x v="0"/>
    <x v="294"/>
    <x v="319"/>
    <x v="15"/>
    <x v="16"/>
  </r>
  <r>
    <x v="475"/>
    <n v="632"/>
    <n v="-114"/>
    <x v="3"/>
    <x v="1"/>
    <x v="10"/>
    <x v="3"/>
    <x v="295"/>
    <x v="320"/>
    <x v="0"/>
    <x v="0"/>
  </r>
  <r>
    <x v="13"/>
    <n v="643"/>
    <n v="-45"/>
    <x v="5"/>
    <x v="0"/>
    <x v="3"/>
    <x v="4"/>
    <x v="13"/>
    <x v="13"/>
    <x v="2"/>
    <x v="4"/>
  </r>
  <r>
    <x v="34"/>
    <n v="652"/>
    <n v="13"/>
    <x v="7"/>
    <x v="1"/>
    <x v="15"/>
    <x v="4"/>
    <x v="33"/>
    <x v="34"/>
    <x v="0"/>
    <x v="18"/>
  </r>
  <r>
    <x v="97"/>
    <n v="33"/>
    <n v="-27"/>
    <x v="8"/>
    <x v="1"/>
    <x v="1"/>
    <x v="2"/>
    <x v="90"/>
    <x v="89"/>
    <x v="0"/>
    <x v="0"/>
  </r>
  <r>
    <x v="356"/>
    <n v="26"/>
    <n v="2"/>
    <x v="5"/>
    <x v="2"/>
    <x v="7"/>
    <x v="0"/>
    <x v="54"/>
    <x v="211"/>
    <x v="0"/>
    <x v="0"/>
  </r>
  <r>
    <x v="339"/>
    <n v="633"/>
    <n v="-633"/>
    <x v="11"/>
    <x v="0"/>
    <x v="13"/>
    <x v="3"/>
    <x v="126"/>
    <x v="249"/>
    <x v="2"/>
    <x v="4"/>
  </r>
  <r>
    <x v="5"/>
    <n v="26"/>
    <n v="9"/>
    <x v="5"/>
    <x v="2"/>
    <x v="12"/>
    <x v="0"/>
    <x v="5"/>
    <x v="5"/>
    <x v="1"/>
    <x v="1"/>
  </r>
  <r>
    <x v="85"/>
    <n v="191"/>
    <n v="93"/>
    <x v="3"/>
    <x v="2"/>
    <x v="16"/>
    <x v="3"/>
    <x v="81"/>
    <x v="76"/>
    <x v="6"/>
    <x v="23"/>
  </r>
  <r>
    <x v="6"/>
    <n v="887"/>
    <n v="80"/>
    <x v="9"/>
    <x v="0"/>
    <x v="3"/>
    <x v="3"/>
    <x v="6"/>
    <x v="6"/>
    <x v="3"/>
    <x v="3"/>
  </r>
  <r>
    <x v="476"/>
    <n v="637"/>
    <n v="261"/>
    <x v="5"/>
    <x v="0"/>
    <x v="3"/>
    <x v="0"/>
    <x v="296"/>
    <x v="321"/>
    <x v="2"/>
    <x v="4"/>
  </r>
  <r>
    <x v="220"/>
    <n v="670"/>
    <n v="15"/>
    <x v="4"/>
    <x v="1"/>
    <x v="2"/>
    <x v="4"/>
    <x v="171"/>
    <x v="181"/>
    <x v="7"/>
    <x v="9"/>
  </r>
  <r>
    <x v="45"/>
    <n v="26"/>
    <n v="7"/>
    <x v="3"/>
    <x v="2"/>
    <x v="7"/>
    <x v="0"/>
    <x v="43"/>
    <x v="45"/>
    <x v="7"/>
    <x v="9"/>
  </r>
  <r>
    <x v="58"/>
    <n v="676"/>
    <n v="195"/>
    <x v="4"/>
    <x v="1"/>
    <x v="2"/>
    <x v="4"/>
    <x v="56"/>
    <x v="56"/>
    <x v="17"/>
    <x v="21"/>
  </r>
  <r>
    <x v="477"/>
    <n v="26"/>
    <n v="12"/>
    <x v="9"/>
    <x v="2"/>
    <x v="7"/>
    <x v="0"/>
    <x v="214"/>
    <x v="35"/>
    <x v="3"/>
    <x v="3"/>
  </r>
  <r>
    <x v="39"/>
    <n v="26"/>
    <n v="-24"/>
    <x v="8"/>
    <x v="2"/>
    <x v="11"/>
    <x v="0"/>
    <x v="37"/>
    <x v="39"/>
    <x v="2"/>
    <x v="4"/>
  </r>
  <r>
    <x v="92"/>
    <n v="25"/>
    <n v="7"/>
    <x v="5"/>
    <x v="2"/>
    <x v="11"/>
    <x v="0"/>
    <x v="87"/>
    <x v="84"/>
    <x v="3"/>
    <x v="3"/>
  </r>
  <r>
    <x v="117"/>
    <n v="24"/>
    <n v="-30"/>
    <x v="8"/>
    <x v="1"/>
    <x v="1"/>
    <x v="0"/>
    <x v="108"/>
    <x v="106"/>
    <x v="0"/>
    <x v="18"/>
  </r>
  <r>
    <x v="191"/>
    <n v="32"/>
    <n v="-12"/>
    <x v="8"/>
    <x v="1"/>
    <x v="1"/>
    <x v="2"/>
    <x v="69"/>
    <x v="164"/>
    <x v="8"/>
    <x v="11"/>
  </r>
  <r>
    <x v="104"/>
    <n v="31"/>
    <n v="-2"/>
    <x v="5"/>
    <x v="2"/>
    <x v="6"/>
    <x v="2"/>
    <x v="96"/>
    <x v="95"/>
    <x v="2"/>
    <x v="4"/>
  </r>
  <r>
    <x v="93"/>
    <n v="651"/>
    <n v="169"/>
    <x v="4"/>
    <x v="0"/>
    <x v="3"/>
    <x v="0"/>
    <x v="15"/>
    <x v="85"/>
    <x v="2"/>
    <x v="2"/>
  </r>
  <r>
    <x v="277"/>
    <n v="326"/>
    <n v="107"/>
    <x v="9"/>
    <x v="1"/>
    <x v="15"/>
    <x v="3"/>
    <x v="152"/>
    <x v="55"/>
    <x v="14"/>
    <x v="19"/>
  </r>
  <r>
    <x v="356"/>
    <n v="30"/>
    <n v="-6"/>
    <x v="5"/>
    <x v="2"/>
    <x v="7"/>
    <x v="3"/>
    <x v="54"/>
    <x v="211"/>
    <x v="0"/>
    <x v="0"/>
  </r>
  <r>
    <x v="147"/>
    <n v="30"/>
    <n v="5"/>
    <x v="5"/>
    <x v="2"/>
    <x v="8"/>
    <x v="3"/>
    <x v="21"/>
    <x v="130"/>
    <x v="17"/>
    <x v="21"/>
  </r>
  <r>
    <x v="478"/>
    <n v="662"/>
    <n v="240"/>
    <x v="5"/>
    <x v="1"/>
    <x v="2"/>
    <x v="0"/>
    <x v="266"/>
    <x v="322"/>
    <x v="6"/>
    <x v="23"/>
  </r>
  <r>
    <x v="29"/>
    <n v="30"/>
    <n v="-23"/>
    <x v="5"/>
    <x v="2"/>
    <x v="6"/>
    <x v="3"/>
    <x v="28"/>
    <x v="29"/>
    <x v="12"/>
    <x v="15"/>
  </r>
  <r>
    <x v="221"/>
    <n v="29"/>
    <n v="9"/>
    <x v="9"/>
    <x v="2"/>
    <x v="6"/>
    <x v="3"/>
    <x v="172"/>
    <x v="182"/>
    <x v="0"/>
    <x v="0"/>
  </r>
  <r>
    <x v="131"/>
    <n v="28"/>
    <n v="1"/>
    <x v="8"/>
    <x v="0"/>
    <x v="13"/>
    <x v="3"/>
    <x v="120"/>
    <x v="119"/>
    <x v="2"/>
    <x v="4"/>
  </r>
  <r>
    <x v="87"/>
    <n v="28"/>
    <n v="-3"/>
    <x v="5"/>
    <x v="2"/>
    <x v="6"/>
    <x v="3"/>
    <x v="83"/>
    <x v="80"/>
    <x v="5"/>
    <x v="6"/>
  </r>
  <r>
    <x v="479"/>
    <n v="24"/>
    <n v="2"/>
    <x v="3"/>
    <x v="2"/>
    <x v="7"/>
    <x v="0"/>
    <x v="105"/>
    <x v="323"/>
    <x v="2"/>
    <x v="4"/>
  </r>
  <r>
    <x v="104"/>
    <n v="28"/>
    <n v="-26"/>
    <x v="5"/>
    <x v="2"/>
    <x v="11"/>
    <x v="3"/>
    <x v="96"/>
    <x v="95"/>
    <x v="2"/>
    <x v="4"/>
  </r>
  <r>
    <x v="243"/>
    <n v="27"/>
    <n v="5"/>
    <x v="8"/>
    <x v="2"/>
    <x v="11"/>
    <x v="3"/>
    <x v="186"/>
    <x v="186"/>
    <x v="5"/>
    <x v="6"/>
  </r>
  <r>
    <x v="480"/>
    <n v="27"/>
    <n v="-15"/>
    <x v="8"/>
    <x v="2"/>
    <x v="11"/>
    <x v="3"/>
    <x v="62"/>
    <x v="324"/>
    <x v="9"/>
    <x v="12"/>
  </r>
  <r>
    <x v="351"/>
    <n v="24"/>
    <n v="11"/>
    <x v="9"/>
    <x v="2"/>
    <x v="7"/>
    <x v="0"/>
    <x v="21"/>
    <x v="258"/>
    <x v="2"/>
    <x v="4"/>
  </r>
  <r>
    <x v="234"/>
    <n v="23"/>
    <n v="-6"/>
    <x v="3"/>
    <x v="2"/>
    <x v="7"/>
    <x v="0"/>
    <x v="182"/>
    <x v="191"/>
    <x v="2"/>
    <x v="4"/>
  </r>
  <r>
    <x v="69"/>
    <n v="322"/>
    <n v="193"/>
    <x v="4"/>
    <x v="0"/>
    <x v="3"/>
    <x v="0"/>
    <x v="66"/>
    <x v="66"/>
    <x v="4"/>
    <x v="5"/>
  </r>
  <r>
    <x v="170"/>
    <n v="688"/>
    <n v="-103"/>
    <x v="7"/>
    <x v="0"/>
    <x v="13"/>
    <x v="4"/>
    <x v="147"/>
    <x v="4"/>
    <x v="1"/>
    <x v="1"/>
  </r>
  <r>
    <x v="339"/>
    <n v="23"/>
    <n v="-3"/>
    <x v="8"/>
    <x v="2"/>
    <x v="16"/>
    <x v="0"/>
    <x v="126"/>
    <x v="249"/>
    <x v="2"/>
    <x v="4"/>
  </r>
  <r>
    <x v="177"/>
    <n v="26"/>
    <n v="3"/>
    <x v="9"/>
    <x v="2"/>
    <x v="9"/>
    <x v="3"/>
    <x v="71"/>
    <x v="154"/>
    <x v="7"/>
    <x v="9"/>
  </r>
  <r>
    <x v="230"/>
    <n v="68"/>
    <n v="-56"/>
    <x v="5"/>
    <x v="0"/>
    <x v="4"/>
    <x v="0"/>
    <x v="90"/>
    <x v="188"/>
    <x v="2"/>
    <x v="4"/>
  </r>
  <r>
    <x v="360"/>
    <n v="462"/>
    <n v="169"/>
    <x v="3"/>
    <x v="2"/>
    <x v="6"/>
    <x v="0"/>
    <x v="49"/>
    <x v="252"/>
    <x v="0"/>
    <x v="0"/>
  </r>
  <r>
    <x v="437"/>
    <n v="941"/>
    <n v="203"/>
    <x v="9"/>
    <x v="1"/>
    <x v="10"/>
    <x v="3"/>
    <x v="281"/>
    <x v="305"/>
    <x v="2"/>
    <x v="4"/>
  </r>
  <r>
    <x v="159"/>
    <n v="23"/>
    <n v="4"/>
    <x v="5"/>
    <x v="2"/>
    <x v="9"/>
    <x v="0"/>
    <x v="141"/>
    <x v="140"/>
    <x v="2"/>
    <x v="4"/>
  </r>
  <r>
    <x v="404"/>
    <n v="720"/>
    <n v="43"/>
    <x v="5"/>
    <x v="0"/>
    <x v="3"/>
    <x v="3"/>
    <x v="61"/>
    <x v="289"/>
    <x v="7"/>
    <x v="17"/>
  </r>
  <r>
    <x v="27"/>
    <n v="724"/>
    <n v="-447"/>
    <x v="3"/>
    <x v="0"/>
    <x v="0"/>
    <x v="3"/>
    <x v="27"/>
    <x v="27"/>
    <x v="2"/>
    <x v="4"/>
  </r>
  <r>
    <x v="481"/>
    <n v="724"/>
    <n v="253"/>
    <x v="5"/>
    <x v="1"/>
    <x v="2"/>
    <x v="3"/>
    <x v="297"/>
    <x v="325"/>
    <x v="0"/>
    <x v="0"/>
  </r>
  <r>
    <x v="51"/>
    <n v="26"/>
    <n v="10"/>
    <x v="3"/>
    <x v="2"/>
    <x v="7"/>
    <x v="3"/>
    <x v="49"/>
    <x v="50"/>
    <x v="13"/>
    <x v="16"/>
  </r>
  <r>
    <x v="77"/>
    <n v="22"/>
    <n v="-2"/>
    <x v="9"/>
    <x v="2"/>
    <x v="7"/>
    <x v="0"/>
    <x v="73"/>
    <x v="72"/>
    <x v="16"/>
    <x v="20"/>
  </r>
  <r>
    <x v="157"/>
    <n v="711"/>
    <n v="-8"/>
    <x v="3"/>
    <x v="2"/>
    <x v="6"/>
    <x v="4"/>
    <x v="139"/>
    <x v="139"/>
    <x v="18"/>
    <x v="24"/>
  </r>
  <r>
    <x v="256"/>
    <n v="107"/>
    <n v="31"/>
    <x v="4"/>
    <x v="2"/>
    <x v="14"/>
    <x v="0"/>
    <x v="193"/>
    <x v="205"/>
    <x v="1"/>
    <x v="10"/>
  </r>
  <r>
    <x v="309"/>
    <n v="765"/>
    <n v="-153"/>
    <x v="5"/>
    <x v="0"/>
    <x v="4"/>
    <x v="4"/>
    <x v="217"/>
    <x v="231"/>
    <x v="2"/>
    <x v="2"/>
  </r>
  <r>
    <x v="350"/>
    <n v="22"/>
    <n v="8"/>
    <x v="5"/>
    <x v="2"/>
    <x v="12"/>
    <x v="0"/>
    <x v="80"/>
    <x v="257"/>
    <x v="2"/>
    <x v="4"/>
  </r>
  <r>
    <x v="386"/>
    <n v="26"/>
    <n v="-5"/>
    <x v="5"/>
    <x v="2"/>
    <x v="11"/>
    <x v="3"/>
    <x v="252"/>
    <x v="276"/>
    <x v="5"/>
    <x v="6"/>
  </r>
  <r>
    <x v="155"/>
    <n v="22"/>
    <n v="8"/>
    <x v="9"/>
    <x v="2"/>
    <x v="7"/>
    <x v="0"/>
    <x v="137"/>
    <x v="137"/>
    <x v="2"/>
    <x v="4"/>
  </r>
  <r>
    <x v="482"/>
    <n v="743"/>
    <n v="89"/>
    <x v="4"/>
    <x v="0"/>
    <x v="3"/>
    <x v="3"/>
    <x v="298"/>
    <x v="326"/>
    <x v="2"/>
    <x v="4"/>
  </r>
  <r>
    <x v="10"/>
    <n v="22"/>
    <n v="-15"/>
    <x v="3"/>
    <x v="2"/>
    <x v="8"/>
    <x v="0"/>
    <x v="10"/>
    <x v="10"/>
    <x v="0"/>
    <x v="0"/>
  </r>
  <r>
    <x v="233"/>
    <n v="781"/>
    <n v="594"/>
    <x v="7"/>
    <x v="0"/>
    <x v="3"/>
    <x v="4"/>
    <x v="140"/>
    <x v="190"/>
    <x v="12"/>
    <x v="15"/>
  </r>
  <r>
    <x v="276"/>
    <n v="25"/>
    <n v="-2"/>
    <x v="4"/>
    <x v="2"/>
    <x v="7"/>
    <x v="3"/>
    <x v="83"/>
    <x v="97"/>
    <x v="16"/>
    <x v="20"/>
  </r>
  <r>
    <x v="205"/>
    <n v="25"/>
    <n v="2"/>
    <x v="5"/>
    <x v="2"/>
    <x v="7"/>
    <x v="3"/>
    <x v="147"/>
    <x v="170"/>
    <x v="0"/>
    <x v="0"/>
  </r>
  <r>
    <x v="309"/>
    <n v="119"/>
    <n v="43"/>
    <x v="4"/>
    <x v="2"/>
    <x v="14"/>
    <x v="0"/>
    <x v="217"/>
    <x v="231"/>
    <x v="2"/>
    <x v="2"/>
  </r>
  <r>
    <x v="214"/>
    <n v="785"/>
    <n v="52"/>
    <x v="5"/>
    <x v="0"/>
    <x v="4"/>
    <x v="4"/>
    <x v="168"/>
    <x v="176"/>
    <x v="12"/>
    <x v="15"/>
  </r>
  <r>
    <x v="226"/>
    <n v="183"/>
    <n v="-66"/>
    <x v="4"/>
    <x v="0"/>
    <x v="4"/>
    <x v="3"/>
    <x v="177"/>
    <x v="185"/>
    <x v="0"/>
    <x v="0"/>
  </r>
  <r>
    <x v="300"/>
    <n v="22"/>
    <n v="4"/>
    <x v="8"/>
    <x v="2"/>
    <x v="11"/>
    <x v="0"/>
    <x v="65"/>
    <x v="226"/>
    <x v="14"/>
    <x v="19"/>
  </r>
  <r>
    <x v="76"/>
    <n v="642"/>
    <n v="180"/>
    <x v="4"/>
    <x v="2"/>
    <x v="6"/>
    <x v="0"/>
    <x v="72"/>
    <x v="71"/>
    <x v="0"/>
    <x v="0"/>
  </r>
  <r>
    <x v="244"/>
    <n v="767"/>
    <n v="-353"/>
    <x v="4"/>
    <x v="2"/>
    <x v="5"/>
    <x v="0"/>
    <x v="187"/>
    <x v="196"/>
    <x v="7"/>
    <x v="9"/>
  </r>
  <r>
    <x v="260"/>
    <n v="770"/>
    <n v="323"/>
    <x v="9"/>
    <x v="0"/>
    <x v="13"/>
    <x v="0"/>
    <x v="195"/>
    <x v="207"/>
    <x v="8"/>
    <x v="11"/>
  </r>
  <r>
    <x v="356"/>
    <n v="21"/>
    <n v="-17"/>
    <x v="9"/>
    <x v="2"/>
    <x v="16"/>
    <x v="0"/>
    <x v="54"/>
    <x v="211"/>
    <x v="0"/>
    <x v="0"/>
  </r>
  <r>
    <x v="305"/>
    <n v="21"/>
    <n v="-6"/>
    <x v="9"/>
    <x v="2"/>
    <x v="12"/>
    <x v="0"/>
    <x v="50"/>
    <x v="228"/>
    <x v="2"/>
    <x v="2"/>
  </r>
  <r>
    <x v="3"/>
    <n v="492"/>
    <n v="187"/>
    <x v="5"/>
    <x v="0"/>
    <x v="13"/>
    <x v="3"/>
    <x v="3"/>
    <x v="3"/>
    <x v="2"/>
    <x v="2"/>
  </r>
  <r>
    <x v="327"/>
    <n v="816"/>
    <n v="-96"/>
    <x v="9"/>
    <x v="0"/>
    <x v="3"/>
    <x v="4"/>
    <x v="139"/>
    <x v="30"/>
    <x v="2"/>
    <x v="2"/>
  </r>
  <r>
    <x v="238"/>
    <n v="25"/>
    <n v="2"/>
    <x v="9"/>
    <x v="2"/>
    <x v="8"/>
    <x v="2"/>
    <x v="180"/>
    <x v="72"/>
    <x v="16"/>
    <x v="20"/>
  </r>
  <r>
    <x v="274"/>
    <n v="802"/>
    <n v="120"/>
    <x v="0"/>
    <x v="0"/>
    <x v="13"/>
    <x v="0"/>
    <x v="95"/>
    <x v="215"/>
    <x v="2"/>
    <x v="4"/>
  </r>
  <r>
    <x v="483"/>
    <n v="811"/>
    <n v="154"/>
    <x v="0"/>
    <x v="0"/>
    <x v="13"/>
    <x v="3"/>
    <x v="61"/>
    <x v="327"/>
    <x v="13"/>
    <x v="22"/>
  </r>
  <r>
    <x v="426"/>
    <n v="835"/>
    <n v="267"/>
    <x v="4"/>
    <x v="0"/>
    <x v="4"/>
    <x v="4"/>
    <x v="272"/>
    <x v="300"/>
    <x v="2"/>
    <x v="4"/>
  </r>
  <r>
    <x v="247"/>
    <n v="21"/>
    <n v="-5"/>
    <x v="8"/>
    <x v="0"/>
    <x v="13"/>
    <x v="0"/>
    <x v="189"/>
    <x v="199"/>
    <x v="1"/>
    <x v="10"/>
  </r>
  <r>
    <x v="262"/>
    <n v="450"/>
    <n v="-190"/>
    <x v="3"/>
    <x v="1"/>
    <x v="2"/>
    <x v="0"/>
    <x v="172"/>
    <x v="106"/>
    <x v="0"/>
    <x v="18"/>
  </r>
  <r>
    <x v="275"/>
    <n v="24"/>
    <n v="-1"/>
    <x v="3"/>
    <x v="2"/>
    <x v="9"/>
    <x v="2"/>
    <x v="120"/>
    <x v="216"/>
    <x v="0"/>
    <x v="0"/>
  </r>
  <r>
    <x v="484"/>
    <n v="832"/>
    <n v="0"/>
    <x v="9"/>
    <x v="2"/>
    <x v="5"/>
    <x v="3"/>
    <x v="299"/>
    <x v="198"/>
    <x v="5"/>
    <x v="6"/>
  </r>
  <r>
    <x v="329"/>
    <n v="833"/>
    <n v="93"/>
    <x v="9"/>
    <x v="2"/>
    <x v="5"/>
    <x v="3"/>
    <x v="226"/>
    <x v="168"/>
    <x v="13"/>
    <x v="16"/>
  </r>
  <r>
    <x v="485"/>
    <n v="20"/>
    <n v="6"/>
    <x v="8"/>
    <x v="2"/>
    <x v="14"/>
    <x v="0"/>
    <x v="300"/>
    <x v="319"/>
    <x v="15"/>
    <x v="16"/>
  </r>
  <r>
    <x v="386"/>
    <n v="23"/>
    <n v="-5"/>
    <x v="0"/>
    <x v="2"/>
    <x v="7"/>
    <x v="2"/>
    <x v="252"/>
    <x v="276"/>
    <x v="5"/>
    <x v="6"/>
  </r>
  <r>
    <x v="139"/>
    <n v="550"/>
    <n v="-242"/>
    <x v="4"/>
    <x v="1"/>
    <x v="15"/>
    <x v="3"/>
    <x v="18"/>
    <x v="124"/>
    <x v="0"/>
    <x v="18"/>
  </r>
  <r>
    <x v="312"/>
    <n v="148"/>
    <n v="-91"/>
    <x v="5"/>
    <x v="0"/>
    <x v="4"/>
    <x v="0"/>
    <x v="219"/>
    <x v="121"/>
    <x v="13"/>
    <x v="16"/>
  </r>
  <r>
    <x v="146"/>
    <n v="846"/>
    <n v="9"/>
    <x v="5"/>
    <x v="1"/>
    <x v="1"/>
    <x v="4"/>
    <x v="130"/>
    <x v="129"/>
    <x v="1"/>
    <x v="7"/>
  </r>
  <r>
    <x v="57"/>
    <n v="856"/>
    <n v="385"/>
    <x v="7"/>
    <x v="0"/>
    <x v="3"/>
    <x v="0"/>
    <x v="55"/>
    <x v="55"/>
    <x v="14"/>
    <x v="19"/>
  </r>
  <r>
    <x v="342"/>
    <n v="871"/>
    <n v="131"/>
    <x v="5"/>
    <x v="1"/>
    <x v="2"/>
    <x v="3"/>
    <x v="95"/>
    <x v="252"/>
    <x v="8"/>
    <x v="11"/>
  </r>
  <r>
    <x v="179"/>
    <n v="19"/>
    <n v="-18"/>
    <x v="3"/>
    <x v="2"/>
    <x v="8"/>
    <x v="0"/>
    <x v="1"/>
    <x v="156"/>
    <x v="12"/>
    <x v="15"/>
  </r>
  <r>
    <x v="486"/>
    <n v="610"/>
    <n v="-66"/>
    <x v="5"/>
    <x v="1"/>
    <x v="10"/>
    <x v="0"/>
    <x v="114"/>
    <x v="328"/>
    <x v="18"/>
    <x v="24"/>
  </r>
  <r>
    <x v="327"/>
    <n v="880"/>
    <n v="97"/>
    <x v="2"/>
    <x v="1"/>
    <x v="15"/>
    <x v="4"/>
    <x v="139"/>
    <x v="30"/>
    <x v="2"/>
    <x v="2"/>
  </r>
  <r>
    <x v="101"/>
    <n v="22"/>
    <n v="-8"/>
    <x v="3"/>
    <x v="2"/>
    <x v="7"/>
    <x v="2"/>
    <x v="94"/>
    <x v="93"/>
    <x v="9"/>
    <x v="12"/>
  </r>
  <r>
    <x v="487"/>
    <n v="22"/>
    <n v="11"/>
    <x v="5"/>
    <x v="2"/>
    <x v="9"/>
    <x v="2"/>
    <x v="301"/>
    <x v="329"/>
    <x v="2"/>
    <x v="4"/>
  </r>
  <r>
    <x v="488"/>
    <n v="21"/>
    <n v="4"/>
    <x v="9"/>
    <x v="2"/>
    <x v="7"/>
    <x v="2"/>
    <x v="302"/>
    <x v="206"/>
    <x v="4"/>
    <x v="5"/>
  </r>
  <r>
    <x v="275"/>
    <n v="18"/>
    <n v="1"/>
    <x v="9"/>
    <x v="2"/>
    <x v="7"/>
    <x v="0"/>
    <x v="120"/>
    <x v="216"/>
    <x v="0"/>
    <x v="0"/>
  </r>
  <r>
    <x v="489"/>
    <n v="911"/>
    <n v="202"/>
    <x v="0"/>
    <x v="1"/>
    <x v="1"/>
    <x v="0"/>
    <x v="49"/>
    <x v="330"/>
    <x v="2"/>
    <x v="4"/>
  </r>
  <r>
    <x v="267"/>
    <n v="18"/>
    <n v="2"/>
    <x v="9"/>
    <x v="2"/>
    <x v="7"/>
    <x v="0"/>
    <x v="201"/>
    <x v="210"/>
    <x v="12"/>
    <x v="15"/>
  </r>
  <r>
    <x v="317"/>
    <n v="911"/>
    <n v="355"/>
    <x v="4"/>
    <x v="0"/>
    <x v="4"/>
    <x v="4"/>
    <x v="220"/>
    <x v="181"/>
    <x v="0"/>
    <x v="0"/>
  </r>
  <r>
    <x v="197"/>
    <n v="143"/>
    <n v="-129"/>
    <x v="5"/>
    <x v="0"/>
    <x v="4"/>
    <x v="0"/>
    <x v="161"/>
    <x v="168"/>
    <x v="13"/>
    <x v="16"/>
  </r>
  <r>
    <x v="100"/>
    <n v="918"/>
    <n v="22"/>
    <x v="6"/>
    <x v="0"/>
    <x v="0"/>
    <x v="0"/>
    <x v="93"/>
    <x v="92"/>
    <x v="6"/>
    <x v="23"/>
  </r>
  <r>
    <x v="104"/>
    <n v="925"/>
    <n v="-447"/>
    <x v="4"/>
    <x v="0"/>
    <x v="0"/>
    <x v="0"/>
    <x v="96"/>
    <x v="95"/>
    <x v="2"/>
    <x v="4"/>
  </r>
  <r>
    <x v="142"/>
    <n v="17"/>
    <n v="8"/>
    <x v="5"/>
    <x v="2"/>
    <x v="9"/>
    <x v="0"/>
    <x v="76"/>
    <x v="127"/>
    <x v="17"/>
    <x v="21"/>
  </r>
  <r>
    <x v="490"/>
    <n v="465"/>
    <n v="207"/>
    <x v="6"/>
    <x v="2"/>
    <x v="6"/>
    <x v="0"/>
    <x v="147"/>
    <x v="331"/>
    <x v="2"/>
    <x v="4"/>
  </r>
  <r>
    <x v="118"/>
    <n v="17"/>
    <n v="-9"/>
    <x v="9"/>
    <x v="2"/>
    <x v="11"/>
    <x v="0"/>
    <x v="109"/>
    <x v="107"/>
    <x v="2"/>
    <x v="4"/>
  </r>
  <r>
    <x v="102"/>
    <n v="935"/>
    <n v="114"/>
    <x v="3"/>
    <x v="0"/>
    <x v="0"/>
    <x v="3"/>
    <x v="21"/>
    <x v="85"/>
    <x v="0"/>
    <x v="0"/>
  </r>
  <r>
    <x v="89"/>
    <n v="16"/>
    <n v="-10"/>
    <x v="5"/>
    <x v="2"/>
    <x v="14"/>
    <x v="0"/>
    <x v="85"/>
    <x v="71"/>
    <x v="0"/>
    <x v="0"/>
  </r>
  <r>
    <x v="2"/>
    <n v="954"/>
    <n v="95"/>
    <x v="9"/>
    <x v="0"/>
    <x v="3"/>
    <x v="3"/>
    <x v="2"/>
    <x v="2"/>
    <x v="2"/>
    <x v="2"/>
  </r>
  <r>
    <x v="85"/>
    <n v="915"/>
    <n v="-99"/>
    <x v="9"/>
    <x v="1"/>
    <x v="10"/>
    <x v="4"/>
    <x v="81"/>
    <x v="76"/>
    <x v="6"/>
    <x v="23"/>
  </r>
  <r>
    <x v="298"/>
    <n v="955"/>
    <n v="305"/>
    <x v="9"/>
    <x v="0"/>
    <x v="3"/>
    <x v="4"/>
    <x v="68"/>
    <x v="48"/>
    <x v="0"/>
    <x v="0"/>
  </r>
  <r>
    <x v="37"/>
    <n v="976"/>
    <n v="293"/>
    <x v="3"/>
    <x v="0"/>
    <x v="13"/>
    <x v="0"/>
    <x v="35"/>
    <x v="37"/>
    <x v="0"/>
    <x v="0"/>
  </r>
  <r>
    <x v="312"/>
    <n v="1069"/>
    <n v="0"/>
    <x v="7"/>
    <x v="2"/>
    <x v="6"/>
    <x v="1"/>
    <x v="219"/>
    <x v="121"/>
    <x v="13"/>
    <x v="16"/>
  </r>
  <r>
    <x v="258"/>
    <n v="19"/>
    <n v="-15"/>
    <x v="9"/>
    <x v="2"/>
    <x v="7"/>
    <x v="2"/>
    <x v="119"/>
    <x v="206"/>
    <x v="4"/>
    <x v="5"/>
  </r>
  <r>
    <x v="289"/>
    <n v="16"/>
    <n v="6"/>
    <x v="9"/>
    <x v="2"/>
    <x v="7"/>
    <x v="0"/>
    <x v="60"/>
    <x v="190"/>
    <x v="2"/>
    <x v="2"/>
  </r>
  <r>
    <x v="70"/>
    <n v="1030"/>
    <n v="206"/>
    <x v="2"/>
    <x v="0"/>
    <x v="3"/>
    <x v="3"/>
    <x v="67"/>
    <x v="67"/>
    <x v="15"/>
    <x v="16"/>
  </r>
  <r>
    <x v="256"/>
    <n v="620"/>
    <n v="82"/>
    <x v="7"/>
    <x v="0"/>
    <x v="13"/>
    <x v="0"/>
    <x v="193"/>
    <x v="205"/>
    <x v="1"/>
    <x v="10"/>
  </r>
  <r>
    <x v="182"/>
    <n v="16"/>
    <n v="8"/>
    <x v="5"/>
    <x v="2"/>
    <x v="7"/>
    <x v="0"/>
    <x v="23"/>
    <x v="115"/>
    <x v="11"/>
    <x v="14"/>
  </r>
  <r>
    <x v="35"/>
    <n v="19"/>
    <n v="8"/>
    <x v="5"/>
    <x v="2"/>
    <x v="7"/>
    <x v="2"/>
    <x v="17"/>
    <x v="35"/>
    <x v="3"/>
    <x v="3"/>
  </r>
  <r>
    <x v="157"/>
    <n v="249"/>
    <n v="-130"/>
    <x v="3"/>
    <x v="0"/>
    <x v="4"/>
    <x v="3"/>
    <x v="139"/>
    <x v="139"/>
    <x v="18"/>
    <x v="24"/>
  </r>
  <r>
    <x v="491"/>
    <n v="16"/>
    <n v="6"/>
    <x v="8"/>
    <x v="2"/>
    <x v="11"/>
    <x v="0"/>
    <x v="303"/>
    <x v="332"/>
    <x v="1"/>
    <x v="10"/>
  </r>
  <r>
    <x v="97"/>
    <n v="1361"/>
    <n v="197"/>
    <x v="6"/>
    <x v="1"/>
    <x v="2"/>
    <x v="0"/>
    <x v="90"/>
    <x v="89"/>
    <x v="0"/>
    <x v="0"/>
  </r>
  <r>
    <x v="92"/>
    <n v="15"/>
    <n v="1"/>
    <x v="8"/>
    <x v="2"/>
    <x v="16"/>
    <x v="0"/>
    <x v="87"/>
    <x v="84"/>
    <x v="3"/>
    <x v="3"/>
  </r>
  <r>
    <x v="233"/>
    <n v="1076"/>
    <n v="-38"/>
    <x v="3"/>
    <x v="0"/>
    <x v="3"/>
    <x v="0"/>
    <x v="140"/>
    <x v="190"/>
    <x v="12"/>
    <x v="15"/>
  </r>
  <r>
    <x v="127"/>
    <n v="18"/>
    <n v="2"/>
    <x v="9"/>
    <x v="2"/>
    <x v="7"/>
    <x v="2"/>
    <x v="117"/>
    <x v="115"/>
    <x v="13"/>
    <x v="22"/>
  </r>
  <r>
    <x v="492"/>
    <n v="1101"/>
    <n v="352"/>
    <x v="9"/>
    <x v="1"/>
    <x v="2"/>
    <x v="3"/>
    <x v="238"/>
    <x v="138"/>
    <x v="15"/>
    <x v="16"/>
  </r>
  <r>
    <x v="148"/>
    <n v="15"/>
    <n v="2"/>
    <x v="8"/>
    <x v="2"/>
    <x v="12"/>
    <x v="0"/>
    <x v="131"/>
    <x v="131"/>
    <x v="13"/>
    <x v="16"/>
  </r>
  <r>
    <x v="30"/>
    <n v="1104"/>
    <n v="209"/>
    <x v="3"/>
    <x v="2"/>
    <x v="5"/>
    <x v="3"/>
    <x v="29"/>
    <x v="30"/>
    <x v="2"/>
    <x v="2"/>
  </r>
  <r>
    <x v="123"/>
    <n v="14"/>
    <n v="2"/>
    <x v="8"/>
    <x v="2"/>
    <x v="7"/>
    <x v="0"/>
    <x v="114"/>
    <x v="111"/>
    <x v="16"/>
    <x v="20"/>
  </r>
  <r>
    <x v="74"/>
    <n v="14"/>
    <n v="5"/>
    <x v="8"/>
    <x v="2"/>
    <x v="7"/>
    <x v="0"/>
    <x v="70"/>
    <x v="11"/>
    <x v="0"/>
    <x v="0"/>
  </r>
  <r>
    <x v="230"/>
    <n v="14"/>
    <n v="-3"/>
    <x v="5"/>
    <x v="2"/>
    <x v="12"/>
    <x v="0"/>
    <x v="90"/>
    <x v="188"/>
    <x v="2"/>
    <x v="4"/>
  </r>
  <r>
    <x v="7"/>
    <n v="14"/>
    <n v="-1"/>
    <x v="3"/>
    <x v="2"/>
    <x v="8"/>
    <x v="0"/>
    <x v="7"/>
    <x v="7"/>
    <x v="2"/>
    <x v="4"/>
  </r>
  <r>
    <x v="36"/>
    <n v="13"/>
    <n v="-8"/>
    <x v="8"/>
    <x v="2"/>
    <x v="14"/>
    <x v="0"/>
    <x v="34"/>
    <x v="36"/>
    <x v="2"/>
    <x v="2"/>
  </r>
  <r>
    <x v="93"/>
    <n v="13"/>
    <n v="-1"/>
    <x v="9"/>
    <x v="2"/>
    <x v="7"/>
    <x v="0"/>
    <x v="15"/>
    <x v="85"/>
    <x v="2"/>
    <x v="2"/>
  </r>
  <r>
    <x v="314"/>
    <n v="1275"/>
    <n v="1148"/>
    <x v="0"/>
    <x v="1"/>
    <x v="2"/>
    <x v="1"/>
    <x v="4"/>
    <x v="234"/>
    <x v="7"/>
    <x v="9"/>
  </r>
  <r>
    <x v="135"/>
    <n v="17"/>
    <n v="1"/>
    <x v="5"/>
    <x v="2"/>
    <x v="9"/>
    <x v="2"/>
    <x v="122"/>
    <x v="8"/>
    <x v="4"/>
    <x v="5"/>
  </r>
  <r>
    <x v="24"/>
    <n v="13"/>
    <n v="0"/>
    <x v="5"/>
    <x v="2"/>
    <x v="7"/>
    <x v="0"/>
    <x v="24"/>
    <x v="24"/>
    <x v="8"/>
    <x v="11"/>
  </r>
  <r>
    <x v="203"/>
    <n v="1270"/>
    <n v="546"/>
    <x v="11"/>
    <x v="0"/>
    <x v="0"/>
    <x v="1"/>
    <x v="165"/>
    <x v="169"/>
    <x v="2"/>
    <x v="2"/>
  </r>
  <r>
    <x v="106"/>
    <n v="13"/>
    <n v="-2"/>
    <x v="8"/>
    <x v="2"/>
    <x v="11"/>
    <x v="0"/>
    <x v="98"/>
    <x v="97"/>
    <x v="16"/>
    <x v="20"/>
  </r>
  <r>
    <x v="493"/>
    <n v="13"/>
    <n v="3"/>
    <x v="8"/>
    <x v="2"/>
    <x v="12"/>
    <x v="0"/>
    <x v="304"/>
    <x v="333"/>
    <x v="8"/>
    <x v="11"/>
  </r>
  <r>
    <x v="350"/>
    <n v="17"/>
    <n v="5"/>
    <x v="8"/>
    <x v="2"/>
    <x v="7"/>
    <x v="3"/>
    <x v="80"/>
    <x v="257"/>
    <x v="2"/>
    <x v="4"/>
  </r>
  <r>
    <x v="82"/>
    <n v="13"/>
    <n v="-13"/>
    <x v="5"/>
    <x v="2"/>
    <x v="9"/>
    <x v="0"/>
    <x v="78"/>
    <x v="77"/>
    <x v="0"/>
    <x v="18"/>
  </r>
  <r>
    <x v="339"/>
    <n v="13"/>
    <n v="-9"/>
    <x v="5"/>
    <x v="2"/>
    <x v="9"/>
    <x v="0"/>
    <x v="126"/>
    <x v="249"/>
    <x v="2"/>
    <x v="4"/>
  </r>
  <r>
    <x v="126"/>
    <n v="1263"/>
    <n v="-56"/>
    <x v="4"/>
    <x v="2"/>
    <x v="5"/>
    <x v="1"/>
    <x v="116"/>
    <x v="114"/>
    <x v="6"/>
    <x v="8"/>
  </r>
  <r>
    <x v="494"/>
    <n v="1629"/>
    <n v="-153"/>
    <x v="9"/>
    <x v="0"/>
    <x v="4"/>
    <x v="0"/>
    <x v="48"/>
    <x v="294"/>
    <x v="0"/>
    <x v="18"/>
  </r>
  <r>
    <x v="74"/>
    <n v="17"/>
    <n v="7"/>
    <x v="9"/>
    <x v="2"/>
    <x v="7"/>
    <x v="3"/>
    <x v="70"/>
    <x v="11"/>
    <x v="0"/>
    <x v="0"/>
  </r>
  <r>
    <x v="34"/>
    <n v="17"/>
    <n v="2"/>
    <x v="5"/>
    <x v="2"/>
    <x v="9"/>
    <x v="3"/>
    <x v="33"/>
    <x v="34"/>
    <x v="0"/>
    <x v="18"/>
  </r>
  <r>
    <x v="1"/>
    <n v="1250"/>
    <n v="-12"/>
    <x v="5"/>
    <x v="0"/>
    <x v="3"/>
    <x v="1"/>
    <x v="1"/>
    <x v="1"/>
    <x v="1"/>
    <x v="1"/>
  </r>
  <r>
    <x v="16"/>
    <n v="17"/>
    <n v="-11"/>
    <x v="9"/>
    <x v="2"/>
    <x v="9"/>
    <x v="3"/>
    <x v="16"/>
    <x v="16"/>
    <x v="1"/>
    <x v="1"/>
  </r>
  <r>
    <x v="353"/>
    <n v="977"/>
    <n v="-244"/>
    <x v="0"/>
    <x v="0"/>
    <x v="4"/>
    <x v="0"/>
    <x v="236"/>
    <x v="259"/>
    <x v="6"/>
    <x v="23"/>
  </r>
  <r>
    <x v="495"/>
    <n v="1246"/>
    <n v="62"/>
    <x v="9"/>
    <x v="1"/>
    <x v="2"/>
    <x v="1"/>
    <x v="147"/>
    <x v="334"/>
    <x v="13"/>
    <x v="22"/>
  </r>
  <r>
    <x v="268"/>
    <n v="12"/>
    <n v="1"/>
    <x v="5"/>
    <x v="2"/>
    <x v="7"/>
    <x v="0"/>
    <x v="144"/>
    <x v="211"/>
    <x v="0"/>
    <x v="0"/>
  </r>
  <r>
    <x v="89"/>
    <n v="11"/>
    <n v="-4"/>
    <x v="5"/>
    <x v="2"/>
    <x v="9"/>
    <x v="0"/>
    <x v="85"/>
    <x v="71"/>
    <x v="0"/>
    <x v="0"/>
  </r>
  <r>
    <x v="87"/>
    <n v="1327"/>
    <n v="318"/>
    <x v="2"/>
    <x v="1"/>
    <x v="1"/>
    <x v="1"/>
    <x v="83"/>
    <x v="80"/>
    <x v="5"/>
    <x v="6"/>
  </r>
  <r>
    <x v="139"/>
    <n v="1319"/>
    <n v="567"/>
    <x v="4"/>
    <x v="0"/>
    <x v="3"/>
    <x v="0"/>
    <x v="18"/>
    <x v="124"/>
    <x v="0"/>
    <x v="18"/>
  </r>
  <r>
    <x v="275"/>
    <n v="1402"/>
    <n v="109"/>
    <x v="11"/>
    <x v="2"/>
    <x v="6"/>
    <x v="1"/>
    <x v="120"/>
    <x v="216"/>
    <x v="0"/>
    <x v="0"/>
  </r>
  <r>
    <x v="221"/>
    <n v="1514"/>
    <n v="742"/>
    <x v="3"/>
    <x v="0"/>
    <x v="3"/>
    <x v="1"/>
    <x v="172"/>
    <x v="182"/>
    <x v="0"/>
    <x v="0"/>
  </r>
  <r>
    <x v="5"/>
    <n v="1351"/>
    <n v="111"/>
    <x v="7"/>
    <x v="0"/>
    <x v="0"/>
    <x v="0"/>
    <x v="5"/>
    <x v="5"/>
    <x v="1"/>
    <x v="1"/>
  </r>
  <r>
    <x v="117"/>
    <n v="1355"/>
    <n v="-60"/>
    <x v="4"/>
    <x v="2"/>
    <x v="5"/>
    <x v="0"/>
    <x v="108"/>
    <x v="106"/>
    <x v="0"/>
    <x v="18"/>
  </r>
  <r>
    <x v="9"/>
    <n v="10"/>
    <n v="2"/>
    <x v="5"/>
    <x v="2"/>
    <x v="7"/>
    <x v="0"/>
    <x v="9"/>
    <x v="9"/>
    <x v="5"/>
    <x v="6"/>
  </r>
  <r>
    <x v="33"/>
    <n v="10"/>
    <n v="-2"/>
    <x v="5"/>
    <x v="2"/>
    <x v="12"/>
    <x v="0"/>
    <x v="32"/>
    <x v="33"/>
    <x v="7"/>
    <x v="17"/>
  </r>
  <r>
    <x v="496"/>
    <n v="1582"/>
    <n v="-443"/>
    <x v="7"/>
    <x v="2"/>
    <x v="5"/>
    <x v="1"/>
    <x v="305"/>
    <x v="335"/>
    <x v="3"/>
    <x v="3"/>
  </r>
  <r>
    <x v="101"/>
    <n v="1218"/>
    <n v="352"/>
    <x v="6"/>
    <x v="1"/>
    <x v="2"/>
    <x v="1"/>
    <x v="94"/>
    <x v="93"/>
    <x v="9"/>
    <x v="12"/>
  </r>
  <r>
    <x v="40"/>
    <n v="321"/>
    <n v="315"/>
    <x v="4"/>
    <x v="2"/>
    <x v="6"/>
    <x v="3"/>
    <x v="38"/>
    <x v="40"/>
    <x v="10"/>
    <x v="13"/>
  </r>
  <r>
    <x v="175"/>
    <n v="736"/>
    <n v="346"/>
    <x v="4"/>
    <x v="0"/>
    <x v="3"/>
    <x v="0"/>
    <x v="1"/>
    <x v="152"/>
    <x v="10"/>
    <x v="13"/>
  </r>
  <r>
    <x v="1"/>
    <n v="1218"/>
    <n v="-420"/>
    <x v="2"/>
    <x v="1"/>
    <x v="2"/>
    <x v="0"/>
    <x v="1"/>
    <x v="1"/>
    <x v="1"/>
    <x v="1"/>
  </r>
  <r>
    <x v="139"/>
    <n v="1027"/>
    <n v="441"/>
    <x v="2"/>
    <x v="2"/>
    <x v="6"/>
    <x v="0"/>
    <x v="18"/>
    <x v="124"/>
    <x v="0"/>
    <x v="18"/>
  </r>
  <r>
    <x v="223"/>
    <n v="10"/>
    <n v="5"/>
    <x v="8"/>
    <x v="2"/>
    <x v="11"/>
    <x v="0"/>
    <x v="174"/>
    <x v="67"/>
    <x v="8"/>
    <x v="11"/>
  </r>
  <r>
    <x v="426"/>
    <n v="2366"/>
    <n v="552"/>
    <x v="4"/>
    <x v="2"/>
    <x v="5"/>
    <x v="3"/>
    <x v="272"/>
    <x v="300"/>
    <x v="2"/>
    <x v="4"/>
  </r>
  <r>
    <x v="276"/>
    <n v="9"/>
    <n v="-6"/>
    <x v="5"/>
    <x v="2"/>
    <x v="7"/>
    <x v="0"/>
    <x v="83"/>
    <x v="97"/>
    <x v="16"/>
    <x v="20"/>
  </r>
  <r>
    <x v="39"/>
    <n v="16"/>
    <n v="-12"/>
    <x v="5"/>
    <x v="2"/>
    <x v="11"/>
    <x v="3"/>
    <x v="37"/>
    <x v="39"/>
    <x v="2"/>
    <x v="4"/>
  </r>
  <r>
    <x v="426"/>
    <n v="9"/>
    <n v="3"/>
    <x v="8"/>
    <x v="2"/>
    <x v="9"/>
    <x v="0"/>
    <x v="272"/>
    <x v="300"/>
    <x v="2"/>
    <x v="4"/>
  </r>
  <r>
    <x v="497"/>
    <n v="1560"/>
    <n v="421"/>
    <x v="9"/>
    <x v="2"/>
    <x v="5"/>
    <x v="0"/>
    <x v="161"/>
    <x v="229"/>
    <x v="10"/>
    <x v="13"/>
  </r>
  <r>
    <x v="164"/>
    <n v="1137"/>
    <n v="568"/>
    <x v="5"/>
    <x v="2"/>
    <x v="5"/>
    <x v="1"/>
    <x v="101"/>
    <x v="144"/>
    <x v="7"/>
    <x v="17"/>
  </r>
  <r>
    <x v="252"/>
    <n v="9"/>
    <n v="-9"/>
    <x v="5"/>
    <x v="2"/>
    <x v="8"/>
    <x v="0"/>
    <x v="191"/>
    <x v="202"/>
    <x v="17"/>
    <x v="21"/>
  </r>
  <r>
    <x v="19"/>
    <n v="15"/>
    <n v="-7"/>
    <x v="8"/>
    <x v="2"/>
    <x v="7"/>
    <x v="3"/>
    <x v="19"/>
    <x v="19"/>
    <x v="1"/>
    <x v="10"/>
  </r>
  <r>
    <x v="35"/>
    <n v="14"/>
    <n v="5"/>
    <x v="8"/>
    <x v="2"/>
    <x v="7"/>
    <x v="3"/>
    <x v="17"/>
    <x v="35"/>
    <x v="3"/>
    <x v="3"/>
  </r>
  <r>
    <x v="137"/>
    <n v="14"/>
    <n v="7"/>
    <x v="5"/>
    <x v="2"/>
    <x v="7"/>
    <x v="3"/>
    <x v="124"/>
    <x v="21"/>
    <x v="3"/>
    <x v="3"/>
  </r>
  <r>
    <x v="97"/>
    <n v="8"/>
    <n v="-2"/>
    <x v="5"/>
    <x v="2"/>
    <x v="7"/>
    <x v="0"/>
    <x v="90"/>
    <x v="89"/>
    <x v="0"/>
    <x v="0"/>
  </r>
  <r>
    <x v="93"/>
    <n v="1389"/>
    <n v="680"/>
    <x v="0"/>
    <x v="2"/>
    <x v="6"/>
    <x v="0"/>
    <x v="15"/>
    <x v="85"/>
    <x v="2"/>
    <x v="2"/>
  </r>
  <r>
    <x v="294"/>
    <n v="8"/>
    <n v="-1"/>
    <x v="5"/>
    <x v="2"/>
    <x v="12"/>
    <x v="0"/>
    <x v="210"/>
    <x v="223"/>
    <x v="6"/>
    <x v="8"/>
  </r>
  <r>
    <x v="498"/>
    <n v="8"/>
    <n v="-2"/>
    <x v="8"/>
    <x v="2"/>
    <x v="11"/>
    <x v="0"/>
    <x v="306"/>
    <x v="141"/>
    <x v="11"/>
    <x v="14"/>
  </r>
  <r>
    <x v="21"/>
    <n v="13"/>
    <n v="4"/>
    <x v="8"/>
    <x v="2"/>
    <x v="12"/>
    <x v="3"/>
    <x v="21"/>
    <x v="21"/>
    <x v="0"/>
    <x v="0"/>
  </r>
  <r>
    <x v="499"/>
    <n v="8"/>
    <n v="-6"/>
    <x v="8"/>
    <x v="2"/>
    <x v="11"/>
    <x v="0"/>
    <x v="111"/>
    <x v="170"/>
    <x v="2"/>
    <x v="4"/>
  </r>
  <r>
    <x v="44"/>
    <n v="12"/>
    <n v="2"/>
    <x v="5"/>
    <x v="2"/>
    <x v="9"/>
    <x v="2"/>
    <x v="42"/>
    <x v="44"/>
    <x v="2"/>
    <x v="2"/>
  </r>
  <r>
    <x v="2"/>
    <n v="1716"/>
    <n v="309"/>
    <x v="0"/>
    <x v="0"/>
    <x v="13"/>
    <x v="0"/>
    <x v="2"/>
    <x v="2"/>
    <x v="2"/>
    <x v="2"/>
  </r>
  <r>
    <x v="253"/>
    <n v="1117"/>
    <n v="447"/>
    <x v="12"/>
    <x v="1"/>
    <x v="2"/>
    <x v="1"/>
    <x v="180"/>
    <x v="88"/>
    <x v="15"/>
    <x v="16"/>
  </r>
  <r>
    <x v="15"/>
    <n v="9"/>
    <n v="-6"/>
    <x v="5"/>
    <x v="2"/>
    <x v="9"/>
    <x v="2"/>
    <x v="15"/>
    <x v="15"/>
    <x v="0"/>
    <x v="0"/>
  </r>
  <r>
    <x v="28"/>
    <n v="332"/>
    <n v="503"/>
    <x v="9"/>
    <x v="0"/>
    <x v="3"/>
    <x v="0"/>
    <x v="7"/>
    <x v="28"/>
    <x v="11"/>
    <x v="14"/>
  </r>
  <r>
    <x v="15"/>
    <n v="7"/>
    <n v="-4"/>
    <x v="9"/>
    <x v="2"/>
    <x v="7"/>
    <x v="0"/>
    <x v="15"/>
    <x v="15"/>
    <x v="0"/>
    <x v="0"/>
  </r>
  <r>
    <x v="314"/>
    <n v="8"/>
    <n v="-2"/>
    <x v="9"/>
    <x v="2"/>
    <x v="7"/>
    <x v="2"/>
    <x v="4"/>
    <x v="234"/>
    <x v="7"/>
    <x v="9"/>
  </r>
  <r>
    <x v="363"/>
    <n v="2061"/>
    <n v="701"/>
    <x v="4"/>
    <x v="1"/>
    <x v="2"/>
    <x v="3"/>
    <x v="80"/>
    <x v="263"/>
    <x v="12"/>
    <x v="15"/>
  </r>
  <r>
    <x v="438"/>
    <n v="1103"/>
    <n v="276"/>
    <x v="9"/>
    <x v="1"/>
    <x v="1"/>
    <x v="1"/>
    <x v="200"/>
    <x v="300"/>
    <x v="2"/>
    <x v="4"/>
  </r>
  <r>
    <x v="278"/>
    <n v="2103"/>
    <n v="322"/>
    <x v="2"/>
    <x v="0"/>
    <x v="0"/>
    <x v="3"/>
    <x v="204"/>
    <x v="115"/>
    <x v="2"/>
    <x v="4"/>
  </r>
  <r>
    <x v="5"/>
    <n v="2115"/>
    <n v="23"/>
    <x v="4"/>
    <x v="1"/>
    <x v="1"/>
    <x v="0"/>
    <x v="5"/>
    <x v="5"/>
    <x v="1"/>
    <x v="1"/>
  </r>
  <r>
    <x v="20"/>
    <n v="850"/>
    <n v="-289"/>
    <x v="4"/>
    <x v="0"/>
    <x v="0"/>
    <x v="0"/>
    <x v="20"/>
    <x v="20"/>
    <x v="8"/>
    <x v="11"/>
  </r>
  <r>
    <x v="25"/>
    <n v="1063"/>
    <n v="64"/>
    <x v="0"/>
    <x v="0"/>
    <x v="4"/>
    <x v="1"/>
    <x v="25"/>
    <x v="25"/>
    <x v="11"/>
    <x v="14"/>
  </r>
  <r>
    <x v="446"/>
    <n v="1063"/>
    <n v="-175"/>
    <x v="3"/>
    <x v="0"/>
    <x v="0"/>
    <x v="1"/>
    <x v="144"/>
    <x v="309"/>
    <x v="2"/>
    <x v="4"/>
  </r>
  <r>
    <x v="289"/>
    <n v="2292"/>
    <n v="127"/>
    <x v="0"/>
    <x v="1"/>
    <x v="2"/>
    <x v="0"/>
    <x v="60"/>
    <x v="190"/>
    <x v="2"/>
    <x v="2"/>
  </r>
  <r>
    <x v="258"/>
    <n v="7"/>
    <n v="-1"/>
    <x v="5"/>
    <x v="2"/>
    <x v="7"/>
    <x v="2"/>
    <x v="119"/>
    <x v="206"/>
    <x v="4"/>
    <x v="5"/>
  </r>
  <r>
    <x v="404"/>
    <n v="2452"/>
    <n v="191"/>
    <x v="0"/>
    <x v="1"/>
    <x v="2"/>
    <x v="3"/>
    <x v="61"/>
    <x v="289"/>
    <x v="7"/>
    <x v="17"/>
  </r>
  <r>
    <x v="155"/>
    <n v="2457"/>
    <n v="665"/>
    <x v="11"/>
    <x v="0"/>
    <x v="0"/>
    <x v="1"/>
    <x v="137"/>
    <x v="137"/>
    <x v="2"/>
    <x v="4"/>
  </r>
  <r>
    <x v="69"/>
    <n v="4"/>
    <n v="-3"/>
    <x v="8"/>
    <x v="2"/>
    <x v="9"/>
    <x v="2"/>
    <x v="66"/>
    <x v="66"/>
    <x v="4"/>
    <x v="5"/>
  </r>
  <r>
    <x v="176"/>
    <n v="2830"/>
    <n v="-1981"/>
    <x v="10"/>
    <x v="1"/>
    <x v="2"/>
    <x v="1"/>
    <x v="50"/>
    <x v="153"/>
    <x v="9"/>
    <x v="12"/>
  </r>
  <r>
    <x v="154"/>
    <n v="7"/>
    <n v="1"/>
    <x v="8"/>
    <x v="2"/>
    <x v="7"/>
    <x v="0"/>
    <x v="136"/>
    <x v="136"/>
    <x v="0"/>
    <x v="0"/>
  </r>
  <r>
    <x v="406"/>
    <n v="7"/>
    <n v="0"/>
    <x v="5"/>
    <x v="2"/>
    <x v="9"/>
    <x v="0"/>
    <x v="167"/>
    <x v="291"/>
    <x v="2"/>
    <x v="4"/>
  </r>
  <r>
    <x v="236"/>
    <n v="7"/>
    <n v="-3"/>
    <x v="5"/>
    <x v="2"/>
    <x v="7"/>
    <x v="0"/>
    <x v="183"/>
    <x v="192"/>
    <x v="2"/>
    <x v="4"/>
  </r>
  <r>
    <x v="74"/>
    <n v="3151"/>
    <n v="-35"/>
    <x v="0"/>
    <x v="2"/>
    <x v="5"/>
    <x v="1"/>
    <x v="70"/>
    <x v="11"/>
    <x v="0"/>
    <x v="0"/>
  </r>
  <r>
    <x v="193"/>
    <n v="4141"/>
    <n v="1698"/>
    <x v="10"/>
    <x v="0"/>
    <x v="3"/>
    <x v="0"/>
    <x v="159"/>
    <x v="16"/>
    <x v="1"/>
    <x v="1"/>
  </r>
  <r>
    <x v="150"/>
    <n v="7"/>
    <n v="-2"/>
    <x v="8"/>
    <x v="2"/>
    <x v="7"/>
    <x v="0"/>
    <x v="133"/>
    <x v="133"/>
    <x v="14"/>
    <x v="19"/>
  </r>
  <r>
    <x v="132"/>
    <n v="4363"/>
    <n v="305"/>
    <x v="4"/>
    <x v="1"/>
    <x v="10"/>
    <x v="1"/>
    <x v="40"/>
    <x v="14"/>
    <x v="8"/>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5F611A-D503-4988-861C-AD354D93C8B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1:K37" firstHeaderRow="1" firstDataRow="1" firstDataCol="1"/>
  <pivotFields count="13">
    <pivotField dataField="1" showAll="0">
      <items count="501">
        <item x="314"/>
        <item x="4"/>
        <item x="117"/>
        <item x="292"/>
        <item x="436"/>
        <item x="364"/>
        <item x="119"/>
        <item x="57"/>
        <item x="158"/>
        <item x="233"/>
        <item x="391"/>
        <item x="235"/>
        <item x="47"/>
        <item x="408"/>
        <item x="288"/>
        <item x="77"/>
        <item x="444"/>
        <item x="38"/>
        <item x="470"/>
        <item x="307"/>
        <item x="207"/>
        <item x="463"/>
        <item x="304"/>
        <item x="477"/>
        <item x="266"/>
        <item x="438"/>
        <item x="419"/>
        <item x="204"/>
        <item x="497"/>
        <item x="197"/>
        <item x="361"/>
        <item x="107"/>
        <item x="157"/>
        <item x="457"/>
        <item x="227"/>
        <item x="473"/>
        <item x="355"/>
        <item x="327"/>
        <item x="494"/>
        <item x="50"/>
        <item x="337"/>
        <item x="215"/>
        <item x="8"/>
        <item x="379"/>
        <item x="226"/>
        <item x="325"/>
        <item x="345"/>
        <item x="186"/>
        <item x="474"/>
        <item x="104"/>
        <item x="89"/>
        <item x="276"/>
        <item x="87"/>
        <item x="173"/>
        <item x="15"/>
        <item x="93"/>
        <item x="111"/>
        <item x="149"/>
        <item x="384"/>
        <item x="242"/>
        <item x="258"/>
        <item x="129"/>
        <item x="442"/>
        <item x="214"/>
        <item x="393"/>
        <item x="78"/>
        <item x="70"/>
        <item x="395"/>
        <item x="486"/>
        <item x="123"/>
        <item x="484"/>
        <item x="480"/>
        <item x="189"/>
        <item x="65"/>
        <item x="79"/>
        <item x="126"/>
        <item x="443"/>
        <item x="183"/>
        <item x="380"/>
        <item x="281"/>
        <item x="0"/>
        <item x="143"/>
        <item x="368"/>
        <item x="320"/>
        <item x="429"/>
        <item x="28"/>
        <item x="7"/>
        <item x="255"/>
        <item x="171"/>
        <item x="464"/>
        <item x="118"/>
        <item x="461"/>
        <item x="82"/>
        <item x="394"/>
        <item x="400"/>
        <item x="6"/>
        <item x="69"/>
        <item x="150"/>
        <item x="247"/>
        <item x="236"/>
        <item x="178"/>
        <item x="437"/>
        <item x="10"/>
        <item x="90"/>
        <item x="450"/>
        <item x="403"/>
        <item x="499"/>
        <item x="120"/>
        <item x="319"/>
        <item x="36"/>
        <item x="349"/>
        <item x="311"/>
        <item x="398"/>
        <item x="55"/>
        <item x="455"/>
        <item x="385"/>
        <item x="195"/>
        <item x="454"/>
        <item x="324"/>
        <item x="174"/>
        <item x="308"/>
        <item x="433"/>
        <item x="39"/>
        <item x="293"/>
        <item x="386"/>
        <item x="465"/>
        <item x="208"/>
        <item x="73"/>
        <item x="48"/>
        <item x="91"/>
        <item x="323"/>
        <item x="389"/>
        <item x="234"/>
        <item x="348"/>
        <item x="19"/>
        <item x="335"/>
        <item x="282"/>
        <item x="312"/>
        <item x="321"/>
        <item x="406"/>
        <item x="210"/>
        <item x="336"/>
        <item x="192"/>
        <item x="22"/>
        <item x="220"/>
        <item x="434"/>
        <item x="116"/>
        <item x="294"/>
        <item x="144"/>
        <item x="110"/>
        <item x="230"/>
        <item x="97"/>
        <item x="256"/>
        <item x="29"/>
        <item x="40"/>
        <item x="13"/>
        <item x="74"/>
        <item x="498"/>
        <item x="115"/>
        <item x="60"/>
        <item x="14"/>
        <item x="61"/>
        <item x="405"/>
        <item x="309"/>
        <item x="318"/>
        <item x="416"/>
        <item x="252"/>
        <item x="496"/>
        <item x="453"/>
        <item x="217"/>
        <item x="313"/>
        <item x="49"/>
        <item x="257"/>
        <item x="341"/>
        <item x="428"/>
        <item x="248"/>
        <item x="67"/>
        <item x="27"/>
        <item x="43"/>
        <item x="373"/>
        <item x="244"/>
        <item x="452"/>
        <item x="356"/>
        <item x="56"/>
        <item x="134"/>
        <item x="16"/>
        <item x="112"/>
        <item x="41"/>
        <item x="388"/>
        <item x="448"/>
        <item x="190"/>
        <item x="381"/>
        <item x="275"/>
        <item x="287"/>
        <item x="273"/>
        <item x="131"/>
        <item x="37"/>
        <item x="176"/>
        <item x="240"/>
        <item x="305"/>
        <item x="52"/>
        <item x="339"/>
        <item x="140"/>
        <item x="347"/>
        <item x="352"/>
        <item x="475"/>
        <item x="491"/>
        <item x="113"/>
        <item x="254"/>
        <item x="51"/>
        <item x="439"/>
        <item x="435"/>
        <item x="489"/>
        <item x="360"/>
        <item x="469"/>
        <item x="31"/>
        <item x="482"/>
        <item x="166"/>
        <item x="181"/>
        <item x="358"/>
        <item x="108"/>
        <item x="459"/>
        <item x="278"/>
        <item x="424"/>
        <item x="317"/>
        <item x="476"/>
        <item x="397"/>
        <item x="148"/>
        <item x="449"/>
        <item x="25"/>
        <item x="122"/>
        <item x="151"/>
        <item x="392"/>
        <item x="340"/>
        <item x="167"/>
        <item x="71"/>
        <item x="169"/>
        <item x="298"/>
        <item x="88"/>
        <item x="218"/>
        <item x="487"/>
        <item x="26"/>
        <item x="209"/>
        <item x="315"/>
        <item x="23"/>
        <item x="219"/>
        <item x="130"/>
        <item x="182"/>
        <item x="372"/>
        <item x="81"/>
        <item x="9"/>
        <item x="83"/>
        <item x="18"/>
        <item x="202"/>
        <item x="139"/>
        <item x="237"/>
        <item x="259"/>
        <item x="155"/>
        <item x="481"/>
        <item x="84"/>
        <item x="239"/>
        <item x="363"/>
        <item x="280"/>
        <item x="350"/>
        <item x="413"/>
        <item x="427"/>
        <item x="156"/>
        <item x="54"/>
        <item x="370"/>
        <item x="138"/>
        <item x="390"/>
        <item x="272"/>
        <item x="154"/>
        <item x="326"/>
        <item x="283"/>
        <item x="440"/>
        <item x="164"/>
        <item x="109"/>
        <item x="407"/>
        <item x="401"/>
        <item x="5"/>
        <item x="328"/>
        <item x="33"/>
        <item x="479"/>
        <item x="114"/>
        <item x="152"/>
        <item x="11"/>
        <item x="127"/>
        <item x="354"/>
        <item x="490"/>
        <item x="205"/>
        <item x="374"/>
        <item x="170"/>
        <item x="495"/>
        <item x="194"/>
        <item x="159"/>
        <item x="153"/>
        <item x="85"/>
        <item x="146"/>
        <item x="59"/>
        <item x="346"/>
        <item x="274"/>
        <item x="103"/>
        <item x="342"/>
        <item x="165"/>
        <item x="377"/>
        <item x="466"/>
        <item x="285"/>
        <item x="44"/>
        <item x="20"/>
        <item x="128"/>
        <item x="344"/>
        <item x="263"/>
        <item x="369"/>
        <item x="225"/>
        <item x="432"/>
        <item x="333"/>
        <item x="245"/>
        <item x="353"/>
        <item x="331"/>
        <item x="371"/>
        <item x="425"/>
        <item x="12"/>
        <item x="359"/>
        <item x="184"/>
        <item x="261"/>
        <item x="301"/>
        <item x="365"/>
        <item x="66"/>
        <item x="133"/>
        <item x="441"/>
        <item x="387"/>
        <item x="187"/>
        <item x="343"/>
        <item x="46"/>
        <item x="451"/>
        <item x="492"/>
        <item x="357"/>
        <item x="376"/>
        <item x="161"/>
        <item x="402"/>
        <item x="188"/>
        <item x="45"/>
        <item x="399"/>
        <item x="95"/>
        <item x="382"/>
        <item x="417"/>
        <item x="302"/>
        <item x="351"/>
        <item x="21"/>
        <item x="147"/>
        <item x="102"/>
        <item x="101"/>
        <item x="296"/>
        <item x="2"/>
        <item x="362"/>
        <item x="75"/>
        <item x="338"/>
        <item x="125"/>
        <item x="332"/>
        <item x="177"/>
        <item x="145"/>
        <item x="367"/>
        <item x="203"/>
        <item x="63"/>
        <item x="200"/>
        <item x="64"/>
        <item x="483"/>
        <item x="404"/>
        <item x="105"/>
        <item x="246"/>
        <item x="334"/>
        <item x="193"/>
        <item x="478"/>
        <item x="468"/>
        <item x="412"/>
        <item x="185"/>
        <item x="446"/>
        <item x="268"/>
        <item x="163"/>
        <item x="232"/>
        <item x="493"/>
        <item x="191"/>
        <item x="72"/>
        <item x="249"/>
        <item x="100"/>
        <item x="216"/>
        <item x="375"/>
        <item x="223"/>
        <item x="290"/>
        <item x="42"/>
        <item x="383"/>
        <item x="132"/>
        <item x="279"/>
        <item x="62"/>
        <item x="141"/>
        <item x="289"/>
        <item x="271"/>
        <item x="260"/>
        <item x="160"/>
        <item x="24"/>
        <item x="269"/>
        <item x="34"/>
        <item x="295"/>
        <item x="366"/>
        <item x="68"/>
        <item x="212"/>
        <item x="300"/>
        <item x="224"/>
        <item x="267"/>
        <item x="410"/>
        <item x="423"/>
        <item x="467"/>
        <item x="229"/>
        <item x="458"/>
        <item x="180"/>
        <item x="378"/>
        <item x="277"/>
        <item x="136"/>
        <item x="264"/>
        <item x="121"/>
        <item x="32"/>
        <item x="253"/>
        <item x="396"/>
        <item x="231"/>
        <item x="238"/>
        <item x="420"/>
        <item x="172"/>
        <item x="124"/>
        <item x="222"/>
        <item x="284"/>
        <item x="251"/>
        <item x="94"/>
        <item x="460"/>
        <item x="199"/>
        <item x="445"/>
        <item x="330"/>
        <item x="228"/>
        <item x="306"/>
        <item x="329"/>
        <item x="286"/>
        <item x="299"/>
        <item x="297"/>
        <item x="472"/>
        <item x="243"/>
        <item x="462"/>
        <item x="415"/>
        <item x="30"/>
        <item x="414"/>
        <item x="198"/>
        <item x="58"/>
        <item x="92"/>
        <item x="135"/>
        <item x="241"/>
        <item x="1"/>
        <item x="179"/>
        <item x="175"/>
        <item x="471"/>
        <item x="485"/>
        <item x="201"/>
        <item x="76"/>
        <item x="106"/>
        <item x="250"/>
        <item x="196"/>
        <item x="316"/>
        <item x="310"/>
        <item x="99"/>
        <item x="421"/>
        <item x="418"/>
        <item x="137"/>
        <item x="488"/>
        <item x="431"/>
        <item x="221"/>
        <item x="411"/>
        <item x="456"/>
        <item x="262"/>
        <item x="447"/>
        <item x="142"/>
        <item x="80"/>
        <item x="422"/>
        <item x="168"/>
        <item x="322"/>
        <item x="265"/>
        <item x="270"/>
        <item x="53"/>
        <item x="96"/>
        <item x="162"/>
        <item x="213"/>
        <item x="206"/>
        <item x="430"/>
        <item x="291"/>
        <item x="409"/>
        <item x="3"/>
        <item x="303"/>
        <item x="17"/>
        <item x="211"/>
        <item x="35"/>
        <item x="98"/>
        <item x="426"/>
        <item x="86"/>
        <item t="default"/>
      </items>
    </pivotField>
    <pivotField showAll="0"/>
    <pivotField showAll="0"/>
    <pivotField showAll="0">
      <items count="15">
        <item x="8"/>
        <item x="5"/>
        <item x="9"/>
        <item x="3"/>
        <item x="4"/>
        <item x="7"/>
        <item x="0"/>
        <item x="2"/>
        <item x="6"/>
        <item x="12"/>
        <item x="11"/>
        <item x="13"/>
        <item x="10"/>
        <item x="1"/>
        <item t="default"/>
      </items>
    </pivotField>
    <pivotField showAll="0"/>
    <pivotField showAll="0"/>
    <pivotField showAll="0"/>
    <pivotField numFmtId="14" showAll="0">
      <items count="308">
        <item x="241"/>
        <item x="63"/>
        <item x="121"/>
        <item x="44"/>
        <item x="238"/>
        <item x="143"/>
        <item x="262"/>
        <item x="157"/>
        <item x="43"/>
        <item x="261"/>
        <item x="89"/>
        <item x="249"/>
        <item x="21"/>
        <item x="94"/>
        <item x="2"/>
        <item x="240"/>
        <item x="71"/>
        <item x="129"/>
        <item x="165"/>
        <item x="61"/>
        <item x="97"/>
        <item x="229"/>
        <item x="159"/>
        <item x="266"/>
        <item x="144"/>
        <item x="181"/>
        <item x="304"/>
        <item x="69"/>
        <item x="93"/>
        <item x="174"/>
        <item x="208"/>
        <item x="40"/>
        <item x="60"/>
        <item x="195"/>
        <item x="142"/>
        <item x="24"/>
        <item x="33"/>
        <item x="65"/>
        <item x="175"/>
        <item x="201"/>
        <item x="265"/>
        <item x="179"/>
        <item x="152"/>
        <item x="123"/>
        <item x="198"/>
        <item x="112"/>
        <item x="31"/>
        <item x="180"/>
        <item x="115"/>
        <item x="173"/>
        <item x="88"/>
        <item x="163"/>
        <item x="178"/>
        <item x="215"/>
        <item x="226"/>
        <item x="207"/>
        <item x="212"/>
        <item x="211"/>
        <item x="293"/>
        <item x="186"/>
        <item x="29"/>
        <item x="267"/>
        <item x="162"/>
        <item x="56"/>
        <item x="87"/>
        <item x="122"/>
        <item x="1"/>
        <item x="292"/>
        <item x="300"/>
        <item x="164"/>
        <item x="72"/>
        <item x="98"/>
        <item x="92"/>
        <item x="269"/>
        <item x="124"/>
        <item x="302"/>
        <item x="276"/>
        <item x="172"/>
        <item x="76"/>
        <item x="223"/>
        <item x="199"/>
        <item x="202"/>
        <item x="51"/>
        <item x="3"/>
        <item x="17"/>
        <item x="91"/>
        <item x="272"/>
        <item x="82"/>
        <item x="4"/>
        <item x="108"/>
        <item x="280"/>
        <item x="110"/>
        <item x="55"/>
        <item x="140"/>
        <item x="256"/>
        <item x="45"/>
        <item x="264"/>
        <item x="73"/>
        <item x="284"/>
        <item x="36"/>
        <item x="166"/>
        <item x="214"/>
        <item x="200"/>
        <item x="161"/>
        <item x="99"/>
        <item x="139"/>
        <item x="48"/>
        <item x="169"/>
        <item x="8"/>
        <item x="248"/>
        <item x="177"/>
        <item x="233"/>
        <item x="156"/>
        <item x="294"/>
        <item x="96"/>
        <item x="85"/>
        <item x="83"/>
        <item x="149"/>
        <item x="15"/>
        <item x="102"/>
        <item x="132"/>
        <item x="250"/>
        <item x="185"/>
        <item x="119"/>
        <item x="282"/>
        <item x="168"/>
        <item x="257"/>
        <item x="74"/>
        <item x="67"/>
        <item x="258"/>
        <item x="114"/>
        <item x="299"/>
        <item x="62"/>
        <item x="75"/>
        <item x="116"/>
        <item x="283"/>
        <item x="154"/>
        <item x="0"/>
        <item x="127"/>
        <item x="242"/>
        <item x="222"/>
        <item x="275"/>
        <item x="7"/>
        <item x="148"/>
        <item x="290"/>
        <item x="109"/>
        <item x="289"/>
        <item x="78"/>
        <item x="6"/>
        <item x="66"/>
        <item x="133"/>
        <item x="189"/>
        <item x="183"/>
        <item x="151"/>
        <item x="281"/>
        <item x="10"/>
        <item x="86"/>
        <item x="287"/>
        <item x="111"/>
        <item x="34"/>
        <item x="235"/>
        <item x="218"/>
        <item x="260"/>
        <item x="53"/>
        <item x="288"/>
        <item x="251"/>
        <item x="160"/>
        <item x="150"/>
        <item x="216"/>
        <item x="278"/>
        <item x="37"/>
        <item x="209"/>
        <item x="252"/>
        <item x="291"/>
        <item x="46"/>
        <item x="224"/>
        <item x="254"/>
        <item x="182"/>
        <item x="234"/>
        <item x="19"/>
        <item x="230"/>
        <item x="205"/>
        <item x="219"/>
        <item x="167"/>
        <item x="158"/>
        <item x="22"/>
        <item x="171"/>
        <item x="279"/>
        <item x="107"/>
        <item x="210"/>
        <item x="128"/>
        <item x="90"/>
        <item x="193"/>
        <item x="28"/>
        <item x="38"/>
        <item x="13"/>
        <item x="70"/>
        <item x="306"/>
        <item x="106"/>
        <item x="58"/>
        <item x="14"/>
        <item x="59"/>
        <item x="263"/>
        <item x="217"/>
        <item x="221"/>
        <item x="268"/>
        <item x="191"/>
        <item x="305"/>
        <item x="47"/>
        <item x="194"/>
        <item x="231"/>
        <item x="274"/>
        <item x="190"/>
        <item x="64"/>
        <item x="27"/>
        <item x="41"/>
        <item x="247"/>
        <item x="187"/>
        <item x="54"/>
        <item x="16"/>
        <item x="103"/>
        <item x="39"/>
        <item x="253"/>
        <item x="285"/>
        <item x="120"/>
        <item x="35"/>
        <item x="50"/>
        <item x="126"/>
        <item x="295"/>
        <item x="303"/>
        <item x="104"/>
        <item x="192"/>
        <item x="49"/>
        <item x="30"/>
        <item x="298"/>
        <item x="146"/>
        <item x="153"/>
        <item x="100"/>
        <item x="204"/>
        <item x="270"/>
        <item x="220"/>
        <item x="296"/>
        <item x="259"/>
        <item x="131"/>
        <item x="286"/>
        <item x="25"/>
        <item x="113"/>
        <item x="134"/>
        <item x="68"/>
        <item x="84"/>
        <item x="170"/>
        <item x="301"/>
        <item x="26"/>
        <item x="23"/>
        <item x="246"/>
        <item x="77"/>
        <item x="9"/>
        <item x="79"/>
        <item x="18"/>
        <item x="184"/>
        <item x="137"/>
        <item x="297"/>
        <item x="80"/>
        <item x="273"/>
        <item x="138"/>
        <item x="52"/>
        <item x="244"/>
        <item x="125"/>
        <item x="255"/>
        <item x="203"/>
        <item x="136"/>
        <item x="101"/>
        <item x="5"/>
        <item x="225"/>
        <item x="32"/>
        <item x="105"/>
        <item x="11"/>
        <item x="117"/>
        <item x="237"/>
        <item x="147"/>
        <item x="141"/>
        <item x="135"/>
        <item x="81"/>
        <item x="130"/>
        <item x="57"/>
        <item x="95"/>
        <item x="145"/>
        <item x="206"/>
        <item x="42"/>
        <item x="20"/>
        <item x="118"/>
        <item x="232"/>
        <item x="197"/>
        <item x="243"/>
        <item x="176"/>
        <item x="277"/>
        <item x="228"/>
        <item x="188"/>
        <item x="236"/>
        <item x="227"/>
        <item x="245"/>
        <item x="271"/>
        <item x="12"/>
        <item x="239"/>
        <item x="155"/>
        <item x="196"/>
        <item x="213"/>
        <item t="default"/>
      </items>
    </pivotField>
    <pivotField showAll="0"/>
    <pivotField showAll="0">
      <items count="20">
        <item x="9"/>
        <item x="12"/>
        <item x="8"/>
        <item x="16"/>
        <item x="7"/>
        <item x="15"/>
        <item x="11"/>
        <item x="4"/>
        <item x="3"/>
        <item x="10"/>
        <item x="0"/>
        <item x="2"/>
        <item x="5"/>
        <item x="13"/>
        <item x="6"/>
        <item x="18"/>
        <item x="14"/>
        <item x="1"/>
        <item x="17"/>
        <item t="default"/>
      </items>
    </pivotField>
    <pivotField axis="axisRow" showAll="0">
      <items count="26">
        <item x="9"/>
        <item x="22"/>
        <item x="3"/>
        <item x="18"/>
        <item x="16"/>
        <item x="19"/>
        <item x="11"/>
        <item x="24"/>
        <item x="20"/>
        <item x="12"/>
        <item x="0"/>
        <item x="8"/>
        <item x="5"/>
        <item x="6"/>
        <item x="21"/>
        <item x="10"/>
        <item x="1"/>
        <item x="4"/>
        <item x="15"/>
        <item x="7"/>
        <item x="2"/>
        <item x="14"/>
        <item x="17"/>
        <item x="13"/>
        <item x="2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DD58CF-20E1-4FB6-83C4-4968611687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K8" firstHeaderRow="1" firstDataRow="1" firstDataCol="1"/>
  <pivotFields count="13">
    <pivotField showAll="0"/>
    <pivotField showAll="0"/>
    <pivotField showAll="0"/>
    <pivotField dataField="1" showAll="0">
      <items count="15">
        <item x="8"/>
        <item x="5"/>
        <item x="9"/>
        <item x="3"/>
        <item x="4"/>
        <item x="7"/>
        <item x="0"/>
        <item x="2"/>
        <item x="6"/>
        <item x="12"/>
        <item x="11"/>
        <item x="13"/>
        <item x="10"/>
        <item x="1"/>
        <item t="default"/>
      </items>
    </pivotField>
    <pivotField showAll="0"/>
    <pivotField showAll="0"/>
    <pivotField axis="axisRow" showAll="0">
      <items count="6">
        <item x="0"/>
        <item x="2"/>
        <item x="4"/>
        <item x="1"/>
        <item x="3"/>
        <item t="default"/>
      </items>
    </pivotField>
    <pivotField numFmtId="14" showAll="0">
      <items count="308">
        <item x="241"/>
        <item x="63"/>
        <item x="121"/>
        <item x="44"/>
        <item x="238"/>
        <item x="143"/>
        <item x="262"/>
        <item x="157"/>
        <item x="43"/>
        <item x="261"/>
        <item x="89"/>
        <item x="249"/>
        <item x="21"/>
        <item x="94"/>
        <item x="2"/>
        <item x="240"/>
        <item x="71"/>
        <item x="129"/>
        <item x="165"/>
        <item x="61"/>
        <item x="97"/>
        <item x="229"/>
        <item x="159"/>
        <item x="266"/>
        <item x="144"/>
        <item x="181"/>
        <item x="304"/>
        <item x="69"/>
        <item x="93"/>
        <item x="174"/>
        <item x="208"/>
        <item x="40"/>
        <item x="60"/>
        <item x="195"/>
        <item x="142"/>
        <item x="24"/>
        <item x="33"/>
        <item x="65"/>
        <item x="175"/>
        <item x="201"/>
        <item x="265"/>
        <item x="179"/>
        <item x="152"/>
        <item x="123"/>
        <item x="198"/>
        <item x="112"/>
        <item x="31"/>
        <item x="180"/>
        <item x="115"/>
        <item x="173"/>
        <item x="88"/>
        <item x="163"/>
        <item x="178"/>
        <item x="215"/>
        <item x="226"/>
        <item x="207"/>
        <item x="212"/>
        <item x="211"/>
        <item x="293"/>
        <item x="186"/>
        <item x="29"/>
        <item x="267"/>
        <item x="162"/>
        <item x="56"/>
        <item x="87"/>
        <item x="122"/>
        <item x="1"/>
        <item x="292"/>
        <item x="300"/>
        <item x="164"/>
        <item x="72"/>
        <item x="98"/>
        <item x="92"/>
        <item x="269"/>
        <item x="124"/>
        <item x="302"/>
        <item x="276"/>
        <item x="172"/>
        <item x="76"/>
        <item x="223"/>
        <item x="199"/>
        <item x="202"/>
        <item x="51"/>
        <item x="3"/>
        <item x="17"/>
        <item x="91"/>
        <item x="272"/>
        <item x="82"/>
        <item x="4"/>
        <item x="108"/>
        <item x="280"/>
        <item x="110"/>
        <item x="55"/>
        <item x="140"/>
        <item x="256"/>
        <item x="45"/>
        <item x="264"/>
        <item x="73"/>
        <item x="284"/>
        <item x="36"/>
        <item x="166"/>
        <item x="214"/>
        <item x="200"/>
        <item x="161"/>
        <item x="99"/>
        <item x="139"/>
        <item x="48"/>
        <item x="169"/>
        <item x="8"/>
        <item x="248"/>
        <item x="177"/>
        <item x="233"/>
        <item x="156"/>
        <item x="294"/>
        <item x="96"/>
        <item x="85"/>
        <item x="83"/>
        <item x="149"/>
        <item x="15"/>
        <item x="102"/>
        <item x="132"/>
        <item x="250"/>
        <item x="185"/>
        <item x="119"/>
        <item x="282"/>
        <item x="168"/>
        <item x="257"/>
        <item x="74"/>
        <item x="67"/>
        <item x="258"/>
        <item x="114"/>
        <item x="299"/>
        <item x="62"/>
        <item x="75"/>
        <item x="116"/>
        <item x="283"/>
        <item x="154"/>
        <item x="0"/>
        <item x="127"/>
        <item x="242"/>
        <item x="222"/>
        <item x="275"/>
        <item x="7"/>
        <item x="148"/>
        <item x="290"/>
        <item x="109"/>
        <item x="289"/>
        <item x="78"/>
        <item x="6"/>
        <item x="66"/>
        <item x="133"/>
        <item x="189"/>
        <item x="183"/>
        <item x="151"/>
        <item x="281"/>
        <item x="10"/>
        <item x="86"/>
        <item x="287"/>
        <item x="111"/>
        <item x="34"/>
        <item x="235"/>
        <item x="218"/>
        <item x="260"/>
        <item x="53"/>
        <item x="288"/>
        <item x="251"/>
        <item x="160"/>
        <item x="150"/>
        <item x="216"/>
        <item x="278"/>
        <item x="37"/>
        <item x="209"/>
        <item x="252"/>
        <item x="291"/>
        <item x="46"/>
        <item x="224"/>
        <item x="254"/>
        <item x="182"/>
        <item x="234"/>
        <item x="19"/>
        <item x="230"/>
        <item x="205"/>
        <item x="219"/>
        <item x="167"/>
        <item x="158"/>
        <item x="22"/>
        <item x="171"/>
        <item x="279"/>
        <item x="107"/>
        <item x="210"/>
        <item x="128"/>
        <item x="90"/>
        <item x="193"/>
        <item x="28"/>
        <item x="38"/>
        <item x="13"/>
        <item x="70"/>
        <item x="306"/>
        <item x="106"/>
        <item x="58"/>
        <item x="14"/>
        <item x="59"/>
        <item x="263"/>
        <item x="217"/>
        <item x="221"/>
        <item x="268"/>
        <item x="191"/>
        <item x="305"/>
        <item x="47"/>
        <item x="194"/>
        <item x="231"/>
        <item x="274"/>
        <item x="190"/>
        <item x="64"/>
        <item x="27"/>
        <item x="41"/>
        <item x="247"/>
        <item x="187"/>
        <item x="54"/>
        <item x="16"/>
        <item x="103"/>
        <item x="39"/>
        <item x="253"/>
        <item x="285"/>
        <item x="120"/>
        <item x="35"/>
        <item x="50"/>
        <item x="126"/>
        <item x="295"/>
        <item x="303"/>
        <item x="104"/>
        <item x="192"/>
        <item x="49"/>
        <item x="30"/>
        <item x="298"/>
        <item x="146"/>
        <item x="153"/>
        <item x="100"/>
        <item x="204"/>
        <item x="270"/>
        <item x="220"/>
        <item x="296"/>
        <item x="259"/>
        <item x="131"/>
        <item x="286"/>
        <item x="25"/>
        <item x="113"/>
        <item x="134"/>
        <item x="68"/>
        <item x="84"/>
        <item x="170"/>
        <item x="301"/>
        <item x="26"/>
        <item x="23"/>
        <item x="246"/>
        <item x="77"/>
        <item x="9"/>
        <item x="79"/>
        <item x="18"/>
        <item x="184"/>
        <item x="137"/>
        <item x="297"/>
        <item x="80"/>
        <item x="273"/>
        <item x="138"/>
        <item x="52"/>
        <item x="244"/>
        <item x="125"/>
        <item x="255"/>
        <item x="203"/>
        <item x="136"/>
        <item x="101"/>
        <item x="5"/>
        <item x="225"/>
        <item x="32"/>
        <item x="105"/>
        <item x="11"/>
        <item x="117"/>
        <item x="237"/>
        <item x="147"/>
        <item x="141"/>
        <item x="135"/>
        <item x="81"/>
        <item x="130"/>
        <item x="57"/>
        <item x="95"/>
        <item x="145"/>
        <item x="206"/>
        <item x="42"/>
        <item x="20"/>
        <item x="118"/>
        <item x="232"/>
        <item x="197"/>
        <item x="243"/>
        <item x="176"/>
        <item x="277"/>
        <item x="228"/>
        <item x="188"/>
        <item x="236"/>
        <item x="227"/>
        <item x="245"/>
        <item x="271"/>
        <item x="12"/>
        <item x="239"/>
        <item x="155"/>
        <item x="196"/>
        <item x="213"/>
        <item t="default"/>
      </items>
    </pivotField>
    <pivotField showAll="0"/>
    <pivotField showAll="0">
      <items count="20">
        <item x="9"/>
        <item x="12"/>
        <item x="8"/>
        <item x="16"/>
        <item x="7"/>
        <item x="15"/>
        <item x="11"/>
        <item x="4"/>
        <item x="3"/>
        <item x="10"/>
        <item x="0"/>
        <item x="2"/>
        <item x="5"/>
        <item x="13"/>
        <item x="6"/>
        <item x="18"/>
        <item x="14"/>
        <item x="1"/>
        <item x="1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i>
    <i>
      <x v="1"/>
    </i>
    <i>
      <x v="2"/>
    </i>
    <i>
      <x v="3"/>
    </i>
    <i>
      <x v="4"/>
    </i>
    <i t="grand">
      <x/>
    </i>
  </rowItems>
  <colItems count="1">
    <i/>
  </colItems>
  <dataFields count="1">
    <dataField name="Sum of Quantity" fld="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0"/>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pivotArea type="data" outline="0" fieldPosition="0">
        <references count="2">
          <reference field="4294967294" count="1" selected="0">
            <x v="0"/>
          </reference>
          <reference field="6" count="1" selected="0">
            <x v="2"/>
          </reference>
        </references>
      </pivotArea>
    </chartFormat>
    <chartFormat chart="6" format="16">
      <pivotArea type="data" outline="0" fieldPosition="0">
        <references count="2">
          <reference field="4294967294" count="1" selected="0">
            <x v="0"/>
          </reference>
          <reference field="6" count="1" selected="0">
            <x v="3"/>
          </reference>
        </references>
      </pivotArea>
    </chartFormat>
    <chartFormat chart="6"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1517C8-88BE-4F7D-8732-8C65804E6B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B22" firstHeaderRow="1" firstDataRow="1" firstDataCol="1"/>
  <pivotFields count="13">
    <pivotField showAll="0"/>
    <pivotField dataField="1" showAll="0"/>
    <pivotField showAll="0"/>
    <pivotField showAll="0">
      <items count="15">
        <item x="8"/>
        <item x="5"/>
        <item x="9"/>
        <item x="3"/>
        <item x="4"/>
        <item x="7"/>
        <item x="0"/>
        <item x="2"/>
        <item x="6"/>
        <item x="12"/>
        <item x="11"/>
        <item x="13"/>
        <item x="10"/>
        <item x="1"/>
        <item t="default"/>
      </items>
    </pivotField>
    <pivotField showAll="0"/>
    <pivotField showAll="0"/>
    <pivotField showAll="0"/>
    <pivotField numFmtId="14" showAll="0">
      <items count="308">
        <item x="241"/>
        <item x="63"/>
        <item x="121"/>
        <item x="44"/>
        <item x="238"/>
        <item x="143"/>
        <item x="262"/>
        <item x="157"/>
        <item x="43"/>
        <item x="261"/>
        <item x="89"/>
        <item x="249"/>
        <item x="21"/>
        <item x="94"/>
        <item x="2"/>
        <item x="240"/>
        <item x="71"/>
        <item x="129"/>
        <item x="165"/>
        <item x="61"/>
        <item x="97"/>
        <item x="229"/>
        <item x="159"/>
        <item x="266"/>
        <item x="144"/>
        <item x="181"/>
        <item x="304"/>
        <item x="69"/>
        <item x="93"/>
        <item x="174"/>
        <item x="208"/>
        <item x="40"/>
        <item x="60"/>
        <item x="195"/>
        <item x="142"/>
        <item x="24"/>
        <item x="33"/>
        <item x="65"/>
        <item x="175"/>
        <item x="201"/>
        <item x="265"/>
        <item x="179"/>
        <item x="152"/>
        <item x="123"/>
        <item x="198"/>
        <item x="112"/>
        <item x="31"/>
        <item x="180"/>
        <item x="115"/>
        <item x="173"/>
        <item x="88"/>
        <item x="163"/>
        <item x="178"/>
        <item x="215"/>
        <item x="226"/>
        <item x="207"/>
        <item x="212"/>
        <item x="211"/>
        <item x="293"/>
        <item x="186"/>
        <item x="29"/>
        <item x="267"/>
        <item x="162"/>
        <item x="56"/>
        <item x="87"/>
        <item x="122"/>
        <item x="1"/>
        <item x="292"/>
        <item x="300"/>
        <item x="164"/>
        <item x="72"/>
        <item x="98"/>
        <item x="92"/>
        <item x="269"/>
        <item x="124"/>
        <item x="302"/>
        <item x="276"/>
        <item x="172"/>
        <item x="76"/>
        <item x="223"/>
        <item x="199"/>
        <item x="202"/>
        <item x="51"/>
        <item x="3"/>
        <item x="17"/>
        <item x="91"/>
        <item x="272"/>
        <item x="82"/>
        <item x="4"/>
        <item x="108"/>
        <item x="280"/>
        <item x="110"/>
        <item x="55"/>
        <item x="140"/>
        <item x="256"/>
        <item x="45"/>
        <item x="264"/>
        <item x="73"/>
        <item x="284"/>
        <item x="36"/>
        <item x="166"/>
        <item x="214"/>
        <item x="200"/>
        <item x="161"/>
        <item x="99"/>
        <item x="139"/>
        <item x="48"/>
        <item x="169"/>
        <item x="8"/>
        <item x="248"/>
        <item x="177"/>
        <item x="233"/>
        <item x="156"/>
        <item x="294"/>
        <item x="96"/>
        <item x="85"/>
        <item x="83"/>
        <item x="149"/>
        <item x="15"/>
        <item x="102"/>
        <item x="132"/>
        <item x="250"/>
        <item x="185"/>
        <item x="119"/>
        <item x="282"/>
        <item x="168"/>
        <item x="257"/>
        <item x="74"/>
        <item x="67"/>
        <item x="258"/>
        <item x="114"/>
        <item x="299"/>
        <item x="62"/>
        <item x="75"/>
        <item x="116"/>
        <item x="283"/>
        <item x="154"/>
        <item x="0"/>
        <item x="127"/>
        <item x="242"/>
        <item x="222"/>
        <item x="275"/>
        <item x="7"/>
        <item x="148"/>
        <item x="290"/>
        <item x="109"/>
        <item x="289"/>
        <item x="78"/>
        <item x="6"/>
        <item x="66"/>
        <item x="133"/>
        <item x="189"/>
        <item x="183"/>
        <item x="151"/>
        <item x="281"/>
        <item x="10"/>
        <item x="86"/>
        <item x="287"/>
        <item x="111"/>
        <item x="34"/>
        <item x="235"/>
        <item x="218"/>
        <item x="260"/>
        <item x="53"/>
        <item x="288"/>
        <item x="251"/>
        <item x="160"/>
        <item x="150"/>
        <item x="216"/>
        <item x="278"/>
        <item x="37"/>
        <item x="209"/>
        <item x="252"/>
        <item x="291"/>
        <item x="46"/>
        <item x="224"/>
        <item x="254"/>
        <item x="182"/>
        <item x="234"/>
        <item x="19"/>
        <item x="230"/>
        <item x="205"/>
        <item x="219"/>
        <item x="167"/>
        <item x="158"/>
        <item x="22"/>
        <item x="171"/>
        <item x="279"/>
        <item x="107"/>
        <item x="210"/>
        <item x="128"/>
        <item x="90"/>
        <item x="193"/>
        <item x="28"/>
        <item x="38"/>
        <item x="13"/>
        <item x="70"/>
        <item x="306"/>
        <item x="106"/>
        <item x="58"/>
        <item x="14"/>
        <item x="59"/>
        <item x="263"/>
        <item x="217"/>
        <item x="221"/>
        <item x="268"/>
        <item x="191"/>
        <item x="305"/>
        <item x="47"/>
        <item x="194"/>
        <item x="231"/>
        <item x="274"/>
        <item x="190"/>
        <item x="64"/>
        <item x="27"/>
        <item x="41"/>
        <item x="247"/>
        <item x="187"/>
        <item x="54"/>
        <item x="16"/>
        <item x="103"/>
        <item x="39"/>
        <item x="253"/>
        <item x="285"/>
        <item x="120"/>
        <item x="35"/>
        <item x="50"/>
        <item x="126"/>
        <item x="295"/>
        <item x="303"/>
        <item x="104"/>
        <item x="192"/>
        <item x="49"/>
        <item x="30"/>
        <item x="298"/>
        <item x="146"/>
        <item x="153"/>
        <item x="100"/>
        <item x="204"/>
        <item x="270"/>
        <item x="220"/>
        <item x="296"/>
        <item x="259"/>
        <item x="131"/>
        <item x="286"/>
        <item x="25"/>
        <item x="113"/>
        <item x="134"/>
        <item x="68"/>
        <item x="84"/>
        <item x="170"/>
        <item x="301"/>
        <item x="26"/>
        <item x="23"/>
        <item x="246"/>
        <item x="77"/>
        <item x="9"/>
        <item x="79"/>
        <item x="18"/>
        <item x="184"/>
        <item x="137"/>
        <item x="297"/>
        <item x="80"/>
        <item x="273"/>
        <item x="138"/>
        <item x="52"/>
        <item x="244"/>
        <item x="125"/>
        <item x="255"/>
        <item x="203"/>
        <item x="136"/>
        <item x="101"/>
        <item x="5"/>
        <item x="225"/>
        <item x="32"/>
        <item x="105"/>
        <item x="11"/>
        <item x="117"/>
        <item x="237"/>
        <item x="147"/>
        <item x="141"/>
        <item x="135"/>
        <item x="81"/>
        <item x="130"/>
        <item x="57"/>
        <item x="95"/>
        <item x="145"/>
        <item x="206"/>
        <item x="42"/>
        <item x="20"/>
        <item x="118"/>
        <item x="232"/>
        <item x="197"/>
        <item x="243"/>
        <item x="176"/>
        <item x="277"/>
        <item x="228"/>
        <item x="188"/>
        <item x="236"/>
        <item x="227"/>
        <item x="245"/>
        <item x="271"/>
        <item x="12"/>
        <item x="239"/>
        <item x="155"/>
        <item x="196"/>
        <item x="213"/>
        <item t="default"/>
      </items>
    </pivotField>
    <pivotField showAll="0"/>
    <pivotField axis="axisRow" showAll="0">
      <items count="20">
        <item x="9"/>
        <item x="12"/>
        <item x="8"/>
        <item x="16"/>
        <item x="7"/>
        <item x="15"/>
        <item x="11"/>
        <item x="4"/>
        <item x="3"/>
        <item x="10"/>
        <item x="0"/>
        <item x="2"/>
        <item x="5"/>
        <item x="13"/>
        <item x="6"/>
        <item x="18"/>
        <item x="14"/>
        <item x="1"/>
        <item x="1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Amount" fld="1" baseField="0" baseItem="0"/>
  </dataFields>
  <chartFormats count="2">
    <chartFormat chart="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FAE5DE-4180-4D97-868B-CD3D2055B1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H339" firstHeaderRow="1" firstDataRow="1" firstDataCol="1"/>
  <pivotFields count="13">
    <pivotField showAll="0"/>
    <pivotField dataField="1" showAll="0"/>
    <pivotField showAll="0"/>
    <pivotField showAll="0">
      <items count="15">
        <item x="8"/>
        <item x="5"/>
        <item x="9"/>
        <item x="3"/>
        <item x="4"/>
        <item x="7"/>
        <item x="0"/>
        <item x="2"/>
        <item x="6"/>
        <item x="12"/>
        <item x="11"/>
        <item x="13"/>
        <item x="10"/>
        <item x="1"/>
        <item t="default"/>
      </items>
    </pivotField>
    <pivotField showAll="0"/>
    <pivotField showAll="0"/>
    <pivotField showAll="0"/>
    <pivotField numFmtId="14" showAll="0">
      <items count="308">
        <item x="241"/>
        <item x="63"/>
        <item x="121"/>
        <item x="44"/>
        <item x="238"/>
        <item x="143"/>
        <item x="262"/>
        <item x="157"/>
        <item x="43"/>
        <item x="261"/>
        <item x="89"/>
        <item x="249"/>
        <item x="21"/>
        <item x="94"/>
        <item x="2"/>
        <item x="240"/>
        <item x="71"/>
        <item x="129"/>
        <item x="165"/>
        <item x="61"/>
        <item x="97"/>
        <item x="229"/>
        <item x="159"/>
        <item x="266"/>
        <item x="144"/>
        <item x="181"/>
        <item x="304"/>
        <item x="69"/>
        <item x="93"/>
        <item x="174"/>
        <item x="208"/>
        <item x="40"/>
        <item x="60"/>
        <item x="195"/>
        <item x="142"/>
        <item x="24"/>
        <item x="33"/>
        <item x="65"/>
        <item x="175"/>
        <item x="201"/>
        <item x="265"/>
        <item x="179"/>
        <item x="152"/>
        <item x="123"/>
        <item x="198"/>
        <item x="112"/>
        <item x="31"/>
        <item x="180"/>
        <item x="115"/>
        <item x="173"/>
        <item x="88"/>
        <item x="163"/>
        <item x="178"/>
        <item x="215"/>
        <item x="226"/>
        <item x="207"/>
        <item x="212"/>
        <item x="211"/>
        <item x="293"/>
        <item x="186"/>
        <item x="29"/>
        <item x="267"/>
        <item x="162"/>
        <item x="56"/>
        <item x="87"/>
        <item x="122"/>
        <item x="1"/>
        <item x="292"/>
        <item x="300"/>
        <item x="164"/>
        <item x="72"/>
        <item x="98"/>
        <item x="92"/>
        <item x="269"/>
        <item x="124"/>
        <item x="302"/>
        <item x="276"/>
        <item x="172"/>
        <item x="76"/>
        <item x="223"/>
        <item x="199"/>
        <item x="202"/>
        <item x="51"/>
        <item x="3"/>
        <item x="17"/>
        <item x="91"/>
        <item x="272"/>
        <item x="82"/>
        <item x="4"/>
        <item x="108"/>
        <item x="280"/>
        <item x="110"/>
        <item x="55"/>
        <item x="140"/>
        <item x="256"/>
        <item x="45"/>
        <item x="264"/>
        <item x="73"/>
        <item x="284"/>
        <item x="36"/>
        <item x="166"/>
        <item x="214"/>
        <item x="200"/>
        <item x="161"/>
        <item x="99"/>
        <item x="139"/>
        <item x="48"/>
        <item x="169"/>
        <item x="8"/>
        <item x="248"/>
        <item x="177"/>
        <item x="233"/>
        <item x="156"/>
        <item x="294"/>
        <item x="96"/>
        <item x="85"/>
        <item x="83"/>
        <item x="149"/>
        <item x="15"/>
        <item x="102"/>
        <item x="132"/>
        <item x="250"/>
        <item x="185"/>
        <item x="119"/>
        <item x="282"/>
        <item x="168"/>
        <item x="257"/>
        <item x="74"/>
        <item x="67"/>
        <item x="258"/>
        <item x="114"/>
        <item x="299"/>
        <item x="62"/>
        <item x="75"/>
        <item x="116"/>
        <item x="283"/>
        <item x="154"/>
        <item x="0"/>
        <item x="127"/>
        <item x="242"/>
        <item x="222"/>
        <item x="275"/>
        <item x="7"/>
        <item x="148"/>
        <item x="290"/>
        <item x="109"/>
        <item x="289"/>
        <item x="78"/>
        <item x="6"/>
        <item x="66"/>
        <item x="133"/>
        <item x="189"/>
        <item x="183"/>
        <item x="151"/>
        <item x="281"/>
        <item x="10"/>
        <item x="86"/>
        <item x="287"/>
        <item x="111"/>
        <item x="34"/>
        <item x="235"/>
        <item x="218"/>
        <item x="260"/>
        <item x="53"/>
        <item x="288"/>
        <item x="251"/>
        <item x="160"/>
        <item x="150"/>
        <item x="216"/>
        <item x="278"/>
        <item x="37"/>
        <item x="209"/>
        <item x="252"/>
        <item x="291"/>
        <item x="46"/>
        <item x="224"/>
        <item x="254"/>
        <item x="182"/>
        <item x="234"/>
        <item x="19"/>
        <item x="230"/>
        <item x="205"/>
        <item x="219"/>
        <item x="167"/>
        <item x="158"/>
        <item x="22"/>
        <item x="171"/>
        <item x="279"/>
        <item x="107"/>
        <item x="210"/>
        <item x="128"/>
        <item x="90"/>
        <item x="193"/>
        <item x="28"/>
        <item x="38"/>
        <item x="13"/>
        <item x="70"/>
        <item x="306"/>
        <item x="106"/>
        <item x="58"/>
        <item x="14"/>
        <item x="59"/>
        <item x="263"/>
        <item x="217"/>
        <item x="221"/>
        <item x="268"/>
        <item x="191"/>
        <item x="305"/>
        <item x="47"/>
        <item x="194"/>
        <item x="231"/>
        <item x="274"/>
        <item x="190"/>
        <item x="64"/>
        <item x="27"/>
        <item x="41"/>
        <item x="247"/>
        <item x="187"/>
        <item x="54"/>
        <item x="16"/>
        <item x="103"/>
        <item x="39"/>
        <item x="253"/>
        <item x="285"/>
        <item x="120"/>
        <item x="35"/>
        <item x="50"/>
        <item x="126"/>
        <item x="295"/>
        <item x="303"/>
        <item x="104"/>
        <item x="192"/>
        <item x="49"/>
        <item x="30"/>
        <item x="298"/>
        <item x="146"/>
        <item x="153"/>
        <item x="100"/>
        <item x="204"/>
        <item x="270"/>
        <item x="220"/>
        <item x="296"/>
        <item x="259"/>
        <item x="131"/>
        <item x="286"/>
        <item x="25"/>
        <item x="113"/>
        <item x="134"/>
        <item x="68"/>
        <item x="84"/>
        <item x="170"/>
        <item x="301"/>
        <item x="26"/>
        <item x="23"/>
        <item x="246"/>
        <item x="77"/>
        <item x="9"/>
        <item x="79"/>
        <item x="18"/>
        <item x="184"/>
        <item x="137"/>
        <item x="297"/>
        <item x="80"/>
        <item x="273"/>
        <item x="138"/>
        <item x="52"/>
        <item x="244"/>
        <item x="125"/>
        <item x="255"/>
        <item x="203"/>
        <item x="136"/>
        <item x="101"/>
        <item x="5"/>
        <item x="225"/>
        <item x="32"/>
        <item x="105"/>
        <item x="11"/>
        <item x="117"/>
        <item x="237"/>
        <item x="147"/>
        <item x="141"/>
        <item x="135"/>
        <item x="81"/>
        <item x="130"/>
        <item x="57"/>
        <item x="95"/>
        <item x="145"/>
        <item x="206"/>
        <item x="42"/>
        <item x="20"/>
        <item x="118"/>
        <item x="232"/>
        <item x="197"/>
        <item x="243"/>
        <item x="176"/>
        <item x="277"/>
        <item x="228"/>
        <item x="188"/>
        <item x="236"/>
        <item x="227"/>
        <item x="245"/>
        <item x="271"/>
        <item x="12"/>
        <item x="239"/>
        <item x="155"/>
        <item x="196"/>
        <item x="213"/>
        <item t="default"/>
      </items>
    </pivotField>
    <pivotField axis="axisRow" showAll="0">
      <items count="337">
        <item x="237"/>
        <item x="55"/>
        <item x="25"/>
        <item x="193"/>
        <item x="159"/>
        <item x="124"/>
        <item x="273"/>
        <item x="76"/>
        <item x="232"/>
        <item x="64"/>
        <item x="160"/>
        <item x="129"/>
        <item x="84"/>
        <item x="107"/>
        <item x="324"/>
        <item x="240"/>
        <item x="246"/>
        <item x="299"/>
        <item x="29"/>
        <item x="140"/>
        <item x="70"/>
        <item x="133"/>
        <item x="139"/>
        <item x="94"/>
        <item x="263"/>
        <item x="189"/>
        <item x="57"/>
        <item x="250"/>
        <item x="230"/>
        <item x="118"/>
        <item x="276"/>
        <item x="110"/>
        <item x="67"/>
        <item x="138"/>
        <item x="167"/>
        <item x="157"/>
        <item x="212"/>
        <item x="278"/>
        <item x="58"/>
        <item x="71"/>
        <item x="248"/>
        <item x="286"/>
        <item x="311"/>
        <item x="102"/>
        <item x="19"/>
        <item x="257"/>
        <item x="65"/>
        <item x="162"/>
        <item x="68"/>
        <item x="293"/>
        <item x="51"/>
        <item x="202"/>
        <item x="260"/>
        <item x="329"/>
        <item x="247"/>
        <item x="101"/>
        <item x="86"/>
        <item x="164"/>
        <item x="163"/>
        <item x="274"/>
        <item x="121"/>
        <item x="158"/>
        <item x="149"/>
        <item x="234"/>
        <item x="145"/>
        <item x="175"/>
        <item x="0"/>
        <item x="300"/>
        <item x="307"/>
        <item x="277"/>
        <item x="135"/>
        <item x="114"/>
        <item x="111"/>
        <item x="281"/>
        <item x="295"/>
        <item x="325"/>
        <item x="95"/>
        <item x="239"/>
        <item x="144"/>
        <item x="171"/>
        <item x="22"/>
        <item x="320"/>
        <item x="261"/>
        <item x="191"/>
        <item x="41"/>
        <item x="208"/>
        <item x="187"/>
        <item x="194"/>
        <item x="331"/>
        <item x="219"/>
        <item x="136"/>
        <item x="207"/>
        <item x="301"/>
        <item x="10"/>
        <item x="80"/>
        <item x="18"/>
        <item x="209"/>
        <item x="201"/>
        <item x="63"/>
        <item x="12"/>
        <item x="279"/>
        <item x="316"/>
        <item x="1"/>
        <item x="105"/>
        <item x="134"/>
        <item x="75"/>
        <item x="333"/>
        <item x="229"/>
        <item x="34"/>
        <item x="79"/>
        <item x="330"/>
        <item x="303"/>
        <item x="228"/>
        <item x="215"/>
        <item x="106"/>
        <item x="287"/>
        <item x="20"/>
        <item x="243"/>
        <item x="318"/>
        <item x="130"/>
        <item x="245"/>
        <item x="122"/>
        <item x="269"/>
        <item x="69"/>
        <item x="226"/>
        <item x="72"/>
        <item x="197"/>
        <item x="181"/>
        <item x="210"/>
        <item x="127"/>
        <item x="317"/>
        <item x="8"/>
        <item x="109"/>
        <item x="183"/>
        <item x="280"/>
        <item x="199"/>
        <item x="93"/>
        <item x="304"/>
        <item x="9"/>
        <item x="5"/>
        <item x="294"/>
        <item x="16"/>
        <item x="14"/>
        <item x="47"/>
        <item x="62"/>
        <item x="155"/>
        <item x="31"/>
        <item x="218"/>
        <item x="98"/>
        <item x="322"/>
        <item x="177"/>
        <item x="38"/>
        <item x="166"/>
        <item x="42"/>
        <item x="242"/>
        <item x="195"/>
        <item x="36"/>
        <item x="236"/>
        <item x="87"/>
        <item x="198"/>
        <item x="13"/>
        <item x="120"/>
        <item x="17"/>
        <item x="334"/>
        <item x="147"/>
        <item x="200"/>
        <item x="99"/>
        <item x="173"/>
        <item x="222"/>
        <item x="88"/>
        <item x="227"/>
        <item x="113"/>
        <item x="151"/>
        <item x="224"/>
        <item x="174"/>
        <item x="259"/>
        <item x="15"/>
        <item x="186"/>
        <item x="312"/>
        <item x="131"/>
        <item x="271"/>
        <item x="188"/>
        <item x="315"/>
        <item x="223"/>
        <item x="6"/>
        <item x="290"/>
        <item x="50"/>
        <item x="217"/>
        <item x="169"/>
        <item x="148"/>
        <item x="267"/>
        <item x="49"/>
        <item x="309"/>
        <item x="56"/>
        <item x="77"/>
        <item x="265"/>
        <item x="327"/>
        <item x="30"/>
        <item x="24"/>
        <item x="297"/>
        <item x="116"/>
        <item x="90"/>
        <item x="328"/>
        <item x="292"/>
        <item x="28"/>
        <item x="182"/>
        <item x="220"/>
        <item x="262"/>
        <item x="123"/>
        <item x="326"/>
        <item x="81"/>
        <item x="126"/>
        <item x="266"/>
        <item x="176"/>
        <item x="254"/>
        <item x="85"/>
        <item x="100"/>
        <item x="319"/>
        <item x="253"/>
        <item x="283"/>
        <item x="112"/>
        <item x="291"/>
        <item x="241"/>
        <item x="96"/>
        <item x="83"/>
        <item x="221"/>
        <item x="82"/>
        <item x="115"/>
        <item x="54"/>
        <item x="196"/>
        <item x="150"/>
        <item x="296"/>
        <item x="168"/>
        <item x="310"/>
        <item x="178"/>
        <item x="60"/>
        <item x="238"/>
        <item x="146"/>
        <item x="268"/>
        <item x="48"/>
        <item x="244"/>
        <item x="7"/>
        <item x="231"/>
        <item x="275"/>
        <item x="33"/>
        <item x="3"/>
        <item x="165"/>
        <item x="37"/>
        <item x="213"/>
        <item x="43"/>
        <item x="305"/>
        <item x="258"/>
        <item x="152"/>
        <item x="45"/>
        <item x="103"/>
        <item x="26"/>
        <item x="132"/>
        <item x="161"/>
        <item x="153"/>
        <item x="2"/>
        <item x="205"/>
        <item x="211"/>
        <item x="170"/>
        <item x="125"/>
        <item x="40"/>
        <item x="74"/>
        <item x="335"/>
        <item x="289"/>
        <item x="32"/>
        <item x="21"/>
        <item x="141"/>
        <item x="192"/>
        <item x="92"/>
        <item x="298"/>
        <item x="216"/>
        <item x="308"/>
        <item x="264"/>
        <item x="179"/>
        <item x="251"/>
        <item x="23"/>
        <item x="108"/>
        <item x="156"/>
        <item x="180"/>
        <item x="104"/>
        <item x="78"/>
        <item x="313"/>
        <item x="53"/>
        <item x="206"/>
        <item x="282"/>
        <item x="61"/>
        <item x="256"/>
        <item x="46"/>
        <item x="285"/>
        <item x="44"/>
        <item x="214"/>
        <item x="119"/>
        <item x="184"/>
        <item x="203"/>
        <item x="323"/>
        <item x="27"/>
        <item x="255"/>
        <item x="154"/>
        <item x="252"/>
        <item x="235"/>
        <item x="117"/>
        <item x="204"/>
        <item x="288"/>
        <item x="284"/>
        <item x="321"/>
        <item x="73"/>
        <item x="270"/>
        <item x="314"/>
        <item x="128"/>
        <item x="225"/>
        <item x="91"/>
        <item x="172"/>
        <item x="97"/>
        <item x="302"/>
        <item x="306"/>
        <item x="137"/>
        <item x="89"/>
        <item x="233"/>
        <item x="143"/>
        <item x="66"/>
        <item x="52"/>
        <item x="272"/>
        <item x="35"/>
        <item x="332"/>
        <item x="11"/>
        <item x="142"/>
        <item x="4"/>
        <item x="39"/>
        <item x="185"/>
        <item x="249"/>
        <item x="190"/>
        <item x="59"/>
        <item t="default"/>
      </items>
    </pivotField>
    <pivotField showAll="0">
      <items count="20">
        <item x="9"/>
        <item x="12"/>
        <item x="8"/>
        <item x="16"/>
        <item x="7"/>
        <item x="15"/>
        <item x="11"/>
        <item x="4"/>
        <item x="3"/>
        <item x="10"/>
        <item x="0"/>
        <item x="2"/>
        <item x="5"/>
        <item x="13"/>
        <item x="6"/>
        <item x="18"/>
        <item x="14"/>
        <item x="1"/>
        <item x="1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3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t="grand">
      <x/>
    </i>
  </rowItems>
  <colItems count="1">
    <i/>
  </colItems>
  <dataFields count="1">
    <dataField name="Sum of Amount" fld="1"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71C3F1-8489-463A-B345-D541526207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2:E15" firstHeaderRow="1" firstDataRow="1" firstDataCol="1"/>
  <pivotFields count="13">
    <pivotField showAll="0"/>
    <pivotField showAll="0"/>
    <pivotField dataField="1" showAll="0"/>
    <pivotField showAll="0">
      <items count="15">
        <item x="8"/>
        <item x="5"/>
        <item x="9"/>
        <item x="3"/>
        <item x="4"/>
        <item x="7"/>
        <item x="0"/>
        <item x="2"/>
        <item x="6"/>
        <item x="12"/>
        <item x="11"/>
        <item x="13"/>
        <item x="10"/>
        <item x="1"/>
        <item t="default"/>
      </items>
    </pivotField>
    <pivotField showAll="0"/>
    <pivotField showAll="0"/>
    <pivotField showAll="0"/>
    <pivotField axis="axisRow" numFmtId="14" showAll="0">
      <items count="308">
        <item x="241"/>
        <item x="63"/>
        <item x="121"/>
        <item x="44"/>
        <item x="238"/>
        <item x="143"/>
        <item x="262"/>
        <item x="157"/>
        <item x="43"/>
        <item x="261"/>
        <item x="89"/>
        <item x="249"/>
        <item x="21"/>
        <item x="94"/>
        <item x="2"/>
        <item x="240"/>
        <item x="71"/>
        <item x="129"/>
        <item x="165"/>
        <item x="61"/>
        <item x="97"/>
        <item x="229"/>
        <item x="159"/>
        <item x="266"/>
        <item x="144"/>
        <item x="181"/>
        <item x="304"/>
        <item x="69"/>
        <item x="93"/>
        <item x="174"/>
        <item x="208"/>
        <item x="40"/>
        <item x="60"/>
        <item x="195"/>
        <item x="142"/>
        <item x="24"/>
        <item x="33"/>
        <item x="65"/>
        <item x="175"/>
        <item x="201"/>
        <item x="265"/>
        <item x="179"/>
        <item x="152"/>
        <item x="123"/>
        <item x="198"/>
        <item x="112"/>
        <item x="31"/>
        <item x="180"/>
        <item x="115"/>
        <item x="173"/>
        <item x="88"/>
        <item x="163"/>
        <item x="178"/>
        <item x="215"/>
        <item x="226"/>
        <item x="207"/>
        <item x="212"/>
        <item x="211"/>
        <item x="293"/>
        <item x="186"/>
        <item x="29"/>
        <item x="267"/>
        <item x="162"/>
        <item x="56"/>
        <item x="87"/>
        <item x="122"/>
        <item x="1"/>
        <item x="292"/>
        <item x="300"/>
        <item x="164"/>
        <item x="72"/>
        <item x="98"/>
        <item x="92"/>
        <item x="269"/>
        <item x="124"/>
        <item x="302"/>
        <item x="276"/>
        <item x="172"/>
        <item x="76"/>
        <item x="223"/>
        <item x="199"/>
        <item x="202"/>
        <item x="51"/>
        <item x="3"/>
        <item x="17"/>
        <item x="91"/>
        <item x="272"/>
        <item x="82"/>
        <item x="4"/>
        <item x="108"/>
        <item x="280"/>
        <item x="110"/>
        <item x="55"/>
        <item x="140"/>
        <item x="256"/>
        <item x="45"/>
        <item x="264"/>
        <item x="73"/>
        <item x="284"/>
        <item x="36"/>
        <item x="166"/>
        <item x="214"/>
        <item x="200"/>
        <item x="161"/>
        <item x="99"/>
        <item x="139"/>
        <item x="48"/>
        <item x="169"/>
        <item x="8"/>
        <item x="248"/>
        <item x="177"/>
        <item x="233"/>
        <item x="156"/>
        <item x="294"/>
        <item x="96"/>
        <item x="85"/>
        <item x="83"/>
        <item x="149"/>
        <item x="15"/>
        <item x="102"/>
        <item x="132"/>
        <item x="250"/>
        <item x="185"/>
        <item x="119"/>
        <item x="282"/>
        <item x="168"/>
        <item x="257"/>
        <item x="74"/>
        <item x="67"/>
        <item x="258"/>
        <item x="114"/>
        <item x="299"/>
        <item x="62"/>
        <item x="75"/>
        <item x="116"/>
        <item x="283"/>
        <item x="154"/>
        <item x="0"/>
        <item x="127"/>
        <item x="242"/>
        <item x="222"/>
        <item x="275"/>
        <item x="7"/>
        <item x="148"/>
        <item x="290"/>
        <item x="109"/>
        <item x="289"/>
        <item x="78"/>
        <item x="6"/>
        <item x="66"/>
        <item x="133"/>
        <item x="189"/>
        <item x="183"/>
        <item x="151"/>
        <item x="281"/>
        <item x="10"/>
        <item x="86"/>
        <item x="287"/>
        <item x="111"/>
        <item x="34"/>
        <item x="235"/>
        <item x="218"/>
        <item x="260"/>
        <item x="53"/>
        <item x="288"/>
        <item x="251"/>
        <item x="160"/>
        <item x="150"/>
        <item x="216"/>
        <item x="278"/>
        <item x="37"/>
        <item x="209"/>
        <item x="252"/>
        <item x="291"/>
        <item x="46"/>
        <item x="224"/>
        <item x="254"/>
        <item x="182"/>
        <item x="234"/>
        <item x="19"/>
        <item x="230"/>
        <item x="205"/>
        <item x="219"/>
        <item x="167"/>
        <item x="158"/>
        <item x="22"/>
        <item x="171"/>
        <item x="279"/>
        <item x="107"/>
        <item x="210"/>
        <item x="128"/>
        <item x="90"/>
        <item x="193"/>
        <item x="28"/>
        <item x="38"/>
        <item x="13"/>
        <item x="70"/>
        <item x="306"/>
        <item x="106"/>
        <item x="58"/>
        <item x="14"/>
        <item x="59"/>
        <item x="263"/>
        <item x="217"/>
        <item x="221"/>
        <item x="268"/>
        <item x="191"/>
        <item x="305"/>
        <item x="47"/>
        <item x="194"/>
        <item x="231"/>
        <item x="274"/>
        <item x="190"/>
        <item x="64"/>
        <item x="27"/>
        <item x="41"/>
        <item x="247"/>
        <item x="187"/>
        <item x="54"/>
        <item x="16"/>
        <item x="103"/>
        <item x="39"/>
        <item x="253"/>
        <item x="285"/>
        <item x="120"/>
        <item x="35"/>
        <item x="50"/>
        <item x="126"/>
        <item x="295"/>
        <item x="303"/>
        <item x="104"/>
        <item x="192"/>
        <item x="49"/>
        <item x="30"/>
        <item x="298"/>
        <item x="146"/>
        <item x="153"/>
        <item x="100"/>
        <item x="204"/>
        <item x="270"/>
        <item x="220"/>
        <item x="296"/>
        <item x="259"/>
        <item x="131"/>
        <item x="286"/>
        <item x="25"/>
        <item x="113"/>
        <item x="134"/>
        <item x="68"/>
        <item x="84"/>
        <item x="170"/>
        <item x="301"/>
        <item x="26"/>
        <item x="23"/>
        <item x="246"/>
        <item x="77"/>
        <item x="9"/>
        <item x="79"/>
        <item x="18"/>
        <item x="184"/>
        <item x="137"/>
        <item x="297"/>
        <item x="80"/>
        <item x="273"/>
        <item x="138"/>
        <item x="52"/>
        <item x="244"/>
        <item x="125"/>
        <item x="255"/>
        <item x="203"/>
        <item x="136"/>
        <item x="101"/>
        <item x="5"/>
        <item x="225"/>
        <item x="32"/>
        <item x="105"/>
        <item x="11"/>
        <item x="117"/>
        <item x="237"/>
        <item x="147"/>
        <item x="141"/>
        <item x="135"/>
        <item x="81"/>
        <item x="130"/>
        <item x="57"/>
        <item x="95"/>
        <item x="145"/>
        <item x="206"/>
        <item x="42"/>
        <item x="20"/>
        <item x="118"/>
        <item x="232"/>
        <item x="197"/>
        <item x="243"/>
        <item x="176"/>
        <item x="277"/>
        <item x="228"/>
        <item x="188"/>
        <item x="236"/>
        <item x="227"/>
        <item x="245"/>
        <item x="271"/>
        <item x="12"/>
        <item x="239"/>
        <item x="155"/>
        <item x="196"/>
        <item x="213"/>
        <item t="default"/>
      </items>
    </pivotField>
    <pivotField showAll="0"/>
    <pivotField showAll="0">
      <items count="20">
        <item x="9"/>
        <item x="12"/>
        <item x="8"/>
        <item x="16"/>
        <item x="7"/>
        <item x="15"/>
        <item x="11"/>
        <item x="4"/>
        <item x="3"/>
        <item x="10"/>
        <item x="0"/>
        <item x="2"/>
        <item x="5"/>
        <item x="13"/>
        <item x="6"/>
        <item x="18"/>
        <item x="14"/>
        <item x="1"/>
        <item x="17"/>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7"/>
  </rowFields>
  <rowItems count="13">
    <i>
      <x v="1"/>
    </i>
    <i>
      <x v="2"/>
    </i>
    <i>
      <x v="3"/>
    </i>
    <i>
      <x v="4"/>
    </i>
    <i>
      <x v="5"/>
    </i>
    <i>
      <x v="6"/>
    </i>
    <i>
      <x v="7"/>
    </i>
    <i>
      <x v="8"/>
    </i>
    <i>
      <x v="9"/>
    </i>
    <i>
      <x v="10"/>
    </i>
    <i>
      <x v="11"/>
    </i>
    <i>
      <x v="12"/>
    </i>
    <i t="grand">
      <x/>
    </i>
  </rowItems>
  <colItems count="1">
    <i/>
  </colItems>
  <dataFields count="1">
    <dataField name="Sum of Profit" fld="2" baseField="0" baseItem="0"/>
  </dataFields>
  <chartFormats count="5">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AF6A83-8595-466F-B016-D9FAF02151F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23:N41" firstHeaderRow="1" firstDataRow="1" firstDataCol="1"/>
  <pivotFields count="13">
    <pivotField showAll="0"/>
    <pivotField showAll="0"/>
    <pivotField dataField="1" showAll="0"/>
    <pivotField showAll="0">
      <items count="15">
        <item x="8"/>
        <item x="5"/>
        <item x="9"/>
        <item x="3"/>
        <item x="4"/>
        <item x="7"/>
        <item x="0"/>
        <item x="2"/>
        <item x="6"/>
        <item x="12"/>
        <item x="11"/>
        <item x="13"/>
        <item x="10"/>
        <item x="1"/>
        <item t="default"/>
      </items>
    </pivotField>
    <pivotField showAll="0">
      <items count="4">
        <item x="2"/>
        <item x="0"/>
        <item x="1"/>
        <item t="default"/>
      </items>
    </pivotField>
    <pivotField axis="axisRow" showAll="0">
      <items count="18">
        <item x="13"/>
        <item x="2"/>
        <item x="1"/>
        <item x="0"/>
        <item x="15"/>
        <item x="7"/>
        <item x="8"/>
        <item x="12"/>
        <item x="4"/>
        <item x="3"/>
        <item x="6"/>
        <item x="16"/>
        <item x="9"/>
        <item x="11"/>
        <item x="10"/>
        <item x="5"/>
        <item x="14"/>
        <item t="default"/>
      </items>
    </pivotField>
    <pivotField showAll="0"/>
    <pivotField numFmtId="14" showAll="0">
      <items count="308">
        <item x="241"/>
        <item x="63"/>
        <item x="121"/>
        <item x="44"/>
        <item x="238"/>
        <item x="143"/>
        <item x="262"/>
        <item x="157"/>
        <item x="43"/>
        <item x="261"/>
        <item x="89"/>
        <item x="249"/>
        <item x="21"/>
        <item x="94"/>
        <item x="2"/>
        <item x="240"/>
        <item x="71"/>
        <item x="129"/>
        <item x="165"/>
        <item x="61"/>
        <item x="97"/>
        <item x="229"/>
        <item x="159"/>
        <item x="266"/>
        <item x="144"/>
        <item x="181"/>
        <item x="304"/>
        <item x="69"/>
        <item x="93"/>
        <item x="174"/>
        <item x="208"/>
        <item x="40"/>
        <item x="60"/>
        <item x="195"/>
        <item x="142"/>
        <item x="24"/>
        <item x="33"/>
        <item x="65"/>
        <item x="175"/>
        <item x="201"/>
        <item x="265"/>
        <item x="179"/>
        <item x="152"/>
        <item x="123"/>
        <item x="198"/>
        <item x="112"/>
        <item x="31"/>
        <item x="180"/>
        <item x="115"/>
        <item x="173"/>
        <item x="88"/>
        <item x="163"/>
        <item x="178"/>
        <item x="215"/>
        <item x="226"/>
        <item x="207"/>
        <item x="212"/>
        <item x="211"/>
        <item x="293"/>
        <item x="186"/>
        <item x="29"/>
        <item x="267"/>
        <item x="162"/>
        <item x="56"/>
        <item x="87"/>
        <item x="122"/>
        <item x="1"/>
        <item x="292"/>
        <item x="300"/>
        <item x="164"/>
        <item x="72"/>
        <item x="98"/>
        <item x="92"/>
        <item x="269"/>
        <item x="124"/>
        <item x="302"/>
        <item x="276"/>
        <item x="172"/>
        <item x="76"/>
        <item x="223"/>
        <item x="199"/>
        <item x="202"/>
        <item x="51"/>
        <item x="3"/>
        <item x="17"/>
        <item x="91"/>
        <item x="272"/>
        <item x="82"/>
        <item x="4"/>
        <item x="108"/>
        <item x="280"/>
        <item x="110"/>
        <item x="55"/>
        <item x="140"/>
        <item x="256"/>
        <item x="45"/>
        <item x="264"/>
        <item x="73"/>
        <item x="284"/>
        <item x="36"/>
        <item x="166"/>
        <item x="214"/>
        <item x="200"/>
        <item x="161"/>
        <item x="99"/>
        <item x="139"/>
        <item x="48"/>
        <item x="169"/>
        <item x="8"/>
        <item x="248"/>
        <item x="177"/>
        <item x="233"/>
        <item x="156"/>
        <item x="294"/>
        <item x="96"/>
        <item x="85"/>
        <item x="83"/>
        <item x="149"/>
        <item x="15"/>
        <item x="102"/>
        <item x="132"/>
        <item x="250"/>
        <item x="185"/>
        <item x="119"/>
        <item x="282"/>
        <item x="168"/>
        <item x="257"/>
        <item x="74"/>
        <item x="67"/>
        <item x="258"/>
        <item x="114"/>
        <item x="299"/>
        <item x="62"/>
        <item x="75"/>
        <item x="116"/>
        <item x="283"/>
        <item x="154"/>
        <item x="0"/>
        <item x="127"/>
        <item x="242"/>
        <item x="222"/>
        <item x="275"/>
        <item x="7"/>
        <item x="148"/>
        <item x="290"/>
        <item x="109"/>
        <item x="289"/>
        <item x="78"/>
        <item x="6"/>
        <item x="66"/>
        <item x="133"/>
        <item x="189"/>
        <item x="183"/>
        <item x="151"/>
        <item x="281"/>
        <item x="10"/>
        <item x="86"/>
        <item x="287"/>
        <item x="111"/>
        <item x="34"/>
        <item x="235"/>
        <item x="218"/>
        <item x="260"/>
        <item x="53"/>
        <item x="288"/>
        <item x="251"/>
        <item x="160"/>
        <item x="150"/>
        <item x="216"/>
        <item x="278"/>
        <item x="37"/>
        <item x="209"/>
        <item x="252"/>
        <item x="291"/>
        <item x="46"/>
        <item x="224"/>
        <item x="254"/>
        <item x="182"/>
        <item x="234"/>
        <item x="19"/>
        <item x="230"/>
        <item x="205"/>
        <item x="219"/>
        <item x="167"/>
        <item x="158"/>
        <item x="22"/>
        <item x="171"/>
        <item x="279"/>
        <item x="107"/>
        <item x="210"/>
        <item x="128"/>
        <item x="90"/>
        <item x="193"/>
        <item x="28"/>
        <item x="38"/>
        <item x="13"/>
        <item x="70"/>
        <item x="306"/>
        <item x="106"/>
        <item x="58"/>
        <item x="14"/>
        <item x="59"/>
        <item x="263"/>
        <item x="217"/>
        <item x="221"/>
        <item x="268"/>
        <item x="191"/>
        <item x="305"/>
        <item x="47"/>
        <item x="194"/>
        <item x="231"/>
        <item x="274"/>
        <item x="190"/>
        <item x="64"/>
        <item x="27"/>
        <item x="41"/>
        <item x="247"/>
        <item x="187"/>
        <item x="54"/>
        <item x="16"/>
        <item x="103"/>
        <item x="39"/>
        <item x="253"/>
        <item x="285"/>
        <item x="120"/>
        <item x="35"/>
        <item x="50"/>
        <item x="126"/>
        <item x="295"/>
        <item x="303"/>
        <item x="104"/>
        <item x="192"/>
        <item x="49"/>
        <item x="30"/>
        <item x="298"/>
        <item x="146"/>
        <item x="153"/>
        <item x="100"/>
        <item x="204"/>
        <item x="270"/>
        <item x="220"/>
        <item x="296"/>
        <item x="259"/>
        <item x="131"/>
        <item x="286"/>
        <item x="25"/>
        <item x="113"/>
        <item x="134"/>
        <item x="68"/>
        <item x="84"/>
        <item x="170"/>
        <item x="301"/>
        <item x="26"/>
        <item x="23"/>
        <item x="246"/>
        <item x="77"/>
        <item x="9"/>
        <item x="79"/>
        <item x="18"/>
        <item x="184"/>
        <item x="137"/>
        <item x="297"/>
        <item x="80"/>
        <item x="273"/>
        <item x="138"/>
        <item x="52"/>
        <item x="244"/>
        <item x="125"/>
        <item x="255"/>
        <item x="203"/>
        <item x="136"/>
        <item x="101"/>
        <item x="5"/>
        <item x="225"/>
        <item x="32"/>
        <item x="105"/>
        <item x="11"/>
        <item x="117"/>
        <item x="237"/>
        <item x="147"/>
        <item x="141"/>
        <item x="135"/>
        <item x="81"/>
        <item x="130"/>
        <item x="57"/>
        <item x="95"/>
        <item x="145"/>
        <item x="206"/>
        <item x="42"/>
        <item x="20"/>
        <item x="118"/>
        <item x="232"/>
        <item x="197"/>
        <item x="243"/>
        <item x="176"/>
        <item x="277"/>
        <item x="228"/>
        <item x="188"/>
        <item x="236"/>
        <item x="227"/>
        <item x="245"/>
        <item x="271"/>
        <item x="12"/>
        <item x="239"/>
        <item x="155"/>
        <item x="196"/>
        <item x="213"/>
        <item t="default"/>
      </items>
    </pivotField>
    <pivotField showAll="0"/>
    <pivotField showAll="0">
      <items count="20">
        <item x="9"/>
        <item x="12"/>
        <item x="8"/>
        <item x="16"/>
        <item x="7"/>
        <item x="15"/>
        <item x="11"/>
        <item x="4"/>
        <item x="3"/>
        <item x="10"/>
        <item x="0"/>
        <item x="2"/>
        <item x="5"/>
        <item x="13"/>
        <item x="6"/>
        <item x="18"/>
        <item x="14"/>
        <item x="1"/>
        <item x="1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ECE5CA-8501-4EBD-96D4-C1DB886C45D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2:N6" firstHeaderRow="1" firstDataRow="1" firstDataCol="1"/>
  <pivotFields count="13">
    <pivotField showAll="0"/>
    <pivotField showAll="0"/>
    <pivotField showAll="0"/>
    <pivotField dataField="1" showAll="0">
      <items count="15">
        <item x="8"/>
        <item x="5"/>
        <item x="9"/>
        <item x="3"/>
        <item x="4"/>
        <item x="7"/>
        <item x="0"/>
        <item x="2"/>
        <item x="6"/>
        <item x="12"/>
        <item x="11"/>
        <item x="13"/>
        <item x="10"/>
        <item x="1"/>
        <item t="default"/>
      </items>
    </pivotField>
    <pivotField axis="axisRow" showAll="0">
      <items count="4">
        <item x="2"/>
        <item x="0"/>
        <item x="1"/>
        <item t="default"/>
      </items>
    </pivotField>
    <pivotField showAll="0">
      <items count="18">
        <item x="13"/>
        <item x="2"/>
        <item x="1"/>
        <item x="0"/>
        <item x="15"/>
        <item x="7"/>
        <item x="8"/>
        <item x="12"/>
        <item x="4"/>
        <item x="3"/>
        <item x="6"/>
        <item x="16"/>
        <item x="9"/>
        <item x="11"/>
        <item x="10"/>
        <item x="5"/>
        <item x="14"/>
        <item t="default"/>
      </items>
    </pivotField>
    <pivotField showAll="0"/>
    <pivotField numFmtId="14" showAll="0">
      <items count="308">
        <item x="241"/>
        <item x="63"/>
        <item x="121"/>
        <item x="44"/>
        <item x="238"/>
        <item x="143"/>
        <item x="262"/>
        <item x="157"/>
        <item x="43"/>
        <item x="261"/>
        <item x="89"/>
        <item x="249"/>
        <item x="21"/>
        <item x="94"/>
        <item x="2"/>
        <item x="240"/>
        <item x="71"/>
        <item x="129"/>
        <item x="165"/>
        <item x="61"/>
        <item x="97"/>
        <item x="229"/>
        <item x="159"/>
        <item x="266"/>
        <item x="144"/>
        <item x="181"/>
        <item x="304"/>
        <item x="69"/>
        <item x="93"/>
        <item x="174"/>
        <item x="208"/>
        <item x="40"/>
        <item x="60"/>
        <item x="195"/>
        <item x="142"/>
        <item x="24"/>
        <item x="33"/>
        <item x="65"/>
        <item x="175"/>
        <item x="201"/>
        <item x="265"/>
        <item x="179"/>
        <item x="152"/>
        <item x="123"/>
        <item x="198"/>
        <item x="112"/>
        <item x="31"/>
        <item x="180"/>
        <item x="115"/>
        <item x="173"/>
        <item x="88"/>
        <item x="163"/>
        <item x="178"/>
        <item x="215"/>
        <item x="226"/>
        <item x="207"/>
        <item x="212"/>
        <item x="211"/>
        <item x="293"/>
        <item x="186"/>
        <item x="29"/>
        <item x="267"/>
        <item x="162"/>
        <item x="56"/>
        <item x="87"/>
        <item x="122"/>
        <item x="1"/>
        <item x="292"/>
        <item x="300"/>
        <item x="164"/>
        <item x="72"/>
        <item x="98"/>
        <item x="92"/>
        <item x="269"/>
        <item x="124"/>
        <item x="302"/>
        <item x="276"/>
        <item x="172"/>
        <item x="76"/>
        <item x="223"/>
        <item x="199"/>
        <item x="202"/>
        <item x="51"/>
        <item x="3"/>
        <item x="17"/>
        <item x="91"/>
        <item x="272"/>
        <item x="82"/>
        <item x="4"/>
        <item x="108"/>
        <item x="280"/>
        <item x="110"/>
        <item x="55"/>
        <item x="140"/>
        <item x="256"/>
        <item x="45"/>
        <item x="264"/>
        <item x="73"/>
        <item x="284"/>
        <item x="36"/>
        <item x="166"/>
        <item x="214"/>
        <item x="200"/>
        <item x="161"/>
        <item x="99"/>
        <item x="139"/>
        <item x="48"/>
        <item x="169"/>
        <item x="8"/>
        <item x="248"/>
        <item x="177"/>
        <item x="233"/>
        <item x="156"/>
        <item x="294"/>
        <item x="96"/>
        <item x="85"/>
        <item x="83"/>
        <item x="149"/>
        <item x="15"/>
        <item x="102"/>
        <item x="132"/>
        <item x="250"/>
        <item x="185"/>
        <item x="119"/>
        <item x="282"/>
        <item x="168"/>
        <item x="257"/>
        <item x="74"/>
        <item x="67"/>
        <item x="258"/>
        <item x="114"/>
        <item x="299"/>
        <item x="62"/>
        <item x="75"/>
        <item x="116"/>
        <item x="283"/>
        <item x="154"/>
        <item x="0"/>
        <item x="127"/>
        <item x="242"/>
        <item x="222"/>
        <item x="275"/>
        <item x="7"/>
        <item x="148"/>
        <item x="290"/>
        <item x="109"/>
        <item x="289"/>
        <item x="78"/>
        <item x="6"/>
        <item x="66"/>
        <item x="133"/>
        <item x="189"/>
        <item x="183"/>
        <item x="151"/>
        <item x="281"/>
        <item x="10"/>
        <item x="86"/>
        <item x="287"/>
        <item x="111"/>
        <item x="34"/>
        <item x="235"/>
        <item x="218"/>
        <item x="260"/>
        <item x="53"/>
        <item x="288"/>
        <item x="251"/>
        <item x="160"/>
        <item x="150"/>
        <item x="216"/>
        <item x="278"/>
        <item x="37"/>
        <item x="209"/>
        <item x="252"/>
        <item x="291"/>
        <item x="46"/>
        <item x="224"/>
        <item x="254"/>
        <item x="182"/>
        <item x="234"/>
        <item x="19"/>
        <item x="230"/>
        <item x="205"/>
        <item x="219"/>
        <item x="167"/>
        <item x="158"/>
        <item x="22"/>
        <item x="171"/>
        <item x="279"/>
        <item x="107"/>
        <item x="210"/>
        <item x="128"/>
        <item x="90"/>
        <item x="193"/>
        <item x="28"/>
        <item x="38"/>
        <item x="13"/>
        <item x="70"/>
        <item x="306"/>
        <item x="106"/>
        <item x="58"/>
        <item x="14"/>
        <item x="59"/>
        <item x="263"/>
        <item x="217"/>
        <item x="221"/>
        <item x="268"/>
        <item x="191"/>
        <item x="305"/>
        <item x="47"/>
        <item x="194"/>
        <item x="231"/>
        <item x="274"/>
        <item x="190"/>
        <item x="64"/>
        <item x="27"/>
        <item x="41"/>
        <item x="247"/>
        <item x="187"/>
        <item x="54"/>
        <item x="16"/>
        <item x="103"/>
        <item x="39"/>
        <item x="253"/>
        <item x="285"/>
        <item x="120"/>
        <item x="35"/>
        <item x="50"/>
        <item x="126"/>
        <item x="295"/>
        <item x="303"/>
        <item x="104"/>
        <item x="192"/>
        <item x="49"/>
        <item x="30"/>
        <item x="298"/>
        <item x="146"/>
        <item x="153"/>
        <item x="100"/>
        <item x="204"/>
        <item x="270"/>
        <item x="220"/>
        <item x="296"/>
        <item x="259"/>
        <item x="131"/>
        <item x="286"/>
        <item x="25"/>
        <item x="113"/>
        <item x="134"/>
        <item x="68"/>
        <item x="84"/>
        <item x="170"/>
        <item x="301"/>
        <item x="26"/>
        <item x="23"/>
        <item x="246"/>
        <item x="77"/>
        <item x="9"/>
        <item x="79"/>
        <item x="18"/>
        <item x="184"/>
        <item x="137"/>
        <item x="297"/>
        <item x="80"/>
        <item x="273"/>
        <item x="138"/>
        <item x="52"/>
        <item x="244"/>
        <item x="125"/>
        <item x="255"/>
        <item x="203"/>
        <item x="136"/>
        <item x="101"/>
        <item x="5"/>
        <item x="225"/>
        <item x="32"/>
        <item x="105"/>
        <item x="11"/>
        <item x="117"/>
        <item x="237"/>
        <item x="147"/>
        <item x="141"/>
        <item x="135"/>
        <item x="81"/>
        <item x="130"/>
        <item x="57"/>
        <item x="95"/>
        <item x="145"/>
        <item x="206"/>
        <item x="42"/>
        <item x="20"/>
        <item x="118"/>
        <item x="232"/>
        <item x="197"/>
        <item x="243"/>
        <item x="176"/>
        <item x="277"/>
        <item x="228"/>
        <item x="188"/>
        <item x="236"/>
        <item x="227"/>
        <item x="245"/>
        <item x="271"/>
        <item x="12"/>
        <item x="239"/>
        <item x="155"/>
        <item x="196"/>
        <item x="213"/>
        <item t="default"/>
      </items>
    </pivotField>
    <pivotField showAll="0"/>
    <pivotField showAll="0">
      <items count="20">
        <item x="9"/>
        <item x="12"/>
        <item x="8"/>
        <item x="16"/>
        <item x="7"/>
        <item x="15"/>
        <item x="11"/>
        <item x="4"/>
        <item x="3"/>
        <item x="10"/>
        <item x="0"/>
        <item x="2"/>
        <item x="5"/>
        <item x="13"/>
        <item x="6"/>
        <item x="18"/>
        <item x="14"/>
        <item x="1"/>
        <item x="17"/>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Items count="1">
    <i/>
  </colItems>
  <dataFields count="1">
    <dataField name="Sum of Quantity" fld="3"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4" count="1" selected="0">
            <x v="0"/>
          </reference>
        </references>
      </pivotArea>
    </chartFormat>
    <chartFormat chart="4" format="22">
      <pivotArea type="data" outline="0" fieldPosition="0">
        <references count="2">
          <reference field="4294967294" count="1" selected="0">
            <x v="0"/>
          </reference>
          <reference field="4" count="1" selected="0">
            <x v="1"/>
          </reference>
        </references>
      </pivotArea>
    </chartFormat>
    <chartFormat chart="4" format="2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8B276D2-1C63-4583-8D02-418C3351D427}" sourceName="Stat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741474948">
      <items count="19">
        <i x="9" s="1"/>
        <i x="12" s="1"/>
        <i x="8" s="1"/>
        <i x="16" s="1"/>
        <i x="7" s="1"/>
        <i x="15" s="1"/>
        <i x="11" s="1"/>
        <i x="4" s="1"/>
        <i x="3" s="1"/>
        <i x="10" s="1"/>
        <i x="0" s="1"/>
        <i x="2" s="1"/>
        <i x="5" s="1"/>
        <i x="13" s="1"/>
        <i x="6" s="1"/>
        <i x="18" s="1"/>
        <i x="14" s="1"/>
        <i x="1"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9EF80F62-F91F-451B-A858-8F49EE2D02B7}" sourceName="Quantity">
  <pivotTables>
    <pivotTable tabId="2" name="PivotTable4"/>
    <pivotTable tabId="2" name="PivotTable1"/>
    <pivotTable tabId="2" name="PivotTable2"/>
    <pivotTable tabId="2" name="PivotTable3"/>
    <pivotTable tabId="2" name="PivotTable5"/>
    <pivotTable tabId="2" name="PivotTable6"/>
    <pivotTable tabId="2" name="PivotTable7"/>
  </pivotTables>
  <data>
    <tabular pivotCacheId="1741474948">
      <items count="14">
        <i x="8" s="1"/>
        <i x="5" s="1"/>
        <i x="9" s="1"/>
        <i x="3" s="1"/>
        <i x="4" s="1"/>
        <i x="7" s="1"/>
        <i x="0" s="1"/>
        <i x="2" s="1"/>
        <i x="6" s="1"/>
        <i x="12" s="1"/>
        <i x="11" s="1"/>
        <i x="13" s="1"/>
        <i x="1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809569A-95B7-4FAF-A1C5-EA114AA8BFD2}" cache="Slicer_State" caption="State" rowHeight="273050"/>
  <slicer name="Quantity" xr10:uid="{C573D4C5-9820-442D-9DF9-25ECDBEB0190}" cache="Slicer_Quantity" caption="Quantity"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B9256032-BE51-4B80-99D1-114A401C6190}" cache="Slicer_State" caption="State" columnCount="2" style="SlicerStyleLight3" rowHeight="273050"/>
  <slicer name="Quantity 1" xr10:uid="{FDC67FEF-6DBB-43CC-842C-64BB527B05B0}" cache="Slicer_Quantity" caption="Quantity" style="SlicerStyleLight3"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A082E6-47A4-4B41-A415-CD2371EC7179}" name="Table2" displayName="Table2" ref="A1:K1501" totalsRowShown="0">
  <autoFilter ref="A1:K1501" xr:uid="{48A082E6-47A4-4B41-A415-CD2371EC7179}"/>
  <tableColumns count="11">
    <tableColumn id="1" xr3:uid="{26C8A320-6B2D-4797-B673-B8C57C743F46}" name="Order ID"/>
    <tableColumn id="2" xr3:uid="{1C4FB6D8-6EDA-4022-AB52-6CE0E24AFC40}" name="Amount"/>
    <tableColumn id="3" xr3:uid="{556BBF85-51F4-4977-BB40-9FB43BA18DCA}" name="Profit"/>
    <tableColumn id="4" xr3:uid="{188A862F-B61F-4C43-977F-EC10BB682F01}" name="Quantity"/>
    <tableColumn id="5" xr3:uid="{8B51CB55-630C-46AC-86B3-B53CD79B4A13}" name="Category"/>
    <tableColumn id="6" xr3:uid="{CBA13886-DFC0-484A-BFDE-86DDEF71B171}" name="Sub-Category"/>
    <tableColumn id="7" xr3:uid="{A975D6A2-17EB-4C0B-980A-55413F3FB4C0}" name="PaymentMode"/>
    <tableColumn id="8" xr3:uid="{F493431C-71AA-47EA-AB05-34A0CFA189A5}" name="Order Date" dataDxfId="0">
      <calculatedColumnFormula>VLOOKUP(A2, [1]Orders!A:B, 2, FALSE)</calculatedColumnFormula>
    </tableColumn>
    <tableColumn id="9" xr3:uid="{557D4AE8-7213-421C-8E0F-CF9325EDFA8A}" name="CustomerName">
      <calculatedColumnFormula>VLOOKUP(A2, [1]Orders!A:E, 3, FALSE)</calculatedColumnFormula>
    </tableColumn>
    <tableColumn id="10" xr3:uid="{808DC987-CE48-48C7-BD55-10A035739CAC}" name="State">
      <calculatedColumnFormula>VLOOKUP(A2, [1]Orders!A:E, 4, FALSE)</calculatedColumnFormula>
    </tableColumn>
    <tableColumn id="11" xr3:uid="{F9BF2C93-3E65-49C2-9500-2928F236CFF1}" name="City">
      <calculatedColumnFormula>VLOOKUP(A2, [1]Orders!A:E, 5, 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C1BF9-809A-404E-BD47-E70CEB153C57}">
  <dimension ref="A1:K1501"/>
  <sheetViews>
    <sheetView topLeftCell="A1479" workbookViewId="0">
      <selection activeCell="K9" sqref="K9"/>
    </sheetView>
  </sheetViews>
  <sheetFormatPr defaultRowHeight="18" x14ac:dyDescent="0.5"/>
  <cols>
    <col min="1" max="1" width="10.109375" customWidth="1"/>
    <col min="2" max="2" width="9.6640625" customWidth="1"/>
    <col min="3" max="3" width="7.77734375" customWidth="1"/>
    <col min="4" max="4" width="10.33203125" customWidth="1"/>
    <col min="5" max="5" width="10.5546875" customWidth="1"/>
    <col min="6" max="6" width="15.33203125" customWidth="1"/>
    <col min="7" max="7" width="15.109375" customWidth="1"/>
    <col min="8" max="8" width="12.21875" style="1" customWidth="1"/>
    <col min="9" max="9" width="16.44140625" customWidth="1"/>
    <col min="10" max="10" width="17.21875" customWidth="1"/>
    <col min="11" max="11" width="17.77734375" customWidth="1"/>
  </cols>
  <sheetData>
    <row r="1" spans="1:11" x14ac:dyDescent="0.5">
      <c r="A1" t="s">
        <v>0</v>
      </c>
      <c r="B1" t="s">
        <v>1</v>
      </c>
      <c r="C1" t="s">
        <v>2</v>
      </c>
      <c r="D1" t="s">
        <v>3</v>
      </c>
      <c r="E1" t="s">
        <v>4</v>
      </c>
      <c r="F1" t="s">
        <v>5</v>
      </c>
      <c r="G1" t="s">
        <v>6</v>
      </c>
      <c r="H1" t="s">
        <v>532</v>
      </c>
      <c r="I1" t="s">
        <v>533</v>
      </c>
      <c r="J1" t="s">
        <v>534</v>
      </c>
      <c r="K1" t="s">
        <v>535</v>
      </c>
    </row>
    <row r="2" spans="1:11" x14ac:dyDescent="0.5">
      <c r="A2" t="s">
        <v>7</v>
      </c>
      <c r="B2">
        <v>1096</v>
      </c>
      <c r="C2">
        <v>658</v>
      </c>
      <c r="D2">
        <v>7</v>
      </c>
      <c r="E2" t="s">
        <v>8</v>
      </c>
      <c r="F2" t="s">
        <v>9</v>
      </c>
      <c r="G2" t="s">
        <v>10</v>
      </c>
      <c r="H2" s="1">
        <f>VLOOKUP(A2, [1]Orders!A:E, 2, FALSE)</f>
        <v>43255</v>
      </c>
      <c r="I2" t="str">
        <f>VLOOKUP(A2, [1]Orders!A:E, 3, FALSE)</f>
        <v>Bhawna</v>
      </c>
      <c r="J2" t="str">
        <f>VLOOKUP(A2, [1]Orders!A:E, 4, FALSE)</f>
        <v>Madhya Pradesh</v>
      </c>
      <c r="K2" t="str">
        <f>VLOOKUP(A2, [1]Orders!A:E, 5, FALSE)</f>
        <v>Indore</v>
      </c>
    </row>
    <row r="3" spans="1:11" x14ac:dyDescent="0.5">
      <c r="A3" t="s">
        <v>11</v>
      </c>
      <c r="B3">
        <v>5729</v>
      </c>
      <c r="C3">
        <v>64</v>
      </c>
      <c r="D3">
        <v>14</v>
      </c>
      <c r="E3" t="s">
        <v>12</v>
      </c>
      <c r="F3" t="s">
        <v>13</v>
      </c>
      <c r="G3" t="s">
        <v>14</v>
      </c>
      <c r="H3" s="1">
        <f>VLOOKUP(A3, [1]Orders!A:B, 2, FALSE)</f>
        <v>43169</v>
      </c>
      <c r="I3" t="str">
        <f>VLOOKUP(A3, [1]Orders!A:E, 3, FALSE)</f>
        <v>Harivansh</v>
      </c>
      <c r="J3" t="str">
        <f>VLOOKUP(A3, [1]Orders!A:E, 4, FALSE)</f>
        <v>Uttar Pradesh</v>
      </c>
      <c r="K3" t="str">
        <f>VLOOKUP(A3, [1]Orders!A:E, 5, FALSE)</f>
        <v>Mathura</v>
      </c>
    </row>
    <row r="4" spans="1:11" x14ac:dyDescent="0.5">
      <c r="A4" t="s">
        <v>15</v>
      </c>
      <c r="B4">
        <v>2927</v>
      </c>
      <c r="C4">
        <v>146</v>
      </c>
      <c r="D4">
        <v>8</v>
      </c>
      <c r="E4" t="s">
        <v>12</v>
      </c>
      <c r="F4" t="s">
        <v>16</v>
      </c>
      <c r="G4" t="s">
        <v>14</v>
      </c>
      <c r="H4" s="1">
        <f>VLOOKUP(A4, [1]Orders!A:B, 2, FALSE)</f>
        <v>43116</v>
      </c>
      <c r="I4" t="str">
        <f>VLOOKUP(A4, [1]Orders!A:E, 3, FALSE)</f>
        <v>Shiva</v>
      </c>
      <c r="J4" t="str">
        <f>VLOOKUP(A4, [1]Orders!A:E, 4, FALSE)</f>
        <v>Maharashtra</v>
      </c>
      <c r="K4" t="str">
        <f>VLOOKUP(A4, [1]Orders!A:E, 5, FALSE)</f>
        <v>Pune</v>
      </c>
    </row>
    <row r="5" spans="1:11" x14ac:dyDescent="0.5">
      <c r="A5" t="s">
        <v>17</v>
      </c>
      <c r="B5">
        <v>2847</v>
      </c>
      <c r="C5">
        <v>712</v>
      </c>
      <c r="D5">
        <v>8</v>
      </c>
      <c r="E5" t="s">
        <v>8</v>
      </c>
      <c r="F5" t="s">
        <v>18</v>
      </c>
      <c r="G5" t="s">
        <v>19</v>
      </c>
      <c r="H5" s="1">
        <f>VLOOKUP(A5, [1]Orders!A:B, 2, FALSE)</f>
        <v>43186</v>
      </c>
      <c r="I5" t="str">
        <f>VLOOKUP(A5, [1]Orders!A:E, 3, FALSE)</f>
        <v>Sarita</v>
      </c>
      <c r="J5" t="str">
        <f>VLOOKUP(A5, [1]Orders!A:E, 4, FALSE)</f>
        <v>Maharashtra</v>
      </c>
      <c r="K5" t="str">
        <f>VLOOKUP(A5, [1]Orders!A:E, 5, FALSE)</f>
        <v>Pune</v>
      </c>
    </row>
    <row r="6" spans="1:11" x14ac:dyDescent="0.5">
      <c r="A6" t="s">
        <v>20</v>
      </c>
      <c r="B6">
        <v>2617</v>
      </c>
      <c r="C6">
        <v>1151</v>
      </c>
      <c r="D6">
        <v>4</v>
      </c>
      <c r="E6" t="s">
        <v>8</v>
      </c>
      <c r="F6" t="s">
        <v>21</v>
      </c>
      <c r="G6" t="s">
        <v>19</v>
      </c>
      <c r="H6" s="1">
        <f>VLOOKUP(A6, [1]Orders!A:B, 2, FALSE)</f>
        <v>43191</v>
      </c>
      <c r="I6" t="str">
        <f>VLOOKUP(A6, [1]Orders!A:E, 3, FALSE)</f>
        <v>Vrinda</v>
      </c>
      <c r="J6" t="str">
        <f>VLOOKUP(A6, [1]Orders!A:E, 4, FALSE)</f>
        <v>Maharashtra</v>
      </c>
      <c r="K6" t="str">
        <f>VLOOKUP(A6, [1]Orders!A:E, 5, FALSE)</f>
        <v>Pune</v>
      </c>
    </row>
    <row r="7" spans="1:11" x14ac:dyDescent="0.5">
      <c r="A7" t="s">
        <v>22</v>
      </c>
      <c r="B7">
        <v>2244</v>
      </c>
      <c r="C7">
        <v>247</v>
      </c>
      <c r="D7">
        <v>4</v>
      </c>
      <c r="E7" t="s">
        <v>23</v>
      </c>
      <c r="F7" t="s">
        <v>24</v>
      </c>
      <c r="G7" t="s">
        <v>19</v>
      </c>
      <c r="H7" s="1">
        <f>VLOOKUP(A7, [1]Orders!A:B, 2, FALSE)</f>
        <v>43429</v>
      </c>
      <c r="I7" t="str">
        <f>VLOOKUP(A7, [1]Orders!A:E, 3, FALSE)</f>
        <v>Lalita</v>
      </c>
      <c r="J7" t="str">
        <f>VLOOKUP(A7, [1]Orders!A:E, 4, FALSE)</f>
        <v>Uttar Pradesh</v>
      </c>
      <c r="K7" t="str">
        <f>VLOOKUP(A7, [1]Orders!A:E, 5, FALSE)</f>
        <v>Mathura</v>
      </c>
    </row>
    <row r="8" spans="1:11" x14ac:dyDescent="0.5">
      <c r="A8" t="s">
        <v>25</v>
      </c>
      <c r="B8">
        <v>275</v>
      </c>
      <c r="C8">
        <v>-275</v>
      </c>
      <c r="D8">
        <v>4</v>
      </c>
      <c r="E8" t="s">
        <v>23</v>
      </c>
      <c r="F8" t="s">
        <v>26</v>
      </c>
      <c r="G8" t="s">
        <v>10</v>
      </c>
      <c r="H8" s="1">
        <f>VLOOKUP(A8, [1]Orders!A:B, 2, FALSE)</f>
        <v>43272</v>
      </c>
      <c r="I8" t="str">
        <f>VLOOKUP(A8, [1]Orders!A:E, 3, FALSE)</f>
        <v>Noopur</v>
      </c>
      <c r="J8" t="str">
        <f>VLOOKUP(A8, [1]Orders!A:E, 4, FALSE)</f>
        <v>Karnataka</v>
      </c>
      <c r="K8" t="str">
        <f>VLOOKUP(A8, [1]Orders!A:E, 5, FALSE)</f>
        <v>Bangalore</v>
      </c>
    </row>
    <row r="9" spans="1:11" x14ac:dyDescent="0.5">
      <c r="A9" t="s">
        <v>27</v>
      </c>
      <c r="B9">
        <v>387</v>
      </c>
      <c r="C9">
        <v>-213</v>
      </c>
      <c r="D9">
        <v>5</v>
      </c>
      <c r="E9" t="s">
        <v>23</v>
      </c>
      <c r="F9" t="s">
        <v>26</v>
      </c>
      <c r="G9" t="s">
        <v>28</v>
      </c>
      <c r="H9" s="1">
        <f>VLOOKUP(A9, [1]Orders!A:B, 2, FALSE)</f>
        <v>43262</v>
      </c>
      <c r="I9" t="str">
        <f>VLOOKUP(A9, [1]Orders!A:E, 3, FALSE)</f>
        <v>Sanjna</v>
      </c>
      <c r="J9" t="str">
        <f>VLOOKUP(A9, [1]Orders!A:E, 4, FALSE)</f>
        <v>Maharashtra</v>
      </c>
      <c r="K9" t="str">
        <f>VLOOKUP(A9, [1]Orders!A:E, 5, FALSE)</f>
        <v>Mumbai</v>
      </c>
    </row>
    <row r="10" spans="1:11" x14ac:dyDescent="0.5">
      <c r="A10" t="s">
        <v>29</v>
      </c>
      <c r="B10">
        <v>50</v>
      </c>
      <c r="C10">
        <v>-44</v>
      </c>
      <c r="D10">
        <v>2</v>
      </c>
      <c r="E10" t="s">
        <v>23</v>
      </c>
      <c r="F10" t="s">
        <v>30</v>
      </c>
      <c r="G10" t="s">
        <v>28</v>
      </c>
      <c r="H10" s="1">
        <f>VLOOKUP(A10, [1]Orders!A:B, 2, FALSE)</f>
        <v>43219</v>
      </c>
      <c r="I10" t="str">
        <f>VLOOKUP(A10, [1]Orders!A:E, 3, FALSE)</f>
        <v>Kirti</v>
      </c>
      <c r="J10" t="str">
        <f>VLOOKUP(A10, [1]Orders!A:E, 4, FALSE)</f>
        <v>Jammu and Kashmir</v>
      </c>
      <c r="K10" t="str">
        <f>VLOOKUP(A10, [1]Orders!A:E, 5, FALSE)</f>
        <v>Kashmir</v>
      </c>
    </row>
    <row r="11" spans="1:11" x14ac:dyDescent="0.5">
      <c r="A11" t="s">
        <v>31</v>
      </c>
      <c r="B11">
        <v>135</v>
      </c>
      <c r="C11">
        <v>-54</v>
      </c>
      <c r="D11">
        <v>5</v>
      </c>
      <c r="E11" t="s">
        <v>23</v>
      </c>
      <c r="F11" t="s">
        <v>32</v>
      </c>
      <c r="G11" t="s">
        <v>10</v>
      </c>
      <c r="H11" s="1">
        <f>VLOOKUP(A11, [1]Orders!A:B, 2, FALSE)</f>
        <v>43410</v>
      </c>
      <c r="I11" t="str">
        <f>VLOOKUP(A11, [1]Orders!A:E, 3, FALSE)</f>
        <v>Kushal</v>
      </c>
      <c r="J11" t="str">
        <f>VLOOKUP(A11, [1]Orders!A:E, 4, FALSE)</f>
        <v>Nagaland</v>
      </c>
      <c r="K11" t="str">
        <f>VLOOKUP(A11, [1]Orders!A:E, 5, FALSE)</f>
        <v>Kohima</v>
      </c>
    </row>
    <row r="12" spans="1:11" x14ac:dyDescent="0.5">
      <c r="A12" t="s">
        <v>33</v>
      </c>
      <c r="B12">
        <v>231</v>
      </c>
      <c r="C12">
        <v>-190</v>
      </c>
      <c r="D12">
        <v>9</v>
      </c>
      <c r="E12" t="s">
        <v>23</v>
      </c>
      <c r="F12" t="s">
        <v>30</v>
      </c>
      <c r="G12" t="s">
        <v>10</v>
      </c>
      <c r="H12" s="1">
        <f>VLOOKUP(A12, [1]Orders!A:B, 2, FALSE)</f>
        <v>43279</v>
      </c>
      <c r="I12" t="str">
        <f>VLOOKUP(A12, [1]Orders!A:E, 3, FALSE)</f>
        <v>Ekta</v>
      </c>
      <c r="J12" t="str">
        <f>VLOOKUP(A12, [1]Orders!A:E, 4, FALSE)</f>
        <v>Madhya Pradesh</v>
      </c>
      <c r="K12" t="str">
        <f>VLOOKUP(A12, [1]Orders!A:E, 5, FALSE)</f>
        <v>Indore</v>
      </c>
    </row>
    <row r="13" spans="1:11" x14ac:dyDescent="0.5">
      <c r="A13" t="s">
        <v>34</v>
      </c>
      <c r="B13">
        <v>2125</v>
      </c>
      <c r="C13">
        <v>-234</v>
      </c>
      <c r="D13">
        <v>6</v>
      </c>
      <c r="E13" t="s">
        <v>8</v>
      </c>
      <c r="F13" t="s">
        <v>18</v>
      </c>
      <c r="G13" t="s">
        <v>14</v>
      </c>
      <c r="H13" s="1">
        <f>VLOOKUP(A13, [1]Orders!A:B, 2, FALSE)</f>
        <v>43435</v>
      </c>
      <c r="I13" t="str">
        <f>VLOOKUP(A13, [1]Orders!A:E, 3, FALSE)</f>
        <v>Vishakha</v>
      </c>
      <c r="J13" t="str">
        <f>VLOOKUP(A13, [1]Orders!A:E, 4, FALSE)</f>
        <v>Uttar Pradesh</v>
      </c>
      <c r="K13" t="str">
        <f>VLOOKUP(A13, [1]Orders!A:E, 5, FALSE)</f>
        <v>Prayagraj</v>
      </c>
    </row>
    <row r="14" spans="1:11" x14ac:dyDescent="0.5">
      <c r="A14" t="s">
        <v>35</v>
      </c>
      <c r="B14">
        <v>3873</v>
      </c>
      <c r="C14">
        <v>-891</v>
      </c>
      <c r="D14">
        <v>6</v>
      </c>
      <c r="E14" t="s">
        <v>8</v>
      </c>
      <c r="F14" t="s">
        <v>21</v>
      </c>
      <c r="G14" t="s">
        <v>19</v>
      </c>
      <c r="H14" s="1">
        <f>VLOOKUP(A14, [1]Orders!A:B, 2, FALSE)</f>
        <v>43461</v>
      </c>
      <c r="I14" t="str">
        <f>VLOOKUP(A14, [1]Orders!A:E, 3, FALSE)</f>
        <v>Gopal</v>
      </c>
      <c r="J14" t="str">
        <f>VLOOKUP(A14, [1]Orders!A:E, 4, FALSE)</f>
        <v>Maharashtra</v>
      </c>
      <c r="K14" t="str">
        <f>VLOOKUP(A14, [1]Orders!A:E, 5, FALSE)</f>
        <v>Mumbai</v>
      </c>
    </row>
    <row r="15" spans="1:11" x14ac:dyDescent="0.5">
      <c r="A15" t="s">
        <v>36</v>
      </c>
      <c r="B15">
        <v>729</v>
      </c>
      <c r="C15">
        <v>-492</v>
      </c>
      <c r="D15">
        <v>5</v>
      </c>
      <c r="E15" t="s">
        <v>12</v>
      </c>
      <c r="F15" t="s">
        <v>16</v>
      </c>
      <c r="G15" t="s">
        <v>28</v>
      </c>
      <c r="H15" s="1">
        <f>VLOOKUP(A15, [1]Orders!A:B, 2, FALSE)</f>
        <v>43332</v>
      </c>
      <c r="I15" t="str">
        <f>VLOOKUP(A15, [1]Orders!A:E, 3, FALSE)</f>
        <v>Mohan</v>
      </c>
      <c r="J15" t="str">
        <f>VLOOKUP(A15, [1]Orders!A:E, 4, FALSE)</f>
        <v>Maharashtra</v>
      </c>
      <c r="K15" t="str">
        <f>VLOOKUP(A15, [1]Orders!A:E, 5, FALSE)</f>
        <v>Mumbai</v>
      </c>
    </row>
    <row r="16" spans="1:11" x14ac:dyDescent="0.5">
      <c r="A16" t="s">
        <v>37</v>
      </c>
      <c r="B16">
        <v>2188</v>
      </c>
      <c r="C16">
        <v>1050</v>
      </c>
      <c r="D16">
        <v>5</v>
      </c>
      <c r="E16" t="s">
        <v>12</v>
      </c>
      <c r="F16" t="s">
        <v>16</v>
      </c>
      <c r="G16" t="s">
        <v>19</v>
      </c>
      <c r="H16" s="1">
        <f>VLOOKUP(A16, [1]Orders!A:B, 2, FALSE)</f>
        <v>43337</v>
      </c>
      <c r="I16" t="str">
        <f>VLOOKUP(A16, [1]Orders!A:E, 3, FALSE)</f>
        <v>Madhav</v>
      </c>
      <c r="J16" t="str">
        <f>VLOOKUP(A16, [1]Orders!A:E, 4, FALSE)</f>
        <v>Uttar Pradesh</v>
      </c>
      <c r="K16" t="str">
        <f>VLOOKUP(A16, [1]Orders!A:E, 5, FALSE)</f>
        <v>Mathura</v>
      </c>
    </row>
    <row r="17" spans="1:11" x14ac:dyDescent="0.5">
      <c r="A17" t="s">
        <v>38</v>
      </c>
      <c r="B17">
        <v>6</v>
      </c>
      <c r="C17">
        <v>-3</v>
      </c>
      <c r="D17">
        <v>1</v>
      </c>
      <c r="E17" t="s">
        <v>23</v>
      </c>
      <c r="F17" t="s">
        <v>30</v>
      </c>
      <c r="G17" t="s">
        <v>28</v>
      </c>
      <c r="H17" s="1">
        <f>VLOOKUP(A17, [1]Orders!A:B, 2, FALSE)</f>
        <v>43231</v>
      </c>
      <c r="I17" t="str">
        <f>VLOOKUP(A17, [1]Orders!A:E, 3, FALSE)</f>
        <v>Nida</v>
      </c>
      <c r="J17" t="str">
        <f>VLOOKUP(A17, [1]Orders!A:E, 4, FALSE)</f>
        <v>Madhya Pradesh</v>
      </c>
      <c r="K17" t="str">
        <f>VLOOKUP(A17, [1]Orders!A:E, 5, FALSE)</f>
        <v>Indore</v>
      </c>
    </row>
    <row r="18" spans="1:11" x14ac:dyDescent="0.5">
      <c r="A18" t="s">
        <v>39</v>
      </c>
      <c r="B18">
        <v>1854</v>
      </c>
      <c r="C18">
        <v>433</v>
      </c>
      <c r="D18">
        <v>5</v>
      </c>
      <c r="E18" t="s">
        <v>12</v>
      </c>
      <c r="F18" t="s">
        <v>16</v>
      </c>
      <c r="G18" t="s">
        <v>19</v>
      </c>
      <c r="H18" s="1">
        <f>VLOOKUP(A18, [1]Orders!A:B, 2, FALSE)</f>
        <v>43362</v>
      </c>
      <c r="I18" t="str">
        <f>VLOOKUP(A18, [1]Orders!A:E, 3, FALSE)</f>
        <v>Madan Mohan</v>
      </c>
      <c r="J18" t="str">
        <f>VLOOKUP(A18, [1]Orders!A:E, 4, FALSE)</f>
        <v>Uttar Pradesh</v>
      </c>
      <c r="K18" t="str">
        <f>VLOOKUP(A18, [1]Orders!A:E, 5, FALSE)</f>
        <v>Mathura</v>
      </c>
    </row>
    <row r="19" spans="1:11" x14ac:dyDescent="0.5">
      <c r="A19" t="s">
        <v>40</v>
      </c>
      <c r="B19">
        <v>6</v>
      </c>
      <c r="C19">
        <v>1</v>
      </c>
      <c r="D19">
        <v>1</v>
      </c>
      <c r="E19" t="s">
        <v>23</v>
      </c>
      <c r="F19" t="s">
        <v>32</v>
      </c>
      <c r="G19" t="s">
        <v>28</v>
      </c>
      <c r="H19" s="1">
        <f>VLOOKUP(A19, [1]Orders!A:B, 2, FALSE)</f>
        <v>43187</v>
      </c>
      <c r="I19" t="str">
        <f>VLOOKUP(A19, [1]Orders!A:E, 3, FALSE)</f>
        <v>Monisha</v>
      </c>
      <c r="J19" t="str">
        <f>VLOOKUP(A19, [1]Orders!A:E, 4, FALSE)</f>
        <v>Rajasthan</v>
      </c>
      <c r="K19" t="str">
        <f>VLOOKUP(A19, [1]Orders!A:E, 5, FALSE)</f>
        <v>Jaipur</v>
      </c>
    </row>
    <row r="20" spans="1:11" x14ac:dyDescent="0.5">
      <c r="A20" t="s">
        <v>41</v>
      </c>
      <c r="B20">
        <v>2093</v>
      </c>
      <c r="C20">
        <v>721</v>
      </c>
      <c r="D20">
        <v>5</v>
      </c>
      <c r="E20" t="s">
        <v>12</v>
      </c>
      <c r="F20" t="s">
        <v>13</v>
      </c>
      <c r="G20" t="s">
        <v>19</v>
      </c>
      <c r="H20" s="1">
        <f>VLOOKUP(A20, [1]Orders!A:B, 2, FALSE)</f>
        <v>43412</v>
      </c>
      <c r="I20" t="str">
        <f>VLOOKUP(A20, [1]Orders!A:E, 3, FALSE)</f>
        <v>Gaurav</v>
      </c>
      <c r="J20" t="str">
        <f>VLOOKUP(A20, [1]Orders!A:E, 4, FALSE)</f>
        <v>Gujarat</v>
      </c>
      <c r="K20" t="str">
        <f>VLOOKUP(A20, [1]Orders!A:E, 5, FALSE)</f>
        <v>Ahmedabad</v>
      </c>
    </row>
    <row r="21" spans="1:11" x14ac:dyDescent="0.5">
      <c r="A21" t="s">
        <v>42</v>
      </c>
      <c r="B21">
        <v>7</v>
      </c>
      <c r="C21">
        <v>-1</v>
      </c>
      <c r="D21">
        <v>2</v>
      </c>
      <c r="E21" t="s">
        <v>23</v>
      </c>
      <c r="F21" t="s">
        <v>43</v>
      </c>
      <c r="G21" t="s">
        <v>28</v>
      </c>
      <c r="H21" s="1">
        <f>VLOOKUP(A21, [1]Orders!A:B, 2, FALSE)</f>
        <v>43311</v>
      </c>
      <c r="I21" t="str">
        <f>VLOOKUP(A21, [1]Orders!A:E, 3, FALSE)</f>
        <v>Arindam</v>
      </c>
      <c r="J21" t="str">
        <f>VLOOKUP(A21, [1]Orders!A:E, 4, FALSE)</f>
        <v>Uttar Pradesh</v>
      </c>
      <c r="K21" t="str">
        <f>VLOOKUP(A21, [1]Orders!A:E, 5, FALSE)</f>
        <v>Lucknow</v>
      </c>
    </row>
    <row r="22" spans="1:11" x14ac:dyDescent="0.5">
      <c r="A22" t="s">
        <v>44</v>
      </c>
      <c r="B22">
        <v>1622</v>
      </c>
      <c r="C22">
        <v>-624</v>
      </c>
      <c r="D22">
        <v>5</v>
      </c>
      <c r="E22" t="s">
        <v>12</v>
      </c>
      <c r="F22" t="s">
        <v>45</v>
      </c>
      <c r="G22" t="s">
        <v>19</v>
      </c>
      <c r="H22" s="1">
        <f>VLOOKUP(A22, [1]Orders!A:B, 2, FALSE)</f>
        <v>43448</v>
      </c>
      <c r="I22" t="str">
        <f>VLOOKUP(A22, [1]Orders!A:E, 3, FALSE)</f>
        <v>Jay</v>
      </c>
      <c r="J22" t="str">
        <f>VLOOKUP(A22, [1]Orders!A:E, 4, FALSE)</f>
        <v>Delhi</v>
      </c>
      <c r="K22" t="str">
        <f>VLOOKUP(A22, [1]Orders!A:E, 5, FALSE)</f>
        <v>Delhi</v>
      </c>
    </row>
    <row r="23" spans="1:11" x14ac:dyDescent="0.5">
      <c r="A23" t="s">
        <v>46</v>
      </c>
      <c r="B23">
        <v>1622</v>
      </c>
      <c r="C23">
        <v>95</v>
      </c>
      <c r="D23">
        <v>5</v>
      </c>
      <c r="E23" t="s">
        <v>8</v>
      </c>
      <c r="F23" t="s">
        <v>18</v>
      </c>
      <c r="G23" t="s">
        <v>19</v>
      </c>
      <c r="H23" s="1">
        <f>VLOOKUP(A23, [1]Orders!A:B, 2, FALSE)</f>
        <v>43113</v>
      </c>
      <c r="I23" t="str">
        <f>VLOOKUP(A23, [1]Orders!A:E, 3, FALSE)</f>
        <v>Shruti</v>
      </c>
      <c r="J23" t="str">
        <f>VLOOKUP(A23, [1]Orders!A:E, 4, FALSE)</f>
        <v>Madhya Pradesh</v>
      </c>
      <c r="K23" t="str">
        <f>VLOOKUP(A23, [1]Orders!A:E, 5, FALSE)</f>
        <v>Indore</v>
      </c>
    </row>
    <row r="24" spans="1:11" x14ac:dyDescent="0.5">
      <c r="A24" t="s">
        <v>47</v>
      </c>
      <c r="B24">
        <v>373</v>
      </c>
      <c r="C24">
        <v>254</v>
      </c>
      <c r="D24">
        <v>6</v>
      </c>
      <c r="E24" t="s">
        <v>8</v>
      </c>
      <c r="F24" t="s">
        <v>18</v>
      </c>
      <c r="G24" t="s">
        <v>28</v>
      </c>
      <c r="H24" s="1">
        <f>VLOOKUP(A24, [1]Orders!A:B, 2, FALSE)</f>
        <v>43320</v>
      </c>
      <c r="I24" t="str">
        <f>VLOOKUP(A24, [1]Orders!A:E, 3, FALSE)</f>
        <v>Devendra</v>
      </c>
      <c r="J24" t="str">
        <f>VLOOKUP(A24, [1]Orders!A:E, 4, FALSE)</f>
        <v>Andhra Pradesh</v>
      </c>
      <c r="K24" t="str">
        <f>VLOOKUP(A24, [1]Orders!A:E, 5, FALSE)</f>
        <v>Hyderabad</v>
      </c>
    </row>
    <row r="25" spans="1:11" x14ac:dyDescent="0.5">
      <c r="A25" t="s">
        <v>48</v>
      </c>
      <c r="B25">
        <v>82</v>
      </c>
      <c r="C25">
        <v>-33</v>
      </c>
      <c r="D25">
        <v>4</v>
      </c>
      <c r="E25" t="s">
        <v>23</v>
      </c>
      <c r="F25" t="s">
        <v>32</v>
      </c>
      <c r="G25" t="s">
        <v>10</v>
      </c>
      <c r="H25" s="1">
        <f>VLOOKUP(A25, [1]Orders!A:B, 2, FALSE)</f>
        <v>43407</v>
      </c>
      <c r="I25" t="str">
        <f>VLOOKUP(A25, [1]Orders!A:E, 3, FALSE)</f>
        <v>Snel</v>
      </c>
      <c r="J25" t="str">
        <f>VLOOKUP(A25, [1]Orders!A:E, 4, FALSE)</f>
        <v xml:space="preserve">Kerala </v>
      </c>
      <c r="K25" t="str">
        <f>VLOOKUP(A25, [1]Orders!A:E, 5, FALSE)</f>
        <v>Thiruvananthapuram</v>
      </c>
    </row>
    <row r="26" spans="1:11" x14ac:dyDescent="0.5">
      <c r="A26" t="s">
        <v>49</v>
      </c>
      <c r="B26">
        <v>8</v>
      </c>
      <c r="C26">
        <v>2</v>
      </c>
      <c r="D26">
        <v>2</v>
      </c>
      <c r="E26" t="s">
        <v>23</v>
      </c>
      <c r="F26" t="s">
        <v>43</v>
      </c>
      <c r="G26" t="s">
        <v>28</v>
      </c>
      <c r="H26" s="1">
        <f>VLOOKUP(A26, [1]Orders!A:B, 2, FALSE)</f>
        <v>43138</v>
      </c>
      <c r="I26" t="str">
        <f>VLOOKUP(A26, [1]Orders!A:E, 3, FALSE)</f>
        <v>Patil</v>
      </c>
      <c r="J26" t="str">
        <f>VLOOKUP(A26, [1]Orders!A:E, 4, FALSE)</f>
        <v>Delhi</v>
      </c>
      <c r="K26" t="str">
        <f>VLOOKUP(A26, [1]Orders!A:E, 5, FALSE)</f>
        <v>Delhi</v>
      </c>
    </row>
    <row r="27" spans="1:11" x14ac:dyDescent="0.5">
      <c r="A27" t="s">
        <v>50</v>
      </c>
      <c r="B27">
        <v>1954</v>
      </c>
      <c r="C27">
        <v>782</v>
      </c>
      <c r="D27">
        <v>3</v>
      </c>
      <c r="E27" t="s">
        <v>8</v>
      </c>
      <c r="F27" t="s">
        <v>21</v>
      </c>
      <c r="G27" t="s">
        <v>19</v>
      </c>
      <c r="H27" s="1">
        <f>VLOOKUP(A27, [1]Orders!A:B, 2, FALSE)</f>
        <v>43399</v>
      </c>
      <c r="I27" t="str">
        <f>VLOOKUP(A27, [1]Orders!A:E, 3, FALSE)</f>
        <v>Aastha</v>
      </c>
      <c r="J27" t="str">
        <f>VLOOKUP(A27, [1]Orders!A:E, 4, FALSE)</f>
        <v>Himachal Pradesh</v>
      </c>
      <c r="K27" t="str">
        <f>VLOOKUP(A27, [1]Orders!A:E, 5, FALSE)</f>
        <v>Simla</v>
      </c>
    </row>
    <row r="28" spans="1:11" x14ac:dyDescent="0.5">
      <c r="A28" t="s">
        <v>51</v>
      </c>
      <c r="B28">
        <v>1543</v>
      </c>
      <c r="C28">
        <v>370</v>
      </c>
      <c r="D28">
        <v>8</v>
      </c>
      <c r="E28" t="s">
        <v>8</v>
      </c>
      <c r="F28" t="s">
        <v>18</v>
      </c>
      <c r="G28" t="s">
        <v>19</v>
      </c>
      <c r="H28" s="1">
        <f>VLOOKUP(A28, [1]Orders!A:B, 2, FALSE)</f>
        <v>43406</v>
      </c>
      <c r="I28" t="str">
        <f>VLOOKUP(A28, [1]Orders!A:E, 3, FALSE)</f>
        <v>Sheetal</v>
      </c>
      <c r="J28" t="str">
        <f>VLOOKUP(A28, [1]Orders!A:E, 4, FALSE)</f>
        <v>Maharashtra</v>
      </c>
      <c r="K28" t="str">
        <f>VLOOKUP(A28, [1]Orders!A:E, 5, FALSE)</f>
        <v>Pune</v>
      </c>
    </row>
    <row r="29" spans="1:11" x14ac:dyDescent="0.5">
      <c r="A29" t="s">
        <v>52</v>
      </c>
      <c r="B29">
        <v>1506</v>
      </c>
      <c r="C29">
        <v>-266</v>
      </c>
      <c r="D29">
        <v>6</v>
      </c>
      <c r="E29" t="s">
        <v>8</v>
      </c>
      <c r="F29" t="s">
        <v>18</v>
      </c>
      <c r="G29" t="s">
        <v>19</v>
      </c>
      <c r="H29" s="1">
        <f>VLOOKUP(A29, [1]Orders!A:B, 2, FALSE)</f>
        <v>43354</v>
      </c>
      <c r="I29" t="str">
        <f>VLOOKUP(A29, [1]Orders!A:E, 3, FALSE)</f>
        <v>Surabhi</v>
      </c>
      <c r="J29" t="str">
        <f>VLOOKUP(A29, [1]Orders!A:E, 4, FALSE)</f>
        <v>Maharashtra</v>
      </c>
      <c r="K29" t="str">
        <f>VLOOKUP(A29, [1]Orders!A:E, 5, FALSE)</f>
        <v>Mumbai</v>
      </c>
    </row>
    <row r="30" spans="1:11" x14ac:dyDescent="0.5">
      <c r="A30" t="s">
        <v>53</v>
      </c>
      <c r="B30">
        <v>1829</v>
      </c>
      <c r="C30">
        <v>-56</v>
      </c>
      <c r="D30">
        <v>6</v>
      </c>
      <c r="E30" t="s">
        <v>12</v>
      </c>
      <c r="F30" t="s">
        <v>45</v>
      </c>
      <c r="G30" t="s">
        <v>19</v>
      </c>
      <c r="H30" s="1">
        <f>VLOOKUP(A30, [1]Orders!A:B, 2, FALSE)</f>
        <v>43262</v>
      </c>
      <c r="I30" t="str">
        <f>VLOOKUP(A30, [1]Orders!A:E, 3, FALSE)</f>
        <v>Pooja</v>
      </c>
      <c r="J30" t="str">
        <f>VLOOKUP(A30, [1]Orders!A:E, 4, FALSE)</f>
        <v>Himachal Pradesh</v>
      </c>
      <c r="K30" t="str">
        <f>VLOOKUP(A30, [1]Orders!A:E, 5, FALSE)</f>
        <v>Simla</v>
      </c>
    </row>
    <row r="31" spans="1:11" x14ac:dyDescent="0.5">
      <c r="A31" t="s">
        <v>54</v>
      </c>
      <c r="B31">
        <v>9</v>
      </c>
      <c r="C31">
        <v>-1</v>
      </c>
      <c r="D31">
        <v>3</v>
      </c>
      <c r="E31" t="s">
        <v>23</v>
      </c>
      <c r="F31" t="s">
        <v>43</v>
      </c>
      <c r="G31" t="s">
        <v>28</v>
      </c>
      <c r="H31" s="1">
        <f>VLOOKUP(A31, [1]Orders!A:B, 2, FALSE)</f>
        <v>43330</v>
      </c>
      <c r="I31" t="str">
        <f>VLOOKUP(A31, [1]Orders!A:E, 3, FALSE)</f>
        <v>Akshay</v>
      </c>
      <c r="J31" t="str">
        <f>VLOOKUP(A31, [1]Orders!A:E, 4, FALSE)</f>
        <v>Bihar</v>
      </c>
      <c r="K31" t="str">
        <f>VLOOKUP(A31, [1]Orders!A:E, 5, FALSE)</f>
        <v>Patna</v>
      </c>
    </row>
    <row r="32" spans="1:11" x14ac:dyDescent="0.5">
      <c r="A32" t="s">
        <v>55</v>
      </c>
      <c r="B32">
        <v>1461</v>
      </c>
      <c r="C32">
        <v>202</v>
      </c>
      <c r="D32">
        <v>5</v>
      </c>
      <c r="E32" t="s">
        <v>12</v>
      </c>
      <c r="F32" t="s">
        <v>45</v>
      </c>
      <c r="G32" t="s">
        <v>14</v>
      </c>
      <c r="H32" s="1">
        <f>VLOOKUP(A32, [1]Orders!A:B, 2, FALSE)</f>
        <v>43163</v>
      </c>
      <c r="I32" t="str">
        <f>VLOOKUP(A32, [1]Orders!A:E, 3, FALSE)</f>
        <v>Parth</v>
      </c>
      <c r="J32" t="str">
        <f>VLOOKUP(A32, [1]Orders!A:E, 4, FALSE)</f>
        <v>Maharashtra</v>
      </c>
      <c r="K32" t="str">
        <f>VLOOKUP(A32, [1]Orders!A:E, 5, FALSE)</f>
        <v>Pune</v>
      </c>
    </row>
    <row r="33" spans="1:11" x14ac:dyDescent="0.5">
      <c r="A33" t="s">
        <v>56</v>
      </c>
      <c r="B33">
        <v>391</v>
      </c>
      <c r="C33">
        <v>113</v>
      </c>
      <c r="D33">
        <v>8</v>
      </c>
      <c r="E33" t="s">
        <v>23</v>
      </c>
      <c r="F33" t="s">
        <v>57</v>
      </c>
      <c r="G33" t="s">
        <v>10</v>
      </c>
      <c r="H33" s="1">
        <f>VLOOKUP(A33, [1]Orders!A:B, 2, FALSE)</f>
        <v>43385</v>
      </c>
      <c r="I33" t="str">
        <f>VLOOKUP(A33, [1]Orders!A:E, 3, FALSE)</f>
        <v>Mane</v>
      </c>
      <c r="J33" t="str">
        <f>VLOOKUP(A33, [1]Orders!A:E, 4, FALSE)</f>
        <v>Andhra Pradesh</v>
      </c>
      <c r="K33" t="str">
        <f>VLOOKUP(A33, [1]Orders!A:E, 5, FALSE)</f>
        <v>Hyderabad</v>
      </c>
    </row>
    <row r="34" spans="1:11" x14ac:dyDescent="0.5">
      <c r="A34" t="s">
        <v>58</v>
      </c>
      <c r="B34">
        <v>1824</v>
      </c>
      <c r="C34">
        <v>1303</v>
      </c>
      <c r="D34">
        <v>8</v>
      </c>
      <c r="E34" t="s">
        <v>8</v>
      </c>
      <c r="F34" t="s">
        <v>21</v>
      </c>
      <c r="G34" t="s">
        <v>19</v>
      </c>
      <c r="H34" s="1">
        <f>VLOOKUP(A34, [1]Orders!A:B, 2, FALSE)</f>
        <v>43149</v>
      </c>
      <c r="I34" t="str">
        <f>VLOOKUP(A34, [1]Orders!A:E, 3, FALSE)</f>
        <v>Shrichand</v>
      </c>
      <c r="J34" t="str">
        <f>VLOOKUP(A34, [1]Orders!A:E, 4, FALSE)</f>
        <v>Punjab</v>
      </c>
      <c r="K34" t="str">
        <f>VLOOKUP(A34, [1]Orders!A:E, 5, FALSE)</f>
        <v>Chandigarh</v>
      </c>
    </row>
    <row r="35" spans="1:11" x14ac:dyDescent="0.5">
      <c r="A35" t="s">
        <v>59</v>
      </c>
      <c r="B35">
        <v>16</v>
      </c>
      <c r="C35">
        <v>-15</v>
      </c>
      <c r="D35">
        <v>4</v>
      </c>
      <c r="E35" t="s">
        <v>23</v>
      </c>
      <c r="F35" t="s">
        <v>30</v>
      </c>
      <c r="G35" t="s">
        <v>28</v>
      </c>
      <c r="H35" s="1">
        <f>VLOOKUP(A35, [1]Orders!A:B, 2, FALSE)</f>
        <v>43431</v>
      </c>
      <c r="I35" t="str">
        <f>VLOOKUP(A35, [1]Orders!A:E, 3, FALSE)</f>
        <v>Saptadeep</v>
      </c>
      <c r="J35" t="str">
        <f>VLOOKUP(A35, [1]Orders!A:E, 4, FALSE)</f>
        <v>Gujarat</v>
      </c>
      <c r="K35" t="str">
        <f>VLOOKUP(A35, [1]Orders!A:E, 5, FALSE)</f>
        <v>Surat</v>
      </c>
    </row>
    <row r="36" spans="1:11" x14ac:dyDescent="0.5">
      <c r="A36" t="s">
        <v>60</v>
      </c>
      <c r="B36">
        <v>1745</v>
      </c>
      <c r="C36">
        <v>122</v>
      </c>
      <c r="D36">
        <v>2</v>
      </c>
      <c r="E36" t="s">
        <v>12</v>
      </c>
      <c r="F36" t="s">
        <v>45</v>
      </c>
      <c r="G36" t="s">
        <v>19</v>
      </c>
      <c r="H36" s="1">
        <f>VLOOKUP(A36, [1]Orders!A:B, 2, FALSE)</f>
        <v>43139</v>
      </c>
      <c r="I36" t="str">
        <f>VLOOKUP(A36, [1]Orders!A:E, 3, FALSE)</f>
        <v>Hitesh</v>
      </c>
      <c r="J36" t="str">
        <f>VLOOKUP(A36, [1]Orders!A:E, 4, FALSE)</f>
        <v>Madhya Pradesh</v>
      </c>
      <c r="K36" t="str">
        <f>VLOOKUP(A36, [1]Orders!A:E, 5, FALSE)</f>
        <v>Bhopal</v>
      </c>
    </row>
    <row r="37" spans="1:11" x14ac:dyDescent="0.5">
      <c r="A37" t="s">
        <v>61</v>
      </c>
      <c r="B37">
        <v>663</v>
      </c>
      <c r="C37">
        <v>-212</v>
      </c>
      <c r="D37">
        <v>5</v>
      </c>
      <c r="E37" t="s">
        <v>8</v>
      </c>
      <c r="F37" t="s">
        <v>18</v>
      </c>
      <c r="G37" t="s">
        <v>28</v>
      </c>
      <c r="H37" s="1">
        <f>VLOOKUP(A37, [1]Orders!A:B, 2, FALSE)</f>
        <v>43187</v>
      </c>
      <c r="I37" t="str">
        <f>VLOOKUP(A37, [1]Orders!A:E, 3, FALSE)</f>
        <v>Vini</v>
      </c>
      <c r="J37" t="str">
        <f>VLOOKUP(A37, [1]Orders!A:E, 4, FALSE)</f>
        <v>Karnataka</v>
      </c>
      <c r="K37" t="str">
        <f>VLOOKUP(A37, [1]Orders!A:E, 5, FALSE)</f>
        <v>Bangalore</v>
      </c>
    </row>
    <row r="38" spans="1:11" x14ac:dyDescent="0.5">
      <c r="A38" t="s">
        <v>62</v>
      </c>
      <c r="B38">
        <v>10</v>
      </c>
      <c r="C38">
        <v>-1</v>
      </c>
      <c r="D38">
        <v>1</v>
      </c>
      <c r="E38" t="s">
        <v>23</v>
      </c>
      <c r="F38" t="s">
        <v>63</v>
      </c>
      <c r="G38" t="s">
        <v>28</v>
      </c>
      <c r="H38" s="1">
        <f>VLOOKUP(A38, [1]Orders!A:B, 2, FALSE)</f>
        <v>43286</v>
      </c>
      <c r="I38" t="str">
        <f>VLOOKUP(A38, [1]Orders!A:E, 3, FALSE)</f>
        <v>Megha</v>
      </c>
      <c r="J38" t="str">
        <f>VLOOKUP(A38, [1]Orders!A:E, 4, FALSE)</f>
        <v>Maharashtra</v>
      </c>
      <c r="K38" t="str">
        <f>VLOOKUP(A38, [1]Orders!A:E, 5, FALSE)</f>
        <v>Pune</v>
      </c>
    </row>
    <row r="39" spans="1:11" x14ac:dyDescent="0.5">
      <c r="A39" t="s">
        <v>64</v>
      </c>
      <c r="B39">
        <v>1630</v>
      </c>
      <c r="C39">
        <v>802</v>
      </c>
      <c r="D39">
        <v>5</v>
      </c>
      <c r="E39" t="s">
        <v>12</v>
      </c>
      <c r="F39" t="s">
        <v>45</v>
      </c>
      <c r="G39" t="s">
        <v>14</v>
      </c>
      <c r="H39" s="1">
        <f>VLOOKUP(A39, [1]Orders!A:B, 2, FALSE)</f>
        <v>43373</v>
      </c>
      <c r="I39" t="str">
        <f>VLOOKUP(A39, [1]Orders!A:E, 3, FALSE)</f>
        <v>Sauptik</v>
      </c>
      <c r="J39" t="str">
        <f>VLOOKUP(A39, [1]Orders!A:E, 4, FALSE)</f>
        <v>Madhya Pradesh</v>
      </c>
      <c r="K39" t="str">
        <f>VLOOKUP(A39, [1]Orders!A:E, 5, FALSE)</f>
        <v>Indore</v>
      </c>
    </row>
    <row r="40" spans="1:11" x14ac:dyDescent="0.5">
      <c r="A40" t="s">
        <v>65</v>
      </c>
      <c r="B40">
        <v>12</v>
      </c>
      <c r="C40">
        <v>0</v>
      </c>
      <c r="D40">
        <v>2</v>
      </c>
      <c r="E40" t="s">
        <v>23</v>
      </c>
      <c r="F40" t="s">
        <v>30</v>
      </c>
      <c r="G40" t="s">
        <v>28</v>
      </c>
      <c r="H40" s="1">
        <f>VLOOKUP(A40, [1]Orders!A:B, 2, FALSE)</f>
        <v>43208</v>
      </c>
      <c r="I40" t="str">
        <f>VLOOKUP(A40, [1]Orders!A:E, 3, FALSE)</f>
        <v>Manju</v>
      </c>
      <c r="J40" t="str">
        <f>VLOOKUP(A40, [1]Orders!A:E, 4, FALSE)</f>
        <v>Andhra Pradesh</v>
      </c>
      <c r="K40" t="str">
        <f>VLOOKUP(A40, [1]Orders!A:E, 5, FALSE)</f>
        <v>Hyderabad</v>
      </c>
    </row>
    <row r="41" spans="1:11" x14ac:dyDescent="0.5">
      <c r="A41" t="s">
        <v>66</v>
      </c>
      <c r="B41">
        <v>12</v>
      </c>
      <c r="C41">
        <v>-7</v>
      </c>
      <c r="D41">
        <v>2</v>
      </c>
      <c r="E41" t="s">
        <v>23</v>
      </c>
      <c r="F41" t="s">
        <v>63</v>
      </c>
      <c r="G41" t="s">
        <v>28</v>
      </c>
      <c r="H41" s="1">
        <f>VLOOKUP(A41, [1]Orders!A:B, 2, FALSE)</f>
        <v>43299</v>
      </c>
      <c r="I41" t="str">
        <f>VLOOKUP(A41, [1]Orders!A:E, 3, FALSE)</f>
        <v>Wale</v>
      </c>
      <c r="J41" t="str">
        <f>VLOOKUP(A41, [1]Orders!A:E, 4, FALSE)</f>
        <v>Maharashtra</v>
      </c>
      <c r="K41" t="str">
        <f>VLOOKUP(A41, [1]Orders!A:E, 5, FALSE)</f>
        <v>Mumbai</v>
      </c>
    </row>
    <row r="42" spans="1:11" x14ac:dyDescent="0.5">
      <c r="A42" t="s">
        <v>67</v>
      </c>
      <c r="B42">
        <v>1709</v>
      </c>
      <c r="C42">
        <v>564</v>
      </c>
      <c r="D42">
        <v>3</v>
      </c>
      <c r="E42" t="s">
        <v>23</v>
      </c>
      <c r="F42" t="s">
        <v>24</v>
      </c>
      <c r="G42" t="s">
        <v>19</v>
      </c>
      <c r="H42" s="1">
        <f>VLOOKUP(A42, [1]Orders!A:B, 2, FALSE)</f>
        <v>43331</v>
      </c>
      <c r="I42" t="str">
        <f>VLOOKUP(A42, [1]Orders!A:E, 3, FALSE)</f>
        <v>Shourya</v>
      </c>
      <c r="J42" t="str">
        <f>VLOOKUP(A42, [1]Orders!A:E, 4, FALSE)</f>
        <v xml:space="preserve">Kerala </v>
      </c>
      <c r="K42" t="str">
        <f>VLOOKUP(A42, [1]Orders!A:E, 5, FALSE)</f>
        <v>Thiruvananthapuram</v>
      </c>
    </row>
    <row r="43" spans="1:11" x14ac:dyDescent="0.5">
      <c r="A43" t="s">
        <v>68</v>
      </c>
      <c r="B43">
        <v>12</v>
      </c>
      <c r="C43">
        <v>3</v>
      </c>
      <c r="D43">
        <v>1</v>
      </c>
      <c r="E43" t="s">
        <v>23</v>
      </c>
      <c r="F43" t="s">
        <v>57</v>
      </c>
      <c r="G43" t="s">
        <v>28</v>
      </c>
      <c r="H43" s="1">
        <f>VLOOKUP(A43, [1]Orders!A:B, 2, FALSE)</f>
        <v>43364</v>
      </c>
      <c r="I43" t="str">
        <f>VLOOKUP(A43, [1]Orders!A:E, 3, FALSE)</f>
        <v>Dinesh</v>
      </c>
      <c r="J43" t="str">
        <f>VLOOKUP(A43, [1]Orders!A:E, 4, FALSE)</f>
        <v>Tamil Nadu</v>
      </c>
      <c r="K43" t="str">
        <f>VLOOKUP(A43, [1]Orders!A:E, 5, FALSE)</f>
        <v>Chennai</v>
      </c>
    </row>
    <row r="44" spans="1:11" x14ac:dyDescent="0.5">
      <c r="A44" t="s">
        <v>7</v>
      </c>
      <c r="B44">
        <v>1625</v>
      </c>
      <c r="C44">
        <v>-77</v>
      </c>
      <c r="D44">
        <v>3</v>
      </c>
      <c r="E44" t="s">
        <v>8</v>
      </c>
      <c r="F44" t="s">
        <v>21</v>
      </c>
      <c r="G44" t="s">
        <v>14</v>
      </c>
      <c r="H44" s="1">
        <f>VLOOKUP(A44, [1]Orders!A:B, 2, FALSE)</f>
        <v>43255</v>
      </c>
      <c r="I44" t="str">
        <f>VLOOKUP(A44, [1]Orders!A:E, 3, FALSE)</f>
        <v>Bhawna</v>
      </c>
      <c r="J44" t="str">
        <f>VLOOKUP(A44, [1]Orders!A:E, 4, FALSE)</f>
        <v>Madhya Pradesh</v>
      </c>
      <c r="K44" t="str">
        <f>VLOOKUP(A44, [1]Orders!A:E, 5, FALSE)</f>
        <v>Indore</v>
      </c>
    </row>
    <row r="45" spans="1:11" x14ac:dyDescent="0.5">
      <c r="A45" t="s">
        <v>69</v>
      </c>
      <c r="B45">
        <v>13</v>
      </c>
      <c r="C45">
        <v>5</v>
      </c>
      <c r="D45">
        <v>2</v>
      </c>
      <c r="E45" t="s">
        <v>23</v>
      </c>
      <c r="F45" t="s">
        <v>30</v>
      </c>
      <c r="G45" t="s">
        <v>28</v>
      </c>
      <c r="H45" s="1">
        <f>VLOOKUP(A45, [1]Orders!A:B, 2, FALSE)</f>
        <v>43134</v>
      </c>
      <c r="I45" t="str">
        <f>VLOOKUP(A45, [1]Orders!A:E, 3, FALSE)</f>
        <v>Mansi</v>
      </c>
      <c r="J45" t="str">
        <f>VLOOKUP(A45, [1]Orders!A:E, 4, FALSE)</f>
        <v>Madhya Pradesh</v>
      </c>
      <c r="K45" t="str">
        <f>VLOOKUP(A45, [1]Orders!A:E, 5, FALSE)</f>
        <v>Indore</v>
      </c>
    </row>
    <row r="46" spans="1:11" x14ac:dyDescent="0.5">
      <c r="A46" t="s">
        <v>70</v>
      </c>
      <c r="B46">
        <v>1361</v>
      </c>
      <c r="C46">
        <v>980</v>
      </c>
      <c r="D46">
        <v>3</v>
      </c>
      <c r="E46" t="s">
        <v>12</v>
      </c>
      <c r="F46" t="s">
        <v>45</v>
      </c>
      <c r="G46" t="s">
        <v>10</v>
      </c>
      <c r="H46" s="1">
        <f>VLOOKUP(A46, [1]Orders!A:B, 2, FALSE)</f>
        <v>43355</v>
      </c>
      <c r="I46" t="str">
        <f>VLOOKUP(A46, [1]Orders!A:E, 3, FALSE)</f>
        <v>Savi</v>
      </c>
      <c r="J46" t="str">
        <f>VLOOKUP(A46, [1]Orders!A:E, 4, FALSE)</f>
        <v>Maharashtra</v>
      </c>
      <c r="K46" t="str">
        <f>VLOOKUP(A46, [1]Orders!A:E, 5, FALSE)</f>
        <v>Pune</v>
      </c>
    </row>
    <row r="47" spans="1:11" x14ac:dyDescent="0.5">
      <c r="A47" t="s">
        <v>71</v>
      </c>
      <c r="B47">
        <v>1622</v>
      </c>
      <c r="C47">
        <v>-448</v>
      </c>
      <c r="D47">
        <v>3</v>
      </c>
      <c r="E47" t="s">
        <v>8</v>
      </c>
      <c r="F47" t="s">
        <v>21</v>
      </c>
      <c r="G47" t="s">
        <v>14</v>
      </c>
      <c r="H47" s="1">
        <f>VLOOKUP(A47, [1]Orders!A:B, 2, FALSE)</f>
        <v>43447</v>
      </c>
      <c r="I47" t="str">
        <f>VLOOKUP(A47, [1]Orders!A:E, 3, FALSE)</f>
        <v>Sujay</v>
      </c>
      <c r="J47" t="str">
        <f>VLOOKUP(A47, [1]Orders!A:E, 4, FALSE)</f>
        <v>Maharashtra</v>
      </c>
      <c r="K47" t="str">
        <f>VLOOKUP(A47, [1]Orders!A:E, 5, FALSE)</f>
        <v>Pune</v>
      </c>
    </row>
    <row r="48" spans="1:11" x14ac:dyDescent="0.5">
      <c r="A48" t="s">
        <v>72</v>
      </c>
      <c r="B48">
        <v>1547</v>
      </c>
      <c r="C48">
        <v>340</v>
      </c>
      <c r="D48">
        <v>6</v>
      </c>
      <c r="E48" t="s">
        <v>8</v>
      </c>
      <c r="F48" t="s">
        <v>73</v>
      </c>
      <c r="G48" t="s">
        <v>14</v>
      </c>
      <c r="H48" s="1">
        <f>VLOOKUP(A48, [1]Orders!A:B, 2, FALSE)</f>
        <v>43109</v>
      </c>
      <c r="I48" t="str">
        <f>VLOOKUP(A48, [1]Orders!A:E, 3, FALSE)</f>
        <v>Shardul</v>
      </c>
      <c r="J48" t="str">
        <f>VLOOKUP(A48, [1]Orders!A:E, 4, FALSE)</f>
        <v>Gujarat</v>
      </c>
      <c r="K48" t="str">
        <f>VLOOKUP(A48, [1]Orders!A:E, 5, FALSE)</f>
        <v>Ahmedabad</v>
      </c>
    </row>
    <row r="49" spans="1:11" x14ac:dyDescent="0.5">
      <c r="A49" t="s">
        <v>74</v>
      </c>
      <c r="B49">
        <v>1657</v>
      </c>
      <c r="C49">
        <v>460</v>
      </c>
      <c r="D49">
        <v>4</v>
      </c>
      <c r="E49" t="s">
        <v>12</v>
      </c>
      <c r="F49" t="s">
        <v>13</v>
      </c>
      <c r="G49" t="s">
        <v>19</v>
      </c>
      <c r="H49" s="1">
        <f>VLOOKUP(A49, [1]Orders!A:B, 2, FALSE)</f>
        <v>43104</v>
      </c>
      <c r="I49" t="str">
        <f>VLOOKUP(A49, [1]Orders!A:E, 3, FALSE)</f>
        <v>Sudhir</v>
      </c>
      <c r="J49" t="str">
        <f>VLOOKUP(A49, [1]Orders!A:E, 4, FALSE)</f>
        <v>Nagaland</v>
      </c>
      <c r="K49" t="str">
        <f>VLOOKUP(A49, [1]Orders!A:E, 5, FALSE)</f>
        <v>Kohima</v>
      </c>
    </row>
    <row r="50" spans="1:11" x14ac:dyDescent="0.5">
      <c r="A50" t="s">
        <v>75</v>
      </c>
      <c r="B50">
        <v>1603</v>
      </c>
      <c r="C50">
        <v>0</v>
      </c>
      <c r="D50">
        <v>9</v>
      </c>
      <c r="E50" t="s">
        <v>23</v>
      </c>
      <c r="F50" t="s">
        <v>26</v>
      </c>
      <c r="G50" t="s">
        <v>19</v>
      </c>
      <c r="H50" s="1">
        <f>VLOOKUP(A50, [1]Orders!A:B, 2, FALSE)</f>
        <v>43202</v>
      </c>
      <c r="I50" t="str">
        <f>VLOOKUP(A50, [1]Orders!A:E, 3, FALSE)</f>
        <v>Mohan</v>
      </c>
      <c r="J50" t="str">
        <f>VLOOKUP(A50, [1]Orders!A:E, 4, FALSE)</f>
        <v>Haryana</v>
      </c>
      <c r="K50" t="str">
        <f>VLOOKUP(A50, [1]Orders!A:E, 5, FALSE)</f>
        <v>Chandigarh</v>
      </c>
    </row>
    <row r="51" spans="1:11" x14ac:dyDescent="0.5">
      <c r="A51" t="s">
        <v>76</v>
      </c>
      <c r="B51">
        <v>1549</v>
      </c>
      <c r="C51">
        <v>-439</v>
      </c>
      <c r="D51">
        <v>4</v>
      </c>
      <c r="E51" t="s">
        <v>8</v>
      </c>
      <c r="F51" t="s">
        <v>21</v>
      </c>
      <c r="G51" t="s">
        <v>19</v>
      </c>
      <c r="H51" s="1">
        <f>VLOOKUP(A51, [1]Orders!A:B, 2, FALSE)</f>
        <v>43303</v>
      </c>
      <c r="I51" t="str">
        <f>VLOOKUP(A51, [1]Orders!A:E, 3, FALSE)</f>
        <v>Madhulika</v>
      </c>
      <c r="J51" t="str">
        <f>VLOOKUP(A51, [1]Orders!A:E, 4, FALSE)</f>
        <v>Madhya Pradesh</v>
      </c>
      <c r="K51" t="str">
        <f>VLOOKUP(A51, [1]Orders!A:E, 5, FALSE)</f>
        <v>Bhopal</v>
      </c>
    </row>
    <row r="52" spans="1:11" x14ac:dyDescent="0.5">
      <c r="A52" t="s">
        <v>77</v>
      </c>
      <c r="B52">
        <v>1183</v>
      </c>
      <c r="C52">
        <v>106</v>
      </c>
      <c r="D52">
        <v>4</v>
      </c>
      <c r="E52" t="s">
        <v>8</v>
      </c>
      <c r="F52" t="s">
        <v>18</v>
      </c>
      <c r="G52" t="s">
        <v>14</v>
      </c>
      <c r="H52" s="1">
        <f>VLOOKUP(A52, [1]Orders!A:B, 2, FALSE)</f>
        <v>43345</v>
      </c>
      <c r="I52" t="str">
        <f>VLOOKUP(A52, [1]Orders!A:E, 3, FALSE)</f>
        <v>Sanjana</v>
      </c>
      <c r="J52" t="str">
        <f>VLOOKUP(A52, [1]Orders!A:E, 4, FALSE)</f>
        <v>Bihar</v>
      </c>
      <c r="K52" t="str">
        <f>VLOOKUP(A52, [1]Orders!A:E, 5, FALSE)</f>
        <v>Patna</v>
      </c>
    </row>
    <row r="53" spans="1:11" x14ac:dyDescent="0.5">
      <c r="A53" t="s">
        <v>38</v>
      </c>
      <c r="B53">
        <v>74</v>
      </c>
      <c r="C53">
        <v>-123</v>
      </c>
      <c r="D53">
        <v>8</v>
      </c>
      <c r="E53" t="s">
        <v>23</v>
      </c>
      <c r="F53" t="s">
        <v>43</v>
      </c>
      <c r="G53" t="s">
        <v>28</v>
      </c>
      <c r="H53" s="1">
        <f>VLOOKUP(A53, [1]Orders!A:B, 2, FALSE)</f>
        <v>43231</v>
      </c>
      <c r="I53" t="str">
        <f>VLOOKUP(A53, [1]Orders!A:E, 3, FALSE)</f>
        <v>Nida</v>
      </c>
      <c r="J53" t="str">
        <f>VLOOKUP(A53, [1]Orders!A:E, 4, FALSE)</f>
        <v>Madhya Pradesh</v>
      </c>
      <c r="K53" t="str">
        <f>VLOOKUP(A53, [1]Orders!A:E, 5, FALSE)</f>
        <v>Indore</v>
      </c>
    </row>
    <row r="54" spans="1:11" x14ac:dyDescent="0.5">
      <c r="A54" t="s">
        <v>78</v>
      </c>
      <c r="B54">
        <v>1499</v>
      </c>
      <c r="C54">
        <v>239</v>
      </c>
      <c r="D54">
        <v>13</v>
      </c>
      <c r="E54" t="s">
        <v>23</v>
      </c>
      <c r="F54" t="s">
        <v>26</v>
      </c>
      <c r="G54" t="s">
        <v>19</v>
      </c>
      <c r="H54" s="1">
        <f>VLOOKUP(A54, [1]Orders!A:B, 2, FALSE)</f>
        <v>43217</v>
      </c>
      <c r="I54" t="str">
        <f>VLOOKUP(A54, [1]Orders!A:E, 3, FALSE)</f>
        <v>Paridhi</v>
      </c>
      <c r="J54" t="str">
        <f>VLOOKUP(A54, [1]Orders!A:E, 4, FALSE)</f>
        <v>Rajasthan</v>
      </c>
      <c r="K54" t="str">
        <f>VLOOKUP(A54, [1]Orders!A:E, 5, FALSE)</f>
        <v>Jaipur</v>
      </c>
    </row>
    <row r="55" spans="1:11" x14ac:dyDescent="0.5">
      <c r="A55" t="s">
        <v>79</v>
      </c>
      <c r="B55">
        <v>1120</v>
      </c>
      <c r="C55">
        <v>199</v>
      </c>
      <c r="D55">
        <v>6</v>
      </c>
      <c r="E55" t="s">
        <v>23</v>
      </c>
      <c r="F55" t="s">
        <v>26</v>
      </c>
      <c r="G55" t="s">
        <v>14</v>
      </c>
      <c r="H55" s="1">
        <f>VLOOKUP(A55, [1]Orders!A:B, 2, FALSE)</f>
        <v>43383</v>
      </c>
      <c r="I55" t="str">
        <f>VLOOKUP(A55, [1]Orders!A:E, 3, FALSE)</f>
        <v>Nripraj</v>
      </c>
      <c r="J55" t="str">
        <f>VLOOKUP(A55, [1]Orders!A:E, 4, FALSE)</f>
        <v>Punjab</v>
      </c>
      <c r="K55" t="str">
        <f>VLOOKUP(A55, [1]Orders!A:E, 5, FALSE)</f>
        <v>Chandigarh</v>
      </c>
    </row>
    <row r="56" spans="1:11" x14ac:dyDescent="0.5">
      <c r="A56" t="s">
        <v>80</v>
      </c>
      <c r="B56">
        <v>15</v>
      </c>
      <c r="C56">
        <v>-2</v>
      </c>
      <c r="D56">
        <v>1</v>
      </c>
      <c r="E56" t="s">
        <v>23</v>
      </c>
      <c r="F56" t="s">
        <v>81</v>
      </c>
      <c r="G56" t="s">
        <v>82</v>
      </c>
      <c r="H56" s="1">
        <f>VLOOKUP(A56, [1]Orders!A:B, 2, FALSE)</f>
        <v>43374</v>
      </c>
      <c r="I56" t="str">
        <f>VLOOKUP(A56, [1]Orders!A:E, 3, FALSE)</f>
        <v>Aryan</v>
      </c>
      <c r="J56" t="str">
        <f>VLOOKUP(A56, [1]Orders!A:E, 4, FALSE)</f>
        <v>Madhya Pradesh</v>
      </c>
      <c r="K56" t="str">
        <f>VLOOKUP(A56, [1]Orders!A:E, 5, FALSE)</f>
        <v>Bhopal</v>
      </c>
    </row>
    <row r="57" spans="1:11" x14ac:dyDescent="0.5">
      <c r="A57" t="s">
        <v>83</v>
      </c>
      <c r="B57">
        <v>1487</v>
      </c>
      <c r="C57">
        <v>624</v>
      </c>
      <c r="D57">
        <v>3</v>
      </c>
      <c r="E57" t="s">
        <v>23</v>
      </c>
      <c r="F57" t="s">
        <v>24</v>
      </c>
      <c r="G57" t="s">
        <v>19</v>
      </c>
      <c r="H57" s="1">
        <f>VLOOKUP(A57, [1]Orders!A:B, 2, FALSE)</f>
        <v>43185</v>
      </c>
      <c r="I57" t="str">
        <f>VLOOKUP(A57, [1]Orders!A:E, 3, FALSE)</f>
        <v>Shrichand</v>
      </c>
      <c r="J57" t="str">
        <f>VLOOKUP(A57, [1]Orders!A:E, 4, FALSE)</f>
        <v>Punjab</v>
      </c>
      <c r="K57" t="str">
        <f>VLOOKUP(A57, [1]Orders!A:E, 5, FALSE)</f>
        <v>Chandigarh</v>
      </c>
    </row>
    <row r="58" spans="1:11" x14ac:dyDescent="0.5">
      <c r="A58" t="s">
        <v>84</v>
      </c>
      <c r="B58">
        <v>1118</v>
      </c>
      <c r="C58">
        <v>206</v>
      </c>
      <c r="D58">
        <v>2</v>
      </c>
      <c r="E58" t="s">
        <v>12</v>
      </c>
      <c r="F58" t="s">
        <v>45</v>
      </c>
      <c r="G58" t="s">
        <v>19</v>
      </c>
      <c r="H58" s="1">
        <f>VLOOKUP(A58, [1]Orders!A:B, 2, FALSE)</f>
        <v>43422</v>
      </c>
      <c r="I58" t="str">
        <f>VLOOKUP(A58, [1]Orders!A:E, 3, FALSE)</f>
        <v>Vikash</v>
      </c>
      <c r="J58" t="str">
        <f>VLOOKUP(A58, [1]Orders!A:E, 4, FALSE)</f>
        <v>Goa</v>
      </c>
      <c r="K58" t="str">
        <f>VLOOKUP(A58, [1]Orders!A:E, 5, FALSE)</f>
        <v>Goa</v>
      </c>
    </row>
    <row r="59" spans="1:11" x14ac:dyDescent="0.5">
      <c r="A59" t="s">
        <v>85</v>
      </c>
      <c r="B59">
        <v>11</v>
      </c>
      <c r="C59">
        <v>-5</v>
      </c>
      <c r="D59">
        <v>2</v>
      </c>
      <c r="E59" t="s">
        <v>23</v>
      </c>
      <c r="F59" t="s">
        <v>30</v>
      </c>
      <c r="G59" t="s">
        <v>10</v>
      </c>
      <c r="H59" s="1">
        <f>VLOOKUP(A59, [1]Orders!A:B, 2, FALSE)</f>
        <v>43290</v>
      </c>
      <c r="I59" t="str">
        <f>VLOOKUP(A59, [1]Orders!A:E, 3, FALSE)</f>
        <v>Stuti</v>
      </c>
      <c r="J59" t="str">
        <f>VLOOKUP(A59, [1]Orders!A:E, 4, FALSE)</f>
        <v>Karnataka</v>
      </c>
      <c r="K59" t="str">
        <f>VLOOKUP(A59, [1]Orders!A:E, 5, FALSE)</f>
        <v>Bangalore</v>
      </c>
    </row>
    <row r="60" spans="1:11" x14ac:dyDescent="0.5">
      <c r="A60" t="s">
        <v>86</v>
      </c>
      <c r="B60">
        <v>15</v>
      </c>
      <c r="C60">
        <v>4</v>
      </c>
      <c r="D60">
        <v>1</v>
      </c>
      <c r="E60" t="s">
        <v>23</v>
      </c>
      <c r="F60" t="s">
        <v>30</v>
      </c>
      <c r="G60" t="s">
        <v>82</v>
      </c>
      <c r="H60" s="1">
        <f>VLOOKUP(A60, [1]Orders!A:B, 2, FALSE)</f>
        <v>43358</v>
      </c>
      <c r="I60" t="str">
        <f>VLOOKUP(A60, [1]Orders!A:E, 3, FALSE)</f>
        <v>Rohit</v>
      </c>
      <c r="J60" t="str">
        <f>VLOOKUP(A60, [1]Orders!A:E, 4, FALSE)</f>
        <v>Rajasthan</v>
      </c>
      <c r="K60" t="str">
        <f>VLOOKUP(A60, [1]Orders!A:E, 5, FALSE)</f>
        <v>Jaipur</v>
      </c>
    </row>
    <row r="61" spans="1:11" x14ac:dyDescent="0.5">
      <c r="A61" t="s">
        <v>87</v>
      </c>
      <c r="B61">
        <v>1364</v>
      </c>
      <c r="C61">
        <v>1864</v>
      </c>
      <c r="D61">
        <v>5</v>
      </c>
      <c r="E61" t="s">
        <v>12</v>
      </c>
      <c r="F61" t="s">
        <v>45</v>
      </c>
      <c r="G61" t="s">
        <v>19</v>
      </c>
      <c r="H61" s="1">
        <f>VLOOKUP(A61, [1]Orders!A:B, 2, FALSE)</f>
        <v>43198</v>
      </c>
      <c r="I61" t="str">
        <f>VLOOKUP(A61, [1]Orders!A:E, 3, FALSE)</f>
        <v>Aarushi</v>
      </c>
      <c r="J61" t="str">
        <f>VLOOKUP(A61, [1]Orders!A:E, 4, FALSE)</f>
        <v>Tamil Nadu</v>
      </c>
      <c r="K61" t="str">
        <f>VLOOKUP(A61, [1]Orders!A:E, 5, FALSE)</f>
        <v>Chennai</v>
      </c>
    </row>
    <row r="62" spans="1:11" x14ac:dyDescent="0.5">
      <c r="A62" t="s">
        <v>88</v>
      </c>
      <c r="B62">
        <v>1337</v>
      </c>
      <c r="C62">
        <v>147</v>
      </c>
      <c r="D62">
        <v>7</v>
      </c>
      <c r="E62" t="s">
        <v>8</v>
      </c>
      <c r="F62" t="s">
        <v>18</v>
      </c>
      <c r="G62" t="s">
        <v>19</v>
      </c>
      <c r="H62" s="1">
        <f>VLOOKUP(A62, [1]Orders!A:B, 2, FALSE)</f>
        <v>43166</v>
      </c>
      <c r="I62" t="str">
        <f>VLOOKUP(A62, [1]Orders!A:E, 3, FALSE)</f>
        <v>Parishi</v>
      </c>
      <c r="J62" t="str">
        <f>VLOOKUP(A62, [1]Orders!A:E, 4, FALSE)</f>
        <v>West Bengal</v>
      </c>
      <c r="K62" t="str">
        <f>VLOOKUP(A62, [1]Orders!A:E, 5, FALSE)</f>
        <v>Kolkata</v>
      </c>
    </row>
    <row r="63" spans="1:11" x14ac:dyDescent="0.5">
      <c r="A63" t="s">
        <v>89</v>
      </c>
      <c r="B63">
        <v>15</v>
      </c>
      <c r="C63">
        <v>2</v>
      </c>
      <c r="D63">
        <v>1</v>
      </c>
      <c r="E63" t="s">
        <v>23</v>
      </c>
      <c r="F63" t="s">
        <v>63</v>
      </c>
      <c r="G63" t="s">
        <v>82</v>
      </c>
      <c r="H63" s="1">
        <f>VLOOKUP(A63, [1]Orders!A:B, 2, FALSE)</f>
        <v>43443</v>
      </c>
      <c r="I63" t="str">
        <f>VLOOKUP(A63, [1]Orders!A:E, 3, FALSE)</f>
        <v>Anand</v>
      </c>
      <c r="J63" t="str">
        <f>VLOOKUP(A63, [1]Orders!A:E, 4, FALSE)</f>
        <v>Punjab</v>
      </c>
      <c r="K63" t="str">
        <f>VLOOKUP(A63, [1]Orders!A:E, 5, FALSE)</f>
        <v>Amritsar</v>
      </c>
    </row>
    <row r="64" spans="1:11" x14ac:dyDescent="0.5">
      <c r="A64" t="s">
        <v>90</v>
      </c>
      <c r="B64">
        <v>322</v>
      </c>
      <c r="C64">
        <v>-193</v>
      </c>
      <c r="D64">
        <v>5</v>
      </c>
      <c r="E64" t="s">
        <v>8</v>
      </c>
      <c r="F64" t="s">
        <v>18</v>
      </c>
      <c r="G64" t="s">
        <v>28</v>
      </c>
      <c r="H64" s="1">
        <f>VLOOKUP(A64, [1]Orders!A:B, 2, FALSE)</f>
        <v>43336</v>
      </c>
      <c r="I64" t="str">
        <f>VLOOKUP(A64, [1]Orders!A:E, 3, FALSE)</f>
        <v>Pooja</v>
      </c>
      <c r="J64" t="str">
        <f>VLOOKUP(A64, [1]Orders!A:E, 4, FALSE)</f>
        <v>Goa</v>
      </c>
      <c r="K64" t="str">
        <f>VLOOKUP(A64, [1]Orders!A:E, 5, FALSE)</f>
        <v>Goa</v>
      </c>
    </row>
    <row r="65" spans="1:11" x14ac:dyDescent="0.5">
      <c r="A65" t="s">
        <v>91</v>
      </c>
      <c r="B65">
        <v>1316</v>
      </c>
      <c r="C65">
        <v>527</v>
      </c>
      <c r="D65">
        <v>7</v>
      </c>
      <c r="E65" t="s">
        <v>8</v>
      </c>
      <c r="F65" t="s">
        <v>9</v>
      </c>
      <c r="G65" t="s">
        <v>19</v>
      </c>
      <c r="H65" s="1">
        <f>VLOOKUP(A65, [1]Orders!A:B, 2, FALSE)</f>
        <v>43338</v>
      </c>
      <c r="I65" t="str">
        <f>VLOOKUP(A65, [1]Orders!A:E, 3, FALSE)</f>
        <v>Anudeep</v>
      </c>
      <c r="J65" t="str">
        <f>VLOOKUP(A65, [1]Orders!A:E, 4, FALSE)</f>
        <v>Madhya Pradesh</v>
      </c>
      <c r="K65" t="str">
        <f>VLOOKUP(A65, [1]Orders!A:E, 5, FALSE)</f>
        <v>Indore</v>
      </c>
    </row>
    <row r="66" spans="1:11" x14ac:dyDescent="0.5">
      <c r="A66" t="s">
        <v>92</v>
      </c>
      <c r="B66">
        <v>1314</v>
      </c>
      <c r="C66">
        <v>342</v>
      </c>
      <c r="D66">
        <v>3</v>
      </c>
      <c r="E66" t="s">
        <v>12</v>
      </c>
      <c r="F66" t="s">
        <v>16</v>
      </c>
      <c r="G66" t="s">
        <v>19</v>
      </c>
      <c r="H66" s="1">
        <f>VLOOKUP(A66, [1]Orders!A:B, 2, FALSE)</f>
        <v>43135</v>
      </c>
      <c r="I66" t="str">
        <f>VLOOKUP(A66, [1]Orders!A:E, 3, FALSE)</f>
        <v>Yohann</v>
      </c>
      <c r="J66" t="str">
        <f>VLOOKUP(A66, [1]Orders!A:E, 4, FALSE)</f>
        <v>Delhi</v>
      </c>
      <c r="K66" t="str">
        <f>VLOOKUP(A66, [1]Orders!A:E, 5, FALSE)</f>
        <v>Delhi</v>
      </c>
    </row>
    <row r="67" spans="1:11" x14ac:dyDescent="0.5">
      <c r="A67" t="s">
        <v>93</v>
      </c>
      <c r="B67">
        <v>17</v>
      </c>
      <c r="C67">
        <v>7</v>
      </c>
      <c r="D67">
        <v>3</v>
      </c>
      <c r="E67" t="s">
        <v>23</v>
      </c>
      <c r="F67" t="s">
        <v>30</v>
      </c>
      <c r="G67" t="s">
        <v>82</v>
      </c>
      <c r="H67" s="1">
        <f>VLOOKUP(A67, [1]Orders!A:B, 2, FALSE)</f>
        <v>43121</v>
      </c>
      <c r="I67" t="str">
        <f>VLOOKUP(A67, [1]Orders!A:E, 3, FALSE)</f>
        <v>Saloni</v>
      </c>
      <c r="J67" t="str">
        <f>VLOOKUP(A67, [1]Orders!A:E, 4, FALSE)</f>
        <v>West Bengal</v>
      </c>
      <c r="K67" t="str">
        <f>VLOOKUP(A67, [1]Orders!A:E, 5, FALSE)</f>
        <v>Kolkata</v>
      </c>
    </row>
    <row r="68" spans="1:11" x14ac:dyDescent="0.5">
      <c r="A68" t="s">
        <v>94</v>
      </c>
      <c r="B68">
        <v>17</v>
      </c>
      <c r="C68">
        <v>2</v>
      </c>
      <c r="D68">
        <v>2</v>
      </c>
      <c r="E68" t="s">
        <v>23</v>
      </c>
      <c r="F68" t="s">
        <v>43</v>
      </c>
      <c r="G68" t="s">
        <v>82</v>
      </c>
      <c r="H68" s="1">
        <f>VLOOKUP(A68, [1]Orders!A:B, 2, FALSE)</f>
        <v>43121</v>
      </c>
      <c r="I68" t="str">
        <f>VLOOKUP(A68, [1]Orders!A:E, 3, FALSE)</f>
        <v>Sudevi</v>
      </c>
      <c r="J68" t="str">
        <f>VLOOKUP(A68, [1]Orders!A:E, 4, FALSE)</f>
        <v>Uttar Pradesh</v>
      </c>
      <c r="K68" t="str">
        <f>VLOOKUP(A68, [1]Orders!A:E, 5, FALSE)</f>
        <v>Prayagraj</v>
      </c>
    </row>
    <row r="69" spans="1:11" x14ac:dyDescent="0.5">
      <c r="A69" t="s">
        <v>95</v>
      </c>
      <c r="B69">
        <v>17</v>
      </c>
      <c r="C69">
        <v>-12</v>
      </c>
      <c r="D69">
        <v>5</v>
      </c>
      <c r="E69" t="s">
        <v>23</v>
      </c>
      <c r="F69" t="s">
        <v>43</v>
      </c>
      <c r="G69" t="s">
        <v>82</v>
      </c>
      <c r="H69" s="1">
        <f>VLOOKUP(A69, [1]Orders!A:B, 2, FALSE)</f>
        <v>43248</v>
      </c>
      <c r="I69" t="str">
        <f>VLOOKUP(A69, [1]Orders!A:E, 3, FALSE)</f>
        <v>Mahima</v>
      </c>
      <c r="J69" t="str">
        <f>VLOOKUP(A69, [1]Orders!A:E, 4, FALSE)</f>
        <v>Maharashtra</v>
      </c>
      <c r="K69" t="str">
        <f>VLOOKUP(A69, [1]Orders!A:E, 5, FALSE)</f>
        <v>Pune</v>
      </c>
    </row>
    <row r="70" spans="1:11" x14ac:dyDescent="0.5">
      <c r="A70" t="s">
        <v>96</v>
      </c>
      <c r="B70">
        <v>1308</v>
      </c>
      <c r="C70">
        <v>536</v>
      </c>
      <c r="D70">
        <v>3</v>
      </c>
      <c r="E70" t="s">
        <v>12</v>
      </c>
      <c r="F70" t="s">
        <v>16</v>
      </c>
      <c r="G70" t="s">
        <v>19</v>
      </c>
      <c r="H70" s="1">
        <f>VLOOKUP(A70, [1]Orders!A:B, 2, FALSE)</f>
        <v>43102</v>
      </c>
      <c r="I70" t="str">
        <f>VLOOKUP(A70, [1]Orders!A:E, 3, FALSE)</f>
        <v>Girase</v>
      </c>
      <c r="J70" t="str">
        <f>VLOOKUP(A70, [1]Orders!A:E, 4, FALSE)</f>
        <v xml:space="preserve">Kerala </v>
      </c>
      <c r="K70" t="str">
        <f>VLOOKUP(A70, [1]Orders!A:E, 5, FALSE)</f>
        <v>Thiruvananthapuram</v>
      </c>
    </row>
    <row r="71" spans="1:11" x14ac:dyDescent="0.5">
      <c r="A71" t="s">
        <v>97</v>
      </c>
      <c r="B71">
        <v>1076</v>
      </c>
      <c r="C71">
        <v>-38</v>
      </c>
      <c r="D71">
        <v>4</v>
      </c>
      <c r="E71" t="s">
        <v>8</v>
      </c>
      <c r="F71" t="s">
        <v>18</v>
      </c>
      <c r="G71" t="s">
        <v>19</v>
      </c>
      <c r="H71" s="1">
        <f>VLOOKUP(A71, [1]Orders!A:B, 2, FALSE)</f>
        <v>43353</v>
      </c>
      <c r="I71" t="str">
        <f>VLOOKUP(A71, [1]Orders!A:E, 3, FALSE)</f>
        <v>Aditi</v>
      </c>
      <c r="J71" t="str">
        <f>VLOOKUP(A71, [1]Orders!A:E, 4, FALSE)</f>
        <v>Madhya Pradesh</v>
      </c>
      <c r="K71" t="str">
        <f>VLOOKUP(A71, [1]Orders!A:E, 5, FALSE)</f>
        <v>Indore</v>
      </c>
    </row>
    <row r="72" spans="1:11" x14ac:dyDescent="0.5">
      <c r="A72" t="s">
        <v>98</v>
      </c>
      <c r="B72">
        <v>1301</v>
      </c>
      <c r="C72">
        <v>573</v>
      </c>
      <c r="D72">
        <v>5</v>
      </c>
      <c r="E72" t="s">
        <v>8</v>
      </c>
      <c r="F72" t="s">
        <v>73</v>
      </c>
      <c r="G72" t="s">
        <v>19</v>
      </c>
      <c r="H72" s="1">
        <f>VLOOKUP(A72, [1]Orders!A:B, 2, FALSE)</f>
        <v>43140</v>
      </c>
      <c r="I72" t="str">
        <f>VLOOKUP(A72, [1]Orders!A:E, 3, FALSE)</f>
        <v>Arpita</v>
      </c>
      <c r="J72" t="str">
        <f>VLOOKUP(A72, [1]Orders!A:E, 4, FALSE)</f>
        <v>Karnataka</v>
      </c>
      <c r="K72" t="str">
        <f>VLOOKUP(A72, [1]Orders!A:E, 5, FALSE)</f>
        <v>Bangalore</v>
      </c>
    </row>
    <row r="73" spans="1:11" x14ac:dyDescent="0.5">
      <c r="A73" t="s">
        <v>99</v>
      </c>
      <c r="B73">
        <v>1300</v>
      </c>
      <c r="C73">
        <v>-16</v>
      </c>
      <c r="D73">
        <v>8</v>
      </c>
      <c r="E73" t="s">
        <v>8</v>
      </c>
      <c r="F73" t="s">
        <v>18</v>
      </c>
      <c r="G73" t="s">
        <v>19</v>
      </c>
      <c r="H73" s="1">
        <f>VLOOKUP(A73, [1]Orders!A:B, 2, FALSE)</f>
        <v>43273</v>
      </c>
      <c r="I73" t="str">
        <f>VLOOKUP(A73, [1]Orders!A:E, 3, FALSE)</f>
        <v>Vijay</v>
      </c>
      <c r="J73" t="str">
        <f>VLOOKUP(A73, [1]Orders!A:E, 4, FALSE)</f>
        <v>Jammu and Kashmir</v>
      </c>
      <c r="K73" t="str">
        <f>VLOOKUP(A73, [1]Orders!A:E, 5, FALSE)</f>
        <v>Kashmir</v>
      </c>
    </row>
    <row r="74" spans="1:11" x14ac:dyDescent="0.5">
      <c r="A74" t="s">
        <v>100</v>
      </c>
      <c r="B74">
        <v>11</v>
      </c>
      <c r="C74">
        <v>-2</v>
      </c>
      <c r="D74">
        <v>4</v>
      </c>
      <c r="E74" t="s">
        <v>23</v>
      </c>
      <c r="F74" t="s">
        <v>30</v>
      </c>
      <c r="G74" t="s">
        <v>10</v>
      </c>
      <c r="H74" s="1">
        <f>VLOOKUP(A74, [1]Orders!A:B, 2, FALSE)</f>
        <v>43243</v>
      </c>
      <c r="I74" t="str">
        <f>VLOOKUP(A74, [1]Orders!A:E, 3, FALSE)</f>
        <v>Anjali</v>
      </c>
      <c r="J74" t="str">
        <f>VLOOKUP(A74, [1]Orders!A:E, 4, FALSE)</f>
        <v>Haryana</v>
      </c>
      <c r="K74" t="str">
        <f>VLOOKUP(A74, [1]Orders!A:E, 5, FALSE)</f>
        <v>Chandigarh</v>
      </c>
    </row>
    <row r="75" spans="1:11" x14ac:dyDescent="0.5">
      <c r="A75" t="s">
        <v>101</v>
      </c>
      <c r="B75">
        <v>1298</v>
      </c>
      <c r="C75">
        <v>65</v>
      </c>
      <c r="D75">
        <v>9</v>
      </c>
      <c r="E75" t="s">
        <v>8</v>
      </c>
      <c r="F75" t="s">
        <v>18</v>
      </c>
      <c r="G75" t="s">
        <v>14</v>
      </c>
      <c r="H75" s="1">
        <f>VLOOKUP(A75, [1]Orders!A:B, 2, FALSE)</f>
        <v>43402</v>
      </c>
      <c r="I75" t="str">
        <f>VLOOKUP(A75, [1]Orders!A:E, 3, FALSE)</f>
        <v>Arti</v>
      </c>
      <c r="J75" t="str">
        <f>VLOOKUP(A75, [1]Orders!A:E, 4, FALSE)</f>
        <v>Maharashtra</v>
      </c>
      <c r="K75" t="str">
        <f>VLOOKUP(A75, [1]Orders!A:E, 5, FALSE)</f>
        <v>Pune</v>
      </c>
    </row>
    <row r="76" spans="1:11" x14ac:dyDescent="0.5">
      <c r="A76" t="s">
        <v>102</v>
      </c>
      <c r="B76">
        <v>304</v>
      </c>
      <c r="C76">
        <v>97</v>
      </c>
      <c r="D76">
        <v>6</v>
      </c>
      <c r="E76" t="s">
        <v>23</v>
      </c>
      <c r="F76" t="s">
        <v>57</v>
      </c>
      <c r="G76" t="s">
        <v>28</v>
      </c>
      <c r="H76" s="1">
        <f>VLOOKUP(A76, [1]Orders!A:B, 2, FALSE)</f>
        <v>43130</v>
      </c>
      <c r="I76" t="str">
        <f>VLOOKUP(A76, [1]Orders!A:E, 3, FALSE)</f>
        <v>Kajal</v>
      </c>
      <c r="J76" t="str">
        <f>VLOOKUP(A76, [1]Orders!A:E, 4, FALSE)</f>
        <v>Delhi</v>
      </c>
      <c r="K76" t="str">
        <f>VLOOKUP(A76, [1]Orders!A:E, 5, FALSE)</f>
        <v>Delhi</v>
      </c>
    </row>
    <row r="77" spans="1:11" x14ac:dyDescent="0.5">
      <c r="A77" t="s">
        <v>103</v>
      </c>
      <c r="B77">
        <v>1055</v>
      </c>
      <c r="C77">
        <v>264</v>
      </c>
      <c r="D77">
        <v>4</v>
      </c>
      <c r="E77" t="s">
        <v>8</v>
      </c>
      <c r="F77" t="s">
        <v>18</v>
      </c>
      <c r="G77" t="s">
        <v>14</v>
      </c>
      <c r="H77" s="1">
        <f>VLOOKUP(A77, [1]Orders!A:B, 2, FALSE)</f>
        <v>43303</v>
      </c>
      <c r="I77" t="str">
        <f>VLOOKUP(A77, [1]Orders!A:E, 3, FALSE)</f>
        <v>Ameesha</v>
      </c>
      <c r="J77" t="str">
        <f>VLOOKUP(A77, [1]Orders!A:E, 4, FALSE)</f>
        <v>Maharashtra</v>
      </c>
      <c r="K77" t="str">
        <f>VLOOKUP(A77, [1]Orders!A:E, 5, FALSE)</f>
        <v>Pune</v>
      </c>
    </row>
    <row r="78" spans="1:11" x14ac:dyDescent="0.5">
      <c r="A78" t="s">
        <v>104</v>
      </c>
      <c r="B78">
        <v>17</v>
      </c>
      <c r="C78">
        <v>-13</v>
      </c>
      <c r="D78">
        <v>4</v>
      </c>
      <c r="E78" t="s">
        <v>23</v>
      </c>
      <c r="F78" t="s">
        <v>43</v>
      </c>
      <c r="G78" t="s">
        <v>82</v>
      </c>
      <c r="H78" s="1">
        <f>VLOOKUP(A78, [1]Orders!A:B, 2, FALSE)</f>
        <v>43333</v>
      </c>
      <c r="I78" t="str">
        <f>VLOOKUP(A78, [1]Orders!A:E, 3, FALSE)</f>
        <v>Vishakha</v>
      </c>
      <c r="J78" t="str">
        <f>VLOOKUP(A78, [1]Orders!A:E, 4, FALSE)</f>
        <v>Madhya Pradesh</v>
      </c>
      <c r="K78" t="str">
        <f>VLOOKUP(A78, [1]Orders!A:E, 5, FALSE)</f>
        <v>Indore</v>
      </c>
    </row>
    <row r="79" spans="1:11" x14ac:dyDescent="0.5">
      <c r="A79" t="s">
        <v>105</v>
      </c>
      <c r="B79">
        <v>147</v>
      </c>
      <c r="C79">
        <v>73</v>
      </c>
      <c r="D79">
        <v>3</v>
      </c>
      <c r="E79" t="s">
        <v>23</v>
      </c>
      <c r="F79" t="s">
        <v>57</v>
      </c>
      <c r="G79" t="s">
        <v>10</v>
      </c>
      <c r="H79" s="1">
        <f>VLOOKUP(A79, [1]Orders!A:B, 2, FALSE)</f>
        <v>43118</v>
      </c>
      <c r="I79" t="str">
        <f>VLOOKUP(A79, [1]Orders!A:E, 3, FALSE)</f>
        <v>Mahima</v>
      </c>
      <c r="J79" t="str">
        <f>VLOOKUP(A79, [1]Orders!A:E, 4, FALSE)</f>
        <v>Madhya Pradesh</v>
      </c>
      <c r="K79" t="str">
        <f>VLOOKUP(A79, [1]Orders!A:E, 5, FALSE)</f>
        <v>Indore</v>
      </c>
    </row>
    <row r="80" spans="1:11" x14ac:dyDescent="0.5">
      <c r="A80" t="s">
        <v>106</v>
      </c>
      <c r="B80">
        <v>965</v>
      </c>
      <c r="C80">
        <v>-68</v>
      </c>
      <c r="D80">
        <v>3</v>
      </c>
      <c r="E80" t="s">
        <v>8</v>
      </c>
      <c r="F80" t="s">
        <v>18</v>
      </c>
      <c r="G80" t="s">
        <v>10</v>
      </c>
      <c r="H80" s="1">
        <f>VLOOKUP(A80, [1]Orders!A:B, 2, FALSE)</f>
        <v>43173</v>
      </c>
      <c r="I80" t="str">
        <f>VLOOKUP(A80, [1]Orders!A:E, 3, FALSE)</f>
        <v>Anurag</v>
      </c>
      <c r="J80" t="str">
        <f>VLOOKUP(A80, [1]Orders!A:E, 4, FALSE)</f>
        <v>Madhya Pradesh</v>
      </c>
      <c r="K80" t="str">
        <f>VLOOKUP(A80, [1]Orders!A:E, 5, FALSE)</f>
        <v>Indore</v>
      </c>
    </row>
    <row r="81" spans="1:11" x14ac:dyDescent="0.5">
      <c r="A81" t="s">
        <v>42</v>
      </c>
      <c r="B81">
        <v>12</v>
      </c>
      <c r="C81">
        <v>-2</v>
      </c>
      <c r="D81">
        <v>3</v>
      </c>
      <c r="E81" t="s">
        <v>23</v>
      </c>
      <c r="F81" t="s">
        <v>30</v>
      </c>
      <c r="G81" t="s">
        <v>10</v>
      </c>
      <c r="H81" s="1">
        <f>VLOOKUP(A81, [1]Orders!A:B, 2, FALSE)</f>
        <v>43311</v>
      </c>
      <c r="I81" t="str">
        <f>VLOOKUP(A81, [1]Orders!A:E, 3, FALSE)</f>
        <v>Arindam</v>
      </c>
      <c r="J81" t="str">
        <f>VLOOKUP(A81, [1]Orders!A:E, 4, FALSE)</f>
        <v>Uttar Pradesh</v>
      </c>
      <c r="K81" t="str">
        <f>VLOOKUP(A81, [1]Orders!A:E, 5, FALSE)</f>
        <v>Lucknow</v>
      </c>
    </row>
    <row r="82" spans="1:11" x14ac:dyDescent="0.5">
      <c r="A82" t="s">
        <v>107</v>
      </c>
      <c r="B82">
        <v>14</v>
      </c>
      <c r="C82">
        <v>-2</v>
      </c>
      <c r="D82">
        <v>3</v>
      </c>
      <c r="E82" t="s">
        <v>23</v>
      </c>
      <c r="F82" t="s">
        <v>30</v>
      </c>
      <c r="G82" t="s">
        <v>28</v>
      </c>
      <c r="H82" s="1">
        <f>VLOOKUP(A82, [1]Orders!A:B, 2, FALSE)</f>
        <v>43205</v>
      </c>
      <c r="I82" t="str">
        <f>VLOOKUP(A82, [1]Orders!A:E, 3, FALSE)</f>
        <v>Kanak</v>
      </c>
      <c r="J82" t="str">
        <f>VLOOKUP(A82, [1]Orders!A:E, 4, FALSE)</f>
        <v>Goa</v>
      </c>
      <c r="K82" t="str">
        <f>VLOOKUP(A82, [1]Orders!A:E, 5, FALSE)</f>
        <v>Goa</v>
      </c>
    </row>
    <row r="83" spans="1:11" x14ac:dyDescent="0.5">
      <c r="A83" t="s">
        <v>108</v>
      </c>
      <c r="B83">
        <v>934</v>
      </c>
      <c r="C83">
        <v>-916</v>
      </c>
      <c r="D83">
        <v>7</v>
      </c>
      <c r="E83" t="s">
        <v>8</v>
      </c>
      <c r="F83" t="s">
        <v>9</v>
      </c>
      <c r="G83" t="s">
        <v>10</v>
      </c>
      <c r="H83" s="1">
        <f>VLOOKUP(A83, [1]Orders!A:B, 2, FALSE)</f>
        <v>43242</v>
      </c>
      <c r="I83" t="str">
        <f>VLOOKUP(A83, [1]Orders!A:E, 3, FALSE)</f>
        <v>Tanvi</v>
      </c>
      <c r="J83" t="str">
        <f>VLOOKUP(A83, [1]Orders!A:E, 4, FALSE)</f>
        <v>Punjab</v>
      </c>
      <c r="K83" t="str">
        <f>VLOOKUP(A83, [1]Orders!A:E, 5, FALSE)</f>
        <v>Chandigarh</v>
      </c>
    </row>
    <row r="84" spans="1:11" x14ac:dyDescent="0.5">
      <c r="A84" t="s">
        <v>109</v>
      </c>
      <c r="B84">
        <v>929</v>
      </c>
      <c r="C84">
        <v>-93</v>
      </c>
      <c r="D84">
        <v>9</v>
      </c>
      <c r="E84" t="s">
        <v>23</v>
      </c>
      <c r="F84" t="s">
        <v>26</v>
      </c>
      <c r="G84" t="s">
        <v>10</v>
      </c>
      <c r="H84" s="1">
        <f>VLOOKUP(A84, [1]Orders!A:B, 2, FALSE)</f>
        <v>43251</v>
      </c>
      <c r="I84" t="str">
        <f>VLOOKUP(A84, [1]Orders!A:E, 3, FALSE)</f>
        <v>Shreya</v>
      </c>
      <c r="J84" t="str">
        <f>VLOOKUP(A84, [1]Orders!A:E, 4, FALSE)</f>
        <v>Madhya Pradesh</v>
      </c>
      <c r="K84" t="str">
        <f>VLOOKUP(A84, [1]Orders!A:E, 5, FALSE)</f>
        <v>Bhopal</v>
      </c>
    </row>
    <row r="85" spans="1:11" x14ac:dyDescent="0.5">
      <c r="A85" t="s">
        <v>110</v>
      </c>
      <c r="B85">
        <v>18</v>
      </c>
      <c r="C85">
        <v>3</v>
      </c>
      <c r="D85">
        <v>2</v>
      </c>
      <c r="E85" t="s">
        <v>23</v>
      </c>
      <c r="F85" t="s">
        <v>30</v>
      </c>
      <c r="G85" t="s">
        <v>82</v>
      </c>
      <c r="H85" s="1">
        <f>VLOOKUP(A85, [1]Orders!A:B, 2, FALSE)</f>
        <v>43181</v>
      </c>
      <c r="I85" t="str">
        <f>VLOOKUP(A85, [1]Orders!A:E, 3, FALSE)</f>
        <v>Hazel</v>
      </c>
      <c r="J85" t="str">
        <f>VLOOKUP(A85, [1]Orders!A:E, 4, FALSE)</f>
        <v>Karnataka</v>
      </c>
      <c r="K85" t="str">
        <f>VLOOKUP(A85, [1]Orders!A:E, 5, FALSE)</f>
        <v>Bangalore</v>
      </c>
    </row>
    <row r="86" spans="1:11" x14ac:dyDescent="0.5">
      <c r="A86" t="s">
        <v>111</v>
      </c>
      <c r="B86">
        <v>916</v>
      </c>
      <c r="C86">
        <v>192</v>
      </c>
      <c r="D86">
        <v>11</v>
      </c>
      <c r="E86" t="s">
        <v>8</v>
      </c>
      <c r="F86" t="s">
        <v>21</v>
      </c>
      <c r="G86" t="s">
        <v>10</v>
      </c>
      <c r="H86" s="1">
        <f>VLOOKUP(A86, [1]Orders!A:B, 2, FALSE)</f>
        <v>43409</v>
      </c>
      <c r="I86" t="str">
        <f>VLOOKUP(A86, [1]Orders!A:E, 3, FALSE)</f>
        <v>Abhishek</v>
      </c>
      <c r="J86" t="str">
        <f>VLOOKUP(A86, [1]Orders!A:E, 4, FALSE)</f>
        <v>Goa</v>
      </c>
      <c r="K86" t="str">
        <f>VLOOKUP(A86, [1]Orders!A:E, 5, FALSE)</f>
        <v>Goa</v>
      </c>
    </row>
    <row r="87" spans="1:11" x14ac:dyDescent="0.5">
      <c r="A87" t="s">
        <v>112</v>
      </c>
      <c r="B87">
        <v>76</v>
      </c>
      <c r="C87">
        <v>-72</v>
      </c>
      <c r="D87">
        <v>9</v>
      </c>
      <c r="E87" t="s">
        <v>23</v>
      </c>
      <c r="F87" t="s">
        <v>30</v>
      </c>
      <c r="G87" t="s">
        <v>10</v>
      </c>
      <c r="H87" s="1">
        <f>VLOOKUP(A87, [1]Orders!A:B, 2, FALSE)</f>
        <v>43269</v>
      </c>
      <c r="I87" t="str">
        <f>VLOOKUP(A87, [1]Orders!A:E, 3, FALSE)</f>
        <v>Parna</v>
      </c>
      <c r="J87" t="str">
        <f>VLOOKUP(A87, [1]Orders!A:E, 4, FALSE)</f>
        <v>Madhya Pradesh</v>
      </c>
      <c r="K87" t="str">
        <f>VLOOKUP(A87, [1]Orders!A:E, 5, FALSE)</f>
        <v>Bhopal</v>
      </c>
    </row>
    <row r="88" spans="1:11" x14ac:dyDescent="0.5">
      <c r="A88" t="s">
        <v>113</v>
      </c>
      <c r="B88">
        <v>869</v>
      </c>
      <c r="C88">
        <v>67</v>
      </c>
      <c r="D88">
        <v>4</v>
      </c>
      <c r="E88" t="s">
        <v>12</v>
      </c>
      <c r="F88" t="s">
        <v>45</v>
      </c>
      <c r="G88" t="s">
        <v>10</v>
      </c>
      <c r="H88" s="1">
        <f>VLOOKUP(A88, [1]Orders!A:B, 2, FALSE)</f>
        <v>43411</v>
      </c>
      <c r="I88" t="str">
        <f>VLOOKUP(A88, [1]Orders!A:E, 3, FALSE)</f>
        <v>Soumyabrata</v>
      </c>
      <c r="J88" t="str">
        <f>VLOOKUP(A88, [1]Orders!A:E, 4, FALSE)</f>
        <v>Andhra Pradesh</v>
      </c>
      <c r="K88" t="str">
        <f>VLOOKUP(A88, [1]Orders!A:E, 5, FALSE)</f>
        <v>Hyderabad</v>
      </c>
    </row>
    <row r="89" spans="1:11" x14ac:dyDescent="0.5">
      <c r="A89" t="s">
        <v>114</v>
      </c>
      <c r="B89">
        <v>112</v>
      </c>
      <c r="C89">
        <v>24</v>
      </c>
      <c r="D89">
        <v>3</v>
      </c>
      <c r="E89" t="s">
        <v>23</v>
      </c>
      <c r="F89" t="s">
        <v>32</v>
      </c>
      <c r="G89" t="s">
        <v>10</v>
      </c>
      <c r="H89" s="1">
        <f>VLOOKUP(A89, [1]Orders!A:B, 2, FALSE)</f>
        <v>43419</v>
      </c>
      <c r="I89" t="str">
        <f>VLOOKUP(A89, [1]Orders!A:E, 3, FALSE)</f>
        <v>Akshay</v>
      </c>
      <c r="J89" t="str">
        <f>VLOOKUP(A89, [1]Orders!A:E, 4, FALSE)</f>
        <v>Tamil Nadu</v>
      </c>
      <c r="K89" t="str">
        <f>VLOOKUP(A89, [1]Orders!A:E, 5, FALSE)</f>
        <v>Chennai</v>
      </c>
    </row>
    <row r="90" spans="1:11" x14ac:dyDescent="0.5">
      <c r="A90" t="s">
        <v>41</v>
      </c>
      <c r="B90">
        <v>39</v>
      </c>
      <c r="C90">
        <v>16</v>
      </c>
      <c r="D90">
        <v>6</v>
      </c>
      <c r="E90" t="s">
        <v>23</v>
      </c>
      <c r="F90" t="s">
        <v>43</v>
      </c>
      <c r="G90" t="s">
        <v>28</v>
      </c>
      <c r="H90" s="1">
        <f>VLOOKUP(A90, [1]Orders!A:B, 2, FALSE)</f>
        <v>43412</v>
      </c>
      <c r="I90" t="str">
        <f>VLOOKUP(A90, [1]Orders!A:E, 3, FALSE)</f>
        <v>Gaurav</v>
      </c>
      <c r="J90" t="str">
        <f>VLOOKUP(A90, [1]Orders!A:E, 4, FALSE)</f>
        <v>Gujarat</v>
      </c>
      <c r="K90" t="str">
        <f>VLOOKUP(A90, [1]Orders!A:E, 5, FALSE)</f>
        <v>Ahmedabad</v>
      </c>
    </row>
    <row r="91" spans="1:11" x14ac:dyDescent="0.5">
      <c r="A91" t="s">
        <v>115</v>
      </c>
      <c r="B91">
        <v>857</v>
      </c>
      <c r="C91">
        <v>-274</v>
      </c>
      <c r="D91">
        <v>2</v>
      </c>
      <c r="E91" t="s">
        <v>12</v>
      </c>
      <c r="F91" t="s">
        <v>45</v>
      </c>
      <c r="G91" t="s">
        <v>10</v>
      </c>
      <c r="H91" s="1">
        <f>VLOOKUP(A91, [1]Orders!A:B, 2, FALSE)</f>
        <v>43441</v>
      </c>
      <c r="I91" t="str">
        <f>VLOOKUP(A91, [1]Orders!A:E, 3, FALSE)</f>
        <v>Abhishek</v>
      </c>
      <c r="J91" t="str">
        <f>VLOOKUP(A91, [1]Orders!A:E, 4, FALSE)</f>
        <v>Rajasthan</v>
      </c>
      <c r="K91" t="str">
        <f>VLOOKUP(A91, [1]Orders!A:E, 5, FALSE)</f>
        <v>Udaipur</v>
      </c>
    </row>
    <row r="92" spans="1:11" x14ac:dyDescent="0.5">
      <c r="A92" t="s">
        <v>116</v>
      </c>
      <c r="B92">
        <v>828</v>
      </c>
      <c r="C92">
        <v>230</v>
      </c>
      <c r="D92">
        <v>2</v>
      </c>
      <c r="E92" t="s">
        <v>12</v>
      </c>
      <c r="F92" t="s">
        <v>13</v>
      </c>
      <c r="G92" t="s">
        <v>10</v>
      </c>
      <c r="H92" s="1">
        <f>VLOOKUP(A92, [1]Orders!A:B, 2, FALSE)</f>
        <v>43190</v>
      </c>
      <c r="I92" t="str">
        <f>VLOOKUP(A92, [1]Orders!A:E, 3, FALSE)</f>
        <v>Hitika</v>
      </c>
      <c r="J92" t="str">
        <f>VLOOKUP(A92, [1]Orders!A:E, 4, FALSE)</f>
        <v>Madhya Pradesh</v>
      </c>
      <c r="K92" t="str">
        <f>VLOOKUP(A92, [1]Orders!A:E, 5, FALSE)</f>
        <v>Indore</v>
      </c>
    </row>
    <row r="93" spans="1:11" x14ac:dyDescent="0.5">
      <c r="A93" t="s">
        <v>117</v>
      </c>
      <c r="B93">
        <v>1279</v>
      </c>
      <c r="C93">
        <v>-640</v>
      </c>
      <c r="D93">
        <v>8</v>
      </c>
      <c r="E93" t="s">
        <v>8</v>
      </c>
      <c r="F93" t="s">
        <v>18</v>
      </c>
      <c r="G93" t="s">
        <v>14</v>
      </c>
      <c r="H93" s="1">
        <f>VLOOKUP(A93, [1]Orders!A:B, 2, FALSE)</f>
        <v>43228</v>
      </c>
      <c r="I93" t="str">
        <f>VLOOKUP(A93, [1]Orders!A:E, 3, FALSE)</f>
        <v>Farah</v>
      </c>
      <c r="J93" t="str">
        <f>VLOOKUP(A93, [1]Orders!A:E, 4, FALSE)</f>
        <v>Nagaland</v>
      </c>
      <c r="K93" t="str">
        <f>VLOOKUP(A93, [1]Orders!A:E, 5, FALSE)</f>
        <v>Kohima</v>
      </c>
    </row>
    <row r="94" spans="1:11" x14ac:dyDescent="0.5">
      <c r="A94" t="s">
        <v>118</v>
      </c>
      <c r="B94">
        <v>1250</v>
      </c>
      <c r="C94">
        <v>486</v>
      </c>
      <c r="D94">
        <v>7</v>
      </c>
      <c r="E94" t="s">
        <v>23</v>
      </c>
      <c r="F94" t="s">
        <v>26</v>
      </c>
      <c r="G94" t="s">
        <v>14</v>
      </c>
      <c r="H94" s="1">
        <f>VLOOKUP(A94, [1]Orders!A:B, 2, FALSE)</f>
        <v>43403</v>
      </c>
      <c r="I94" t="str">
        <f>VLOOKUP(A94, [1]Orders!A:E, 3, FALSE)</f>
        <v>Pranjali</v>
      </c>
      <c r="J94" t="str">
        <f>VLOOKUP(A94, [1]Orders!A:E, 4, FALSE)</f>
        <v>West Bengal</v>
      </c>
      <c r="K94" t="str">
        <f>VLOOKUP(A94, [1]Orders!A:E, 5, FALSE)</f>
        <v>Kolkata</v>
      </c>
    </row>
    <row r="95" spans="1:11" x14ac:dyDescent="0.5">
      <c r="A95" t="s">
        <v>119</v>
      </c>
      <c r="B95">
        <v>823</v>
      </c>
      <c r="C95">
        <v>-18</v>
      </c>
      <c r="D95">
        <v>7</v>
      </c>
      <c r="E95" t="s">
        <v>12</v>
      </c>
      <c r="F95" t="s">
        <v>13</v>
      </c>
      <c r="G95" t="s">
        <v>10</v>
      </c>
      <c r="H95" s="1">
        <f>VLOOKUP(A95, [1]Orders!A:B, 2, FALSE)</f>
        <v>43227</v>
      </c>
      <c r="I95" t="str">
        <f>VLOOKUP(A95, [1]Orders!A:E, 3, FALSE)</f>
        <v>Anurag</v>
      </c>
      <c r="J95" t="str">
        <f>VLOOKUP(A95, [1]Orders!A:E, 4, FALSE)</f>
        <v>Madhya Pradesh</v>
      </c>
      <c r="K95" t="str">
        <f>VLOOKUP(A95, [1]Orders!A:E, 5, FALSE)</f>
        <v>Indore</v>
      </c>
    </row>
    <row r="96" spans="1:11" x14ac:dyDescent="0.5">
      <c r="A96" t="s">
        <v>105</v>
      </c>
      <c r="B96">
        <v>1157</v>
      </c>
      <c r="C96">
        <v>-13</v>
      </c>
      <c r="D96">
        <v>9</v>
      </c>
      <c r="E96" t="s">
        <v>12</v>
      </c>
      <c r="F96" t="s">
        <v>16</v>
      </c>
      <c r="G96" t="s">
        <v>19</v>
      </c>
      <c r="H96" s="1">
        <f>VLOOKUP(A96, [1]Orders!A:B, 2, FALSE)</f>
        <v>43118</v>
      </c>
      <c r="I96" t="str">
        <f>VLOOKUP(A96, [1]Orders!A:E, 3, FALSE)</f>
        <v>Mahima</v>
      </c>
      <c r="J96" t="str">
        <f>VLOOKUP(A96, [1]Orders!A:E, 4, FALSE)</f>
        <v>Madhya Pradesh</v>
      </c>
      <c r="K96" t="str">
        <f>VLOOKUP(A96, [1]Orders!A:E, 5, FALSE)</f>
        <v>Indore</v>
      </c>
    </row>
    <row r="97" spans="1:11" x14ac:dyDescent="0.5">
      <c r="A97" t="s">
        <v>120</v>
      </c>
      <c r="B97">
        <v>126</v>
      </c>
      <c r="C97">
        <v>-63</v>
      </c>
      <c r="D97">
        <v>3</v>
      </c>
      <c r="E97" t="s">
        <v>8</v>
      </c>
      <c r="F97" t="s">
        <v>73</v>
      </c>
      <c r="G97" t="s">
        <v>28</v>
      </c>
      <c r="H97" s="1">
        <f>VLOOKUP(A97, [1]Orders!A:B, 2, FALSE)</f>
        <v>43280</v>
      </c>
      <c r="I97" t="str">
        <f>VLOOKUP(A97, [1]Orders!A:E, 3, FALSE)</f>
        <v>Riya</v>
      </c>
      <c r="J97" t="str">
        <f>VLOOKUP(A97, [1]Orders!A:E, 4, FALSE)</f>
        <v>Maharashtra</v>
      </c>
      <c r="K97" t="str">
        <f>VLOOKUP(A97, [1]Orders!A:E, 5, FALSE)</f>
        <v>Mumbai</v>
      </c>
    </row>
    <row r="98" spans="1:11" x14ac:dyDescent="0.5">
      <c r="A98" t="s">
        <v>121</v>
      </c>
      <c r="B98">
        <v>1145</v>
      </c>
      <c r="C98">
        <v>-706</v>
      </c>
      <c r="D98">
        <v>3</v>
      </c>
      <c r="E98" t="s">
        <v>8</v>
      </c>
      <c r="F98" t="s">
        <v>21</v>
      </c>
      <c r="G98" t="s">
        <v>19</v>
      </c>
      <c r="H98" s="1">
        <f>VLOOKUP(A98, [1]Orders!A:B, 2, FALSE)</f>
        <v>43303</v>
      </c>
      <c r="I98" t="str">
        <f>VLOOKUP(A98, [1]Orders!A:E, 3, FALSE)</f>
        <v>Rishabh</v>
      </c>
      <c r="J98" t="str">
        <f>VLOOKUP(A98, [1]Orders!A:E, 4, FALSE)</f>
        <v>Rajasthan</v>
      </c>
      <c r="K98" t="str">
        <f>VLOOKUP(A98, [1]Orders!A:E, 5, FALSE)</f>
        <v>Jaipur</v>
      </c>
    </row>
    <row r="99" spans="1:11" x14ac:dyDescent="0.5">
      <c r="A99" t="s">
        <v>122</v>
      </c>
      <c r="B99">
        <v>774</v>
      </c>
      <c r="C99">
        <v>170</v>
      </c>
      <c r="D99">
        <v>3</v>
      </c>
      <c r="E99" t="s">
        <v>8</v>
      </c>
      <c r="F99" t="s">
        <v>73</v>
      </c>
      <c r="G99" t="s">
        <v>10</v>
      </c>
      <c r="H99" s="1">
        <f>VLOOKUP(A99, [1]Orders!A:B, 2, FALSE)</f>
        <v>43167</v>
      </c>
      <c r="I99" t="str">
        <f>VLOOKUP(A99, [1]Orders!A:E, 3, FALSE)</f>
        <v>Ajay</v>
      </c>
      <c r="J99" t="str">
        <f>VLOOKUP(A99, [1]Orders!A:E, 4, FALSE)</f>
        <v>Karnataka</v>
      </c>
      <c r="K99" t="str">
        <f>VLOOKUP(A99, [1]Orders!A:E, 5, FALSE)</f>
        <v>Bangalore</v>
      </c>
    </row>
    <row r="100" spans="1:11" x14ac:dyDescent="0.5">
      <c r="A100" t="s">
        <v>123</v>
      </c>
      <c r="B100">
        <v>24</v>
      </c>
      <c r="C100">
        <v>-1</v>
      </c>
      <c r="D100">
        <v>2</v>
      </c>
      <c r="E100" t="s">
        <v>23</v>
      </c>
      <c r="F100" t="s">
        <v>30</v>
      </c>
      <c r="G100" t="s">
        <v>10</v>
      </c>
      <c r="H100" s="1">
        <f>VLOOKUP(A100, [1]Orders!A:B, 2, FALSE)</f>
        <v>43231</v>
      </c>
      <c r="I100" t="str">
        <f>VLOOKUP(A100, [1]Orders!A:E, 3, FALSE)</f>
        <v>Priyanka</v>
      </c>
      <c r="J100" t="str">
        <f>VLOOKUP(A100, [1]Orders!A:E, 4, FALSE)</f>
        <v>Maharashtra</v>
      </c>
      <c r="K100" t="str">
        <f>VLOOKUP(A100, [1]Orders!A:E, 5, FALSE)</f>
        <v>Pune</v>
      </c>
    </row>
    <row r="101" spans="1:11" x14ac:dyDescent="0.5">
      <c r="A101" t="s">
        <v>124</v>
      </c>
      <c r="B101">
        <v>774</v>
      </c>
      <c r="C101">
        <v>170</v>
      </c>
      <c r="D101">
        <v>3</v>
      </c>
      <c r="E101" t="s">
        <v>8</v>
      </c>
      <c r="F101" t="s">
        <v>73</v>
      </c>
      <c r="G101" t="s">
        <v>10</v>
      </c>
      <c r="H101" s="1">
        <f>VLOOKUP(A101, [1]Orders!A:B, 2, FALSE)</f>
        <v>43153</v>
      </c>
      <c r="I101" t="str">
        <f>VLOOKUP(A101, [1]Orders!A:E, 3, FALSE)</f>
        <v>Atharv</v>
      </c>
      <c r="J101" t="str">
        <f>VLOOKUP(A101, [1]Orders!A:E, 4, FALSE)</f>
        <v>West Bengal</v>
      </c>
      <c r="K101" t="str">
        <f>VLOOKUP(A101, [1]Orders!A:E, 5, FALSE)</f>
        <v>Kolkata</v>
      </c>
    </row>
    <row r="102" spans="1:11" x14ac:dyDescent="0.5">
      <c r="A102" t="s">
        <v>111</v>
      </c>
      <c r="B102">
        <v>93</v>
      </c>
      <c r="C102">
        <v>-1</v>
      </c>
      <c r="D102">
        <v>2</v>
      </c>
      <c r="E102" t="s">
        <v>23</v>
      </c>
      <c r="F102" t="s">
        <v>30</v>
      </c>
      <c r="G102" t="s">
        <v>10</v>
      </c>
      <c r="H102" s="1">
        <f>VLOOKUP(A102, [1]Orders!A:B, 2, FALSE)</f>
        <v>43409</v>
      </c>
      <c r="I102" t="str">
        <f>VLOOKUP(A102, [1]Orders!A:E, 3, FALSE)</f>
        <v>Abhishek</v>
      </c>
      <c r="J102" t="str">
        <f>VLOOKUP(A102, [1]Orders!A:E, 4, FALSE)</f>
        <v>Goa</v>
      </c>
      <c r="K102" t="str">
        <f>VLOOKUP(A102, [1]Orders!A:E, 5, FALSE)</f>
        <v>Goa</v>
      </c>
    </row>
    <row r="103" spans="1:11" x14ac:dyDescent="0.5">
      <c r="A103" t="s">
        <v>125</v>
      </c>
      <c r="B103">
        <v>765</v>
      </c>
      <c r="C103">
        <v>-36</v>
      </c>
      <c r="D103">
        <v>3</v>
      </c>
      <c r="E103" t="s">
        <v>8</v>
      </c>
      <c r="F103" t="s">
        <v>9</v>
      </c>
      <c r="G103" t="s">
        <v>10</v>
      </c>
      <c r="H103" s="1">
        <f>VLOOKUP(A103, [1]Orders!A:B, 2, FALSE)</f>
        <v>43111</v>
      </c>
      <c r="I103" t="str">
        <f>VLOOKUP(A103, [1]Orders!A:E, 3, FALSE)</f>
        <v>Mhatre</v>
      </c>
      <c r="J103" t="str">
        <f>VLOOKUP(A103, [1]Orders!A:E, 4, FALSE)</f>
        <v>Madhya Pradesh</v>
      </c>
      <c r="K103" t="str">
        <f>VLOOKUP(A103, [1]Orders!A:E, 5, FALSE)</f>
        <v>Indore</v>
      </c>
    </row>
    <row r="104" spans="1:11" x14ac:dyDescent="0.5">
      <c r="A104" t="s">
        <v>126</v>
      </c>
      <c r="B104">
        <v>762</v>
      </c>
      <c r="C104">
        <v>101</v>
      </c>
      <c r="D104">
        <v>6</v>
      </c>
      <c r="E104" t="s">
        <v>8</v>
      </c>
      <c r="F104" t="s">
        <v>18</v>
      </c>
      <c r="G104" t="s">
        <v>10</v>
      </c>
      <c r="H104" s="1">
        <f>VLOOKUP(A104, [1]Orders!A:B, 2, FALSE)</f>
        <v>43185</v>
      </c>
      <c r="I104" t="str">
        <f>VLOOKUP(A104, [1]Orders!A:E, 3, FALSE)</f>
        <v>Mukesh</v>
      </c>
      <c r="J104" t="str">
        <f>VLOOKUP(A104, [1]Orders!A:E, 4, FALSE)</f>
        <v>Haryana</v>
      </c>
      <c r="K104" t="str">
        <f>VLOOKUP(A104, [1]Orders!A:E, 5, FALSE)</f>
        <v>Chandigarh</v>
      </c>
    </row>
    <row r="105" spans="1:11" x14ac:dyDescent="0.5">
      <c r="A105" t="s">
        <v>127</v>
      </c>
      <c r="B105">
        <v>761</v>
      </c>
      <c r="C105">
        <v>266</v>
      </c>
      <c r="D105">
        <v>9</v>
      </c>
      <c r="E105" t="s">
        <v>8</v>
      </c>
      <c r="F105" t="s">
        <v>9</v>
      </c>
      <c r="G105" t="s">
        <v>10</v>
      </c>
      <c r="H105" s="1">
        <f>VLOOKUP(A105, [1]Orders!A:B, 2, FALSE)</f>
        <v>43326</v>
      </c>
      <c r="I105" t="str">
        <f>VLOOKUP(A105, [1]Orders!A:E, 3, FALSE)</f>
        <v>Vaibhav</v>
      </c>
      <c r="J105" t="str">
        <f>VLOOKUP(A105, [1]Orders!A:E, 4, FALSE)</f>
        <v>Madhya Pradesh</v>
      </c>
      <c r="K105" t="str">
        <f>VLOOKUP(A105, [1]Orders!A:E, 5, FALSE)</f>
        <v>Indore</v>
      </c>
    </row>
    <row r="106" spans="1:11" x14ac:dyDescent="0.5">
      <c r="A106" t="s">
        <v>128</v>
      </c>
      <c r="B106">
        <v>96</v>
      </c>
      <c r="C106">
        <v>-48</v>
      </c>
      <c r="D106">
        <v>5</v>
      </c>
      <c r="E106" t="s">
        <v>23</v>
      </c>
      <c r="F106" t="s">
        <v>63</v>
      </c>
      <c r="G106" t="s">
        <v>28</v>
      </c>
      <c r="H106" s="1">
        <f>VLOOKUP(A106, [1]Orders!A:B, 2, FALSE)</f>
        <v>43188</v>
      </c>
      <c r="I106" t="str">
        <f>VLOOKUP(A106, [1]Orders!A:E, 3, FALSE)</f>
        <v>Pinky</v>
      </c>
      <c r="J106" t="str">
        <f>VLOOKUP(A106, [1]Orders!A:E, 4, FALSE)</f>
        <v>Jammu and Kashmir</v>
      </c>
      <c r="K106" t="str">
        <f>VLOOKUP(A106, [1]Orders!A:E, 5, FALSE)</f>
        <v>Kashmir</v>
      </c>
    </row>
    <row r="107" spans="1:11" x14ac:dyDescent="0.5">
      <c r="A107" t="s">
        <v>129</v>
      </c>
      <c r="B107">
        <v>1137</v>
      </c>
      <c r="C107">
        <v>-14</v>
      </c>
      <c r="D107">
        <v>7</v>
      </c>
      <c r="E107" t="s">
        <v>8</v>
      </c>
      <c r="F107" t="s">
        <v>18</v>
      </c>
      <c r="G107" t="s">
        <v>14</v>
      </c>
      <c r="H107" s="1">
        <f>VLOOKUP(A107, [1]Orders!A:B, 2, FALSE)</f>
        <v>43175</v>
      </c>
      <c r="I107" t="str">
        <f>VLOOKUP(A107, [1]Orders!A:E, 3, FALSE)</f>
        <v>Tulika</v>
      </c>
      <c r="J107" t="str">
        <f>VLOOKUP(A107, [1]Orders!A:E, 4, FALSE)</f>
        <v>Madhya Pradesh</v>
      </c>
      <c r="K107" t="str">
        <f>VLOOKUP(A107, [1]Orders!A:E, 5, FALSE)</f>
        <v>Bhopal</v>
      </c>
    </row>
    <row r="108" spans="1:11" x14ac:dyDescent="0.5">
      <c r="A108" t="s">
        <v>121</v>
      </c>
      <c r="B108">
        <v>18</v>
      </c>
      <c r="C108">
        <v>8</v>
      </c>
      <c r="D108">
        <v>2</v>
      </c>
      <c r="E108" t="s">
        <v>23</v>
      </c>
      <c r="F108" t="s">
        <v>30</v>
      </c>
      <c r="G108" t="s">
        <v>82</v>
      </c>
      <c r="H108" s="1">
        <f>VLOOKUP(A108, [1]Orders!A:B, 2, FALSE)</f>
        <v>43303</v>
      </c>
      <c r="I108" t="str">
        <f>VLOOKUP(A108, [1]Orders!A:E, 3, FALSE)</f>
        <v>Rishabh</v>
      </c>
      <c r="J108" t="str">
        <f>VLOOKUP(A108, [1]Orders!A:E, 4, FALSE)</f>
        <v>Rajasthan</v>
      </c>
      <c r="K108" t="str">
        <f>VLOOKUP(A108, [1]Orders!A:E, 5, FALSE)</f>
        <v>Jaipur</v>
      </c>
    </row>
    <row r="109" spans="1:11" x14ac:dyDescent="0.5">
      <c r="A109" t="s">
        <v>130</v>
      </c>
      <c r="B109">
        <v>749</v>
      </c>
      <c r="C109">
        <v>-307</v>
      </c>
      <c r="D109">
        <v>7</v>
      </c>
      <c r="E109" t="s">
        <v>12</v>
      </c>
      <c r="F109" t="s">
        <v>131</v>
      </c>
      <c r="G109" t="s">
        <v>10</v>
      </c>
      <c r="H109" s="1">
        <f>VLOOKUP(A109, [1]Orders!A:B, 2, FALSE)</f>
        <v>43131</v>
      </c>
      <c r="I109" t="str">
        <f>VLOOKUP(A109, [1]Orders!A:E, 3, FALSE)</f>
        <v>Shweta</v>
      </c>
      <c r="J109" t="str">
        <f>VLOOKUP(A109, [1]Orders!A:E, 4, FALSE)</f>
        <v>Rajasthan</v>
      </c>
      <c r="K109" t="str">
        <f>VLOOKUP(A109, [1]Orders!A:E, 5, FALSE)</f>
        <v>Udaipur</v>
      </c>
    </row>
    <row r="110" spans="1:11" x14ac:dyDescent="0.5">
      <c r="A110" t="s">
        <v>129</v>
      </c>
      <c r="B110">
        <v>1120</v>
      </c>
      <c r="C110">
        <v>199</v>
      </c>
      <c r="D110">
        <v>6</v>
      </c>
      <c r="E110" t="s">
        <v>23</v>
      </c>
      <c r="F110" t="s">
        <v>26</v>
      </c>
      <c r="G110" t="s">
        <v>14</v>
      </c>
      <c r="H110" s="1">
        <f>VLOOKUP(A110, [1]Orders!A:B, 2, FALSE)</f>
        <v>43175</v>
      </c>
      <c r="I110" t="str">
        <f>VLOOKUP(A110, [1]Orders!A:E, 3, FALSE)</f>
        <v>Tulika</v>
      </c>
      <c r="J110" t="str">
        <f>VLOOKUP(A110, [1]Orders!A:E, 4, FALSE)</f>
        <v>Madhya Pradesh</v>
      </c>
      <c r="K110" t="str">
        <f>VLOOKUP(A110, [1]Orders!A:E, 5, FALSE)</f>
        <v>Bhopal</v>
      </c>
    </row>
    <row r="111" spans="1:11" x14ac:dyDescent="0.5">
      <c r="A111" t="s">
        <v>132</v>
      </c>
      <c r="B111">
        <v>744</v>
      </c>
      <c r="C111">
        <v>119</v>
      </c>
      <c r="D111">
        <v>6</v>
      </c>
      <c r="E111" t="s">
        <v>8</v>
      </c>
      <c r="F111" t="s">
        <v>18</v>
      </c>
      <c r="G111" t="s">
        <v>10</v>
      </c>
      <c r="H111" s="1">
        <f>VLOOKUP(A111, [1]Orders!A:B, 2, FALSE)</f>
        <v>43114</v>
      </c>
      <c r="I111" t="str">
        <f>VLOOKUP(A111, [1]Orders!A:E, 3, FALSE)</f>
        <v>Krutika</v>
      </c>
      <c r="J111" t="str">
        <f>VLOOKUP(A111, [1]Orders!A:E, 4, FALSE)</f>
        <v>Andhra Pradesh</v>
      </c>
      <c r="K111" t="str">
        <f>VLOOKUP(A111, [1]Orders!A:E, 5, FALSE)</f>
        <v>Hyderabad</v>
      </c>
    </row>
    <row r="112" spans="1:11" x14ac:dyDescent="0.5">
      <c r="A112" t="s">
        <v>133</v>
      </c>
      <c r="B112">
        <v>14</v>
      </c>
      <c r="C112">
        <v>0</v>
      </c>
      <c r="D112">
        <v>4</v>
      </c>
      <c r="E112" t="s">
        <v>23</v>
      </c>
      <c r="F112" t="s">
        <v>30</v>
      </c>
      <c r="G112" t="s">
        <v>28</v>
      </c>
      <c r="H112" s="1">
        <f>VLOOKUP(A112, [1]Orders!A:B, 2, FALSE)</f>
        <v>43113</v>
      </c>
      <c r="I112" t="str">
        <f>VLOOKUP(A112, [1]Orders!A:E, 3, FALSE)</f>
        <v>Priyanka</v>
      </c>
      <c r="J112" t="str">
        <f>VLOOKUP(A112, [1]Orders!A:E, 4, FALSE)</f>
        <v>Madhya Pradesh</v>
      </c>
      <c r="K112" t="str">
        <f>VLOOKUP(A112, [1]Orders!A:E, 5, FALSE)</f>
        <v>Indore</v>
      </c>
    </row>
    <row r="113" spans="1:11" x14ac:dyDescent="0.5">
      <c r="A113" t="s">
        <v>134</v>
      </c>
      <c r="B113">
        <v>19</v>
      </c>
      <c r="C113">
        <v>8</v>
      </c>
      <c r="D113">
        <v>2</v>
      </c>
      <c r="E113" t="s">
        <v>23</v>
      </c>
      <c r="F113" t="s">
        <v>30</v>
      </c>
      <c r="G113" t="s">
        <v>82</v>
      </c>
      <c r="H113" s="1">
        <f>VLOOKUP(A113, [1]Orders!A:B, 2, FALSE)</f>
        <v>43444</v>
      </c>
      <c r="I113" t="str">
        <f>VLOOKUP(A113, [1]Orders!A:E, 3, FALSE)</f>
        <v>Amlan</v>
      </c>
      <c r="J113" t="str">
        <f>VLOOKUP(A113, [1]Orders!A:E, 4, FALSE)</f>
        <v>Madhya Pradesh</v>
      </c>
      <c r="K113" t="str">
        <f>VLOOKUP(A113, [1]Orders!A:E, 5, FALSE)</f>
        <v>Indore</v>
      </c>
    </row>
    <row r="114" spans="1:11" x14ac:dyDescent="0.5">
      <c r="A114" t="s">
        <v>135</v>
      </c>
      <c r="B114">
        <v>512</v>
      </c>
      <c r="C114">
        <v>-225</v>
      </c>
      <c r="D114">
        <v>5</v>
      </c>
      <c r="E114" t="s">
        <v>23</v>
      </c>
      <c r="F114" t="s">
        <v>26</v>
      </c>
      <c r="G114" t="s">
        <v>10</v>
      </c>
      <c r="H114" s="1">
        <f>VLOOKUP(A114, [1]Orders!A:B, 2, FALSE)</f>
        <v>43226</v>
      </c>
      <c r="I114" t="str">
        <f>VLOOKUP(A114, [1]Orders!A:E, 3, FALSE)</f>
        <v>Chirag</v>
      </c>
      <c r="J114" t="str">
        <f>VLOOKUP(A114, [1]Orders!A:E, 4, FALSE)</f>
        <v>Maharashtra</v>
      </c>
      <c r="K114" t="str">
        <f>VLOOKUP(A114, [1]Orders!A:E, 5, FALSE)</f>
        <v>Mumbai</v>
      </c>
    </row>
    <row r="115" spans="1:11" x14ac:dyDescent="0.5">
      <c r="A115" t="s">
        <v>136</v>
      </c>
      <c r="B115">
        <v>742</v>
      </c>
      <c r="C115">
        <v>198</v>
      </c>
      <c r="D115">
        <v>2</v>
      </c>
      <c r="E115" t="s">
        <v>12</v>
      </c>
      <c r="F115" t="s">
        <v>16</v>
      </c>
      <c r="G115" t="s">
        <v>10</v>
      </c>
      <c r="H115" s="1">
        <f>VLOOKUP(A115, [1]Orders!A:B, 2, FALSE)</f>
        <v>43122</v>
      </c>
      <c r="I115" t="str">
        <f>VLOOKUP(A115, [1]Orders!A:E, 3, FALSE)</f>
        <v>Rhea</v>
      </c>
      <c r="J115" t="str">
        <f>VLOOKUP(A115, [1]Orders!A:E, 4, FALSE)</f>
        <v>Maharashtra</v>
      </c>
      <c r="K115" t="str">
        <f>VLOOKUP(A115, [1]Orders!A:E, 5, FALSE)</f>
        <v>Mumbai</v>
      </c>
    </row>
    <row r="116" spans="1:11" x14ac:dyDescent="0.5">
      <c r="A116" t="s">
        <v>137</v>
      </c>
      <c r="B116">
        <v>44</v>
      </c>
      <c r="C116">
        <v>-40</v>
      </c>
      <c r="D116">
        <v>3</v>
      </c>
      <c r="E116" t="s">
        <v>23</v>
      </c>
      <c r="F116" t="s">
        <v>57</v>
      </c>
      <c r="G116" t="s">
        <v>10</v>
      </c>
      <c r="H116" s="1">
        <f>VLOOKUP(A116, [1]Orders!A:B, 2, FALSE)</f>
        <v>43174</v>
      </c>
      <c r="I116" t="str">
        <f>VLOOKUP(A116, [1]Orders!A:E, 3, FALSE)</f>
        <v>Tushina</v>
      </c>
      <c r="J116" t="str">
        <f>VLOOKUP(A116, [1]Orders!A:E, 4, FALSE)</f>
        <v>Goa</v>
      </c>
      <c r="K116" t="str">
        <f>VLOOKUP(A116, [1]Orders!A:E, 5, FALSE)</f>
        <v>Goa</v>
      </c>
    </row>
    <row r="117" spans="1:11" x14ac:dyDescent="0.5">
      <c r="A117" t="s">
        <v>29</v>
      </c>
      <c r="B117">
        <v>1061</v>
      </c>
      <c r="C117">
        <v>-36</v>
      </c>
      <c r="D117">
        <v>8</v>
      </c>
      <c r="E117" t="s">
        <v>12</v>
      </c>
      <c r="F117" t="s">
        <v>16</v>
      </c>
      <c r="G117" t="s">
        <v>14</v>
      </c>
      <c r="H117" s="1">
        <f>VLOOKUP(A117, [1]Orders!A:B, 2, FALSE)</f>
        <v>43219</v>
      </c>
      <c r="I117" t="str">
        <f>VLOOKUP(A117, [1]Orders!A:E, 3, FALSE)</f>
        <v>Kirti</v>
      </c>
      <c r="J117" t="str">
        <f>VLOOKUP(A117, [1]Orders!A:E, 4, FALSE)</f>
        <v>Jammu and Kashmir</v>
      </c>
      <c r="K117" t="str">
        <f>VLOOKUP(A117, [1]Orders!A:E, 5, FALSE)</f>
        <v>Kashmir</v>
      </c>
    </row>
    <row r="118" spans="1:11" x14ac:dyDescent="0.5">
      <c r="A118" t="s">
        <v>138</v>
      </c>
      <c r="B118">
        <v>19</v>
      </c>
      <c r="C118">
        <v>-2</v>
      </c>
      <c r="D118">
        <v>2</v>
      </c>
      <c r="E118" t="s">
        <v>23</v>
      </c>
      <c r="F118" t="s">
        <v>63</v>
      </c>
      <c r="G118" t="s">
        <v>82</v>
      </c>
      <c r="H118" s="1">
        <f>VLOOKUP(A118, [1]Orders!A:B, 2, FALSE)</f>
        <v>43215</v>
      </c>
      <c r="I118" t="str">
        <f>VLOOKUP(A118, [1]Orders!A:E, 3, FALSE)</f>
        <v>Manish</v>
      </c>
      <c r="J118" t="str">
        <f>VLOOKUP(A118, [1]Orders!A:E, 4, FALSE)</f>
        <v>Himachal Pradesh</v>
      </c>
      <c r="K118" t="str">
        <f>VLOOKUP(A118, [1]Orders!A:E, 5, FALSE)</f>
        <v>Simla</v>
      </c>
    </row>
    <row r="119" spans="1:11" x14ac:dyDescent="0.5">
      <c r="A119" t="s">
        <v>139</v>
      </c>
      <c r="B119">
        <v>17</v>
      </c>
      <c r="C119">
        <v>0</v>
      </c>
      <c r="D119">
        <v>1</v>
      </c>
      <c r="E119" t="s">
        <v>23</v>
      </c>
      <c r="F119" t="s">
        <v>30</v>
      </c>
      <c r="G119" t="s">
        <v>10</v>
      </c>
      <c r="H119" s="1">
        <f>VLOOKUP(A119, [1]Orders!A:B, 2, FALSE)</f>
        <v>43389</v>
      </c>
      <c r="I119" t="str">
        <f>VLOOKUP(A119, [1]Orders!A:E, 3, FALSE)</f>
        <v>Ajay</v>
      </c>
      <c r="J119" t="str">
        <f>VLOOKUP(A119, [1]Orders!A:E, 4, FALSE)</f>
        <v>West Bengal</v>
      </c>
      <c r="K119" t="str">
        <f>VLOOKUP(A119, [1]Orders!A:E, 5, FALSE)</f>
        <v>Kolkata</v>
      </c>
    </row>
    <row r="120" spans="1:11" x14ac:dyDescent="0.5">
      <c r="A120" t="s">
        <v>140</v>
      </c>
      <c r="B120">
        <v>741</v>
      </c>
      <c r="C120">
        <v>267</v>
      </c>
      <c r="D120">
        <v>5</v>
      </c>
      <c r="E120" t="s">
        <v>12</v>
      </c>
      <c r="F120" t="s">
        <v>16</v>
      </c>
      <c r="G120" t="s">
        <v>10</v>
      </c>
      <c r="H120" s="1">
        <f>VLOOKUP(A120, [1]Orders!A:B, 2, FALSE)</f>
        <v>43428</v>
      </c>
      <c r="I120" t="str">
        <f>VLOOKUP(A120, [1]Orders!A:E, 3, FALSE)</f>
        <v>Mrinal</v>
      </c>
      <c r="J120" t="str">
        <f>VLOOKUP(A120, [1]Orders!A:E, 4, FALSE)</f>
        <v>Maharashtra</v>
      </c>
      <c r="K120" t="str">
        <f>VLOOKUP(A120, [1]Orders!A:E, 5, FALSE)</f>
        <v>Mumbai</v>
      </c>
    </row>
    <row r="121" spans="1:11" x14ac:dyDescent="0.5">
      <c r="A121" t="s">
        <v>127</v>
      </c>
      <c r="B121">
        <v>735</v>
      </c>
      <c r="C121">
        <v>-235</v>
      </c>
      <c r="D121">
        <v>6</v>
      </c>
      <c r="E121" t="s">
        <v>8</v>
      </c>
      <c r="F121" t="s">
        <v>18</v>
      </c>
      <c r="G121" t="s">
        <v>10</v>
      </c>
      <c r="H121" s="1">
        <f>VLOOKUP(A121, [1]Orders!A:B, 2, FALSE)</f>
        <v>43326</v>
      </c>
      <c r="I121" t="str">
        <f>VLOOKUP(A121, [1]Orders!A:E, 3, FALSE)</f>
        <v>Vaibhav</v>
      </c>
      <c r="J121" t="str">
        <f>VLOOKUP(A121, [1]Orders!A:E, 4, FALSE)</f>
        <v>Madhya Pradesh</v>
      </c>
      <c r="K121" t="str">
        <f>VLOOKUP(A121, [1]Orders!A:E, 5, FALSE)</f>
        <v>Indore</v>
      </c>
    </row>
    <row r="122" spans="1:11" x14ac:dyDescent="0.5">
      <c r="A122" t="s">
        <v>141</v>
      </c>
      <c r="B122">
        <v>19</v>
      </c>
      <c r="C122">
        <v>-1</v>
      </c>
      <c r="D122">
        <v>1</v>
      </c>
      <c r="E122" t="s">
        <v>23</v>
      </c>
      <c r="F122" t="s">
        <v>142</v>
      </c>
      <c r="G122" t="s">
        <v>82</v>
      </c>
      <c r="H122" s="1">
        <f>VLOOKUP(A122, [1]Orders!A:B, 2, FALSE)</f>
        <v>43326</v>
      </c>
      <c r="I122" t="str">
        <f>VLOOKUP(A122, [1]Orders!A:E, 3, FALSE)</f>
        <v>Priyanshu</v>
      </c>
      <c r="J122" t="str">
        <f>VLOOKUP(A122, [1]Orders!A:E, 4, FALSE)</f>
        <v>Madhya Pradesh</v>
      </c>
      <c r="K122" t="str">
        <f>VLOOKUP(A122, [1]Orders!A:E, 5, FALSE)</f>
        <v>Indore</v>
      </c>
    </row>
    <row r="123" spans="1:11" x14ac:dyDescent="0.5">
      <c r="A123" t="s">
        <v>143</v>
      </c>
      <c r="B123">
        <v>1021</v>
      </c>
      <c r="C123">
        <v>-48</v>
      </c>
      <c r="D123">
        <v>4</v>
      </c>
      <c r="E123" t="s">
        <v>8</v>
      </c>
      <c r="F123" t="s">
        <v>9</v>
      </c>
      <c r="G123" t="s">
        <v>14</v>
      </c>
      <c r="H123" s="1">
        <f>VLOOKUP(A123, [1]Orders!A:B, 2, FALSE)</f>
        <v>43233</v>
      </c>
      <c r="I123" t="str">
        <f>VLOOKUP(A123, [1]Orders!A:E, 3, FALSE)</f>
        <v>Tulika</v>
      </c>
      <c r="J123" t="str">
        <f>VLOOKUP(A123, [1]Orders!A:E, 4, FALSE)</f>
        <v>Madhya Pradesh</v>
      </c>
      <c r="K123" t="str">
        <f>VLOOKUP(A123, [1]Orders!A:E, 5, FALSE)</f>
        <v>Bhopal</v>
      </c>
    </row>
    <row r="124" spans="1:11" x14ac:dyDescent="0.5">
      <c r="A124" t="s">
        <v>144</v>
      </c>
      <c r="B124">
        <v>556</v>
      </c>
      <c r="C124">
        <v>-209</v>
      </c>
      <c r="D124">
        <v>7</v>
      </c>
      <c r="E124" t="s">
        <v>23</v>
      </c>
      <c r="F124" t="s">
        <v>26</v>
      </c>
      <c r="G124" t="s">
        <v>10</v>
      </c>
      <c r="H124" s="1">
        <f>VLOOKUP(A124, [1]Orders!A:B, 2, FALSE)</f>
        <v>43363</v>
      </c>
      <c r="I124" t="str">
        <f>VLOOKUP(A124, [1]Orders!A:E, 3, FALSE)</f>
        <v>Asish</v>
      </c>
      <c r="J124" t="str">
        <f>VLOOKUP(A124, [1]Orders!A:E, 4, FALSE)</f>
        <v>Jammu and Kashmir</v>
      </c>
      <c r="K124" t="str">
        <f>VLOOKUP(A124, [1]Orders!A:E, 5, FALSE)</f>
        <v>Kashmir</v>
      </c>
    </row>
    <row r="125" spans="1:11" x14ac:dyDescent="0.5">
      <c r="A125" t="s">
        <v>145</v>
      </c>
      <c r="B125">
        <v>63</v>
      </c>
      <c r="C125">
        <v>-17</v>
      </c>
      <c r="D125">
        <v>6</v>
      </c>
      <c r="E125" t="s">
        <v>23</v>
      </c>
      <c r="F125" t="s">
        <v>63</v>
      </c>
      <c r="G125" t="s">
        <v>10</v>
      </c>
      <c r="H125" s="1">
        <f>VLOOKUP(A125, [1]Orders!A:B, 2, FALSE)</f>
        <v>43381</v>
      </c>
      <c r="I125" t="str">
        <f>VLOOKUP(A125, [1]Orders!A:E, 3, FALSE)</f>
        <v>Apsingekar</v>
      </c>
      <c r="J125" t="str">
        <f>VLOOKUP(A125, [1]Orders!A:E, 4, FALSE)</f>
        <v>Bihar</v>
      </c>
      <c r="K125" t="str">
        <f>VLOOKUP(A125, [1]Orders!A:E, 5, FALSE)</f>
        <v>Patna</v>
      </c>
    </row>
    <row r="126" spans="1:11" x14ac:dyDescent="0.5">
      <c r="A126" t="s">
        <v>146</v>
      </c>
      <c r="B126">
        <v>734</v>
      </c>
      <c r="C126">
        <v>248</v>
      </c>
      <c r="D126">
        <v>2</v>
      </c>
      <c r="E126" t="s">
        <v>12</v>
      </c>
      <c r="F126" t="s">
        <v>13</v>
      </c>
      <c r="G126" t="s">
        <v>10</v>
      </c>
      <c r="H126" s="1">
        <f>VLOOKUP(A126, [1]Orders!A:B, 2, FALSE)</f>
        <v>43432</v>
      </c>
      <c r="I126" t="str">
        <f>VLOOKUP(A126, [1]Orders!A:E, 3, FALSE)</f>
        <v>Shatayu</v>
      </c>
      <c r="J126" t="str">
        <f>VLOOKUP(A126, [1]Orders!A:E, 4, FALSE)</f>
        <v>Madhya Pradesh</v>
      </c>
      <c r="K126" t="str">
        <f>VLOOKUP(A126, [1]Orders!A:E, 5, FALSE)</f>
        <v>Indore</v>
      </c>
    </row>
    <row r="127" spans="1:11" x14ac:dyDescent="0.5">
      <c r="A127" t="s">
        <v>52</v>
      </c>
      <c r="B127">
        <v>933</v>
      </c>
      <c r="C127">
        <v>166</v>
      </c>
      <c r="D127">
        <v>5</v>
      </c>
      <c r="E127" t="s">
        <v>23</v>
      </c>
      <c r="F127" t="s">
        <v>26</v>
      </c>
      <c r="G127" t="s">
        <v>19</v>
      </c>
      <c r="H127" s="1">
        <f>VLOOKUP(A127, [1]Orders!A:B, 2, FALSE)</f>
        <v>43354</v>
      </c>
      <c r="I127" t="str">
        <f>VLOOKUP(A127, [1]Orders!A:E, 3, FALSE)</f>
        <v>Surabhi</v>
      </c>
      <c r="J127" t="str">
        <f>VLOOKUP(A127, [1]Orders!A:E, 4, FALSE)</f>
        <v>Maharashtra</v>
      </c>
      <c r="K127" t="str">
        <f>VLOOKUP(A127, [1]Orders!A:E, 5, FALSE)</f>
        <v>Mumbai</v>
      </c>
    </row>
    <row r="128" spans="1:11" x14ac:dyDescent="0.5">
      <c r="A128" t="s">
        <v>147</v>
      </c>
      <c r="B128">
        <v>20</v>
      </c>
      <c r="C128">
        <v>-9</v>
      </c>
      <c r="D128">
        <v>6</v>
      </c>
      <c r="E128" t="s">
        <v>23</v>
      </c>
      <c r="F128" t="s">
        <v>30</v>
      </c>
      <c r="G128" t="s">
        <v>82</v>
      </c>
      <c r="H128" s="1">
        <f>VLOOKUP(A128, [1]Orders!A:B, 2, FALSE)</f>
        <v>43335</v>
      </c>
      <c r="I128" t="str">
        <f>VLOOKUP(A128, [1]Orders!A:E, 3, FALSE)</f>
        <v>Soumya</v>
      </c>
      <c r="J128" t="str">
        <f>VLOOKUP(A128, [1]Orders!A:E, 4, FALSE)</f>
        <v>Sikkim</v>
      </c>
      <c r="K128" t="str">
        <f>VLOOKUP(A128, [1]Orders!A:E, 5, FALSE)</f>
        <v>Gangtok</v>
      </c>
    </row>
    <row r="129" spans="1:11" x14ac:dyDescent="0.5">
      <c r="A129" t="s">
        <v>148</v>
      </c>
      <c r="B129">
        <v>877</v>
      </c>
      <c r="C129">
        <v>395</v>
      </c>
      <c r="D129">
        <v>2</v>
      </c>
      <c r="E129" t="s">
        <v>12</v>
      </c>
      <c r="F129" t="s">
        <v>16</v>
      </c>
      <c r="G129" t="s">
        <v>19</v>
      </c>
      <c r="H129" s="1">
        <f>VLOOKUP(A129, [1]Orders!A:B, 2, FALSE)</f>
        <v>43323</v>
      </c>
      <c r="I129" t="str">
        <f>VLOOKUP(A129, [1]Orders!A:E, 3, FALSE)</f>
        <v>Harsh</v>
      </c>
      <c r="J129" t="str">
        <f>VLOOKUP(A129, [1]Orders!A:E, 4, FALSE)</f>
        <v>Madhya Pradesh</v>
      </c>
      <c r="K129" t="str">
        <f>VLOOKUP(A129, [1]Orders!A:E, 5, FALSE)</f>
        <v>Bhopal</v>
      </c>
    </row>
    <row r="130" spans="1:11" x14ac:dyDescent="0.5">
      <c r="A130" t="s">
        <v>140</v>
      </c>
      <c r="B130">
        <v>719</v>
      </c>
      <c r="C130">
        <v>303</v>
      </c>
      <c r="D130">
        <v>6</v>
      </c>
      <c r="E130" t="s">
        <v>12</v>
      </c>
      <c r="F130" t="s">
        <v>13</v>
      </c>
      <c r="G130" t="s">
        <v>10</v>
      </c>
      <c r="H130" s="1">
        <f>VLOOKUP(A130, [1]Orders!A:B, 2, FALSE)</f>
        <v>43428</v>
      </c>
      <c r="I130" t="str">
        <f>VLOOKUP(A130, [1]Orders!A:E, 3, FALSE)</f>
        <v>Mrinal</v>
      </c>
      <c r="J130" t="str">
        <f>VLOOKUP(A130, [1]Orders!A:E, 4, FALSE)</f>
        <v>Maharashtra</v>
      </c>
      <c r="K130" t="str">
        <f>VLOOKUP(A130, [1]Orders!A:E, 5, FALSE)</f>
        <v>Mumbai</v>
      </c>
    </row>
    <row r="131" spans="1:11" x14ac:dyDescent="0.5">
      <c r="A131" t="s">
        <v>149</v>
      </c>
      <c r="B131">
        <v>12</v>
      </c>
      <c r="C131">
        <v>1</v>
      </c>
      <c r="D131">
        <v>2</v>
      </c>
      <c r="E131" t="s">
        <v>23</v>
      </c>
      <c r="F131" t="s">
        <v>30</v>
      </c>
      <c r="G131" t="s">
        <v>10</v>
      </c>
      <c r="H131" s="1">
        <f>VLOOKUP(A131, [1]Orders!A:B, 2, FALSE)</f>
        <v>43193</v>
      </c>
      <c r="I131" t="str">
        <f>VLOOKUP(A131, [1]Orders!A:E, 3, FALSE)</f>
        <v>Jahan</v>
      </c>
      <c r="J131" t="str">
        <f>VLOOKUP(A131, [1]Orders!A:E, 4, FALSE)</f>
        <v>Madhya Pradesh</v>
      </c>
      <c r="K131" t="str">
        <f>VLOOKUP(A131, [1]Orders!A:E, 5, FALSE)</f>
        <v>Bhopal</v>
      </c>
    </row>
    <row r="132" spans="1:11" x14ac:dyDescent="0.5">
      <c r="A132" t="s">
        <v>150</v>
      </c>
      <c r="B132">
        <v>714</v>
      </c>
      <c r="C132">
        <v>56</v>
      </c>
      <c r="D132">
        <v>4</v>
      </c>
      <c r="E132" t="s">
        <v>23</v>
      </c>
      <c r="F132" t="s">
        <v>26</v>
      </c>
      <c r="G132" t="s">
        <v>10</v>
      </c>
      <c r="H132" s="1">
        <f>VLOOKUP(A132, [1]Orders!A:B, 2, FALSE)</f>
        <v>43267</v>
      </c>
      <c r="I132" t="str">
        <f>VLOOKUP(A132, [1]Orders!A:E, 3, FALSE)</f>
        <v>Akancha</v>
      </c>
      <c r="J132" t="str">
        <f>VLOOKUP(A132, [1]Orders!A:E, 4, FALSE)</f>
        <v>Maharashtra</v>
      </c>
      <c r="K132" t="str">
        <f>VLOOKUP(A132, [1]Orders!A:E, 5, FALSE)</f>
        <v>Mumbai</v>
      </c>
    </row>
    <row r="133" spans="1:11" x14ac:dyDescent="0.5">
      <c r="A133" t="s">
        <v>151</v>
      </c>
      <c r="B133">
        <v>50</v>
      </c>
      <c r="C133">
        <v>-15</v>
      </c>
      <c r="D133">
        <v>4</v>
      </c>
      <c r="E133" t="s">
        <v>23</v>
      </c>
      <c r="F133" t="s">
        <v>63</v>
      </c>
      <c r="G133" t="s">
        <v>10</v>
      </c>
      <c r="H133" s="1">
        <f>VLOOKUP(A133, [1]Orders!A:B, 2, FALSE)</f>
        <v>43196</v>
      </c>
      <c r="I133" t="str">
        <f>VLOOKUP(A133, [1]Orders!A:E, 3, FALSE)</f>
        <v>Sonakshi</v>
      </c>
      <c r="J133" t="str">
        <f>VLOOKUP(A133, [1]Orders!A:E, 4, FALSE)</f>
        <v>Jammu and Kashmir</v>
      </c>
      <c r="K133" t="str">
        <f>VLOOKUP(A133, [1]Orders!A:E, 5, FALSE)</f>
        <v>Kashmir</v>
      </c>
    </row>
    <row r="134" spans="1:11" x14ac:dyDescent="0.5">
      <c r="A134" t="s">
        <v>152</v>
      </c>
      <c r="B134">
        <v>709</v>
      </c>
      <c r="C134">
        <v>-100</v>
      </c>
      <c r="D134">
        <v>5</v>
      </c>
      <c r="E134" t="s">
        <v>8</v>
      </c>
      <c r="F134" t="s">
        <v>21</v>
      </c>
      <c r="G134" t="s">
        <v>10</v>
      </c>
      <c r="H134" s="1">
        <f>VLOOKUP(A134, [1]Orders!A:B, 2, FALSE)</f>
        <v>43282</v>
      </c>
      <c r="I134" t="str">
        <f>VLOOKUP(A134, [1]Orders!A:E, 3, FALSE)</f>
        <v>Kishwar</v>
      </c>
      <c r="J134" t="str">
        <f>VLOOKUP(A134, [1]Orders!A:E, 4, FALSE)</f>
        <v>Madhya Pradesh</v>
      </c>
      <c r="K134" t="str">
        <f>VLOOKUP(A134, [1]Orders!A:E, 5, FALSE)</f>
        <v>Indore</v>
      </c>
    </row>
    <row r="135" spans="1:11" x14ac:dyDescent="0.5">
      <c r="A135" t="s">
        <v>153</v>
      </c>
      <c r="B135">
        <v>21</v>
      </c>
      <c r="C135">
        <v>-12</v>
      </c>
      <c r="D135">
        <v>3</v>
      </c>
      <c r="E135" t="s">
        <v>23</v>
      </c>
      <c r="F135" t="s">
        <v>30</v>
      </c>
      <c r="G135" t="s">
        <v>82</v>
      </c>
      <c r="H135" s="1">
        <f>VLOOKUP(A135, [1]Orders!A:B, 2, FALSE)</f>
        <v>43148</v>
      </c>
      <c r="I135" t="str">
        <f>VLOOKUP(A135, [1]Orders!A:E, 3, FALSE)</f>
        <v>Anita</v>
      </c>
      <c r="J135" t="str">
        <f>VLOOKUP(A135, [1]Orders!A:E, 4, FALSE)</f>
        <v xml:space="preserve">Kerala </v>
      </c>
      <c r="K135" t="str">
        <f>VLOOKUP(A135, [1]Orders!A:E, 5, FALSE)</f>
        <v>Thiruvananthapuram</v>
      </c>
    </row>
    <row r="136" spans="1:11" x14ac:dyDescent="0.5">
      <c r="A136" t="s">
        <v>154</v>
      </c>
      <c r="B136">
        <v>693</v>
      </c>
      <c r="C136">
        <v>254</v>
      </c>
      <c r="D136">
        <v>6</v>
      </c>
      <c r="E136" t="s">
        <v>23</v>
      </c>
      <c r="F136" t="s">
        <v>26</v>
      </c>
      <c r="G136" t="s">
        <v>10</v>
      </c>
      <c r="H136" s="1">
        <f>VLOOKUP(A136, [1]Orders!A:B, 2, FALSE)</f>
        <v>43400</v>
      </c>
      <c r="I136" t="str">
        <f>VLOOKUP(A136, [1]Orders!A:E, 3, FALSE)</f>
        <v>Mahima</v>
      </c>
      <c r="J136" t="str">
        <f>VLOOKUP(A136, [1]Orders!A:E, 4, FALSE)</f>
        <v>Sikkim</v>
      </c>
      <c r="K136" t="str">
        <f>VLOOKUP(A136, [1]Orders!A:E, 5, FALSE)</f>
        <v>Gangtok</v>
      </c>
    </row>
    <row r="137" spans="1:11" x14ac:dyDescent="0.5">
      <c r="A137" t="s">
        <v>111</v>
      </c>
      <c r="B137">
        <v>24</v>
      </c>
      <c r="C137">
        <v>1</v>
      </c>
      <c r="D137">
        <v>4</v>
      </c>
      <c r="E137" t="s">
        <v>23</v>
      </c>
      <c r="F137" t="s">
        <v>30</v>
      </c>
      <c r="G137" t="s">
        <v>10</v>
      </c>
      <c r="H137" s="1">
        <f>VLOOKUP(A137, [1]Orders!A:B, 2, FALSE)</f>
        <v>43409</v>
      </c>
      <c r="I137" t="str">
        <f>VLOOKUP(A137, [1]Orders!A:E, 3, FALSE)</f>
        <v>Abhishek</v>
      </c>
      <c r="J137" t="str">
        <f>VLOOKUP(A137, [1]Orders!A:E, 4, FALSE)</f>
        <v>Goa</v>
      </c>
      <c r="K137" t="str">
        <f>VLOOKUP(A137, [1]Orders!A:E, 5, FALSE)</f>
        <v>Goa</v>
      </c>
    </row>
    <row r="138" spans="1:11" x14ac:dyDescent="0.5">
      <c r="A138" t="s">
        <v>155</v>
      </c>
      <c r="B138">
        <v>24</v>
      </c>
      <c r="C138">
        <v>1</v>
      </c>
      <c r="D138">
        <v>2</v>
      </c>
      <c r="E138" t="s">
        <v>23</v>
      </c>
      <c r="F138" t="s">
        <v>30</v>
      </c>
      <c r="G138" t="s">
        <v>28</v>
      </c>
      <c r="H138" s="1">
        <f>VLOOKUP(A138, [1]Orders!A:B, 2, FALSE)</f>
        <v>43245</v>
      </c>
      <c r="I138" t="str">
        <f>VLOOKUP(A138, [1]Orders!A:E, 3, FALSE)</f>
        <v>Charika</v>
      </c>
      <c r="J138" t="str">
        <f>VLOOKUP(A138, [1]Orders!A:E, 4, FALSE)</f>
        <v>Goa</v>
      </c>
      <c r="K138" t="str">
        <f>VLOOKUP(A138, [1]Orders!A:E, 5, FALSE)</f>
        <v>Goa</v>
      </c>
    </row>
    <row r="139" spans="1:11" x14ac:dyDescent="0.5">
      <c r="A139" t="s">
        <v>113</v>
      </c>
      <c r="B139">
        <v>24</v>
      </c>
      <c r="C139">
        <v>1</v>
      </c>
      <c r="D139">
        <v>2</v>
      </c>
      <c r="E139" t="s">
        <v>23</v>
      </c>
      <c r="F139" t="s">
        <v>30</v>
      </c>
      <c r="G139" t="s">
        <v>10</v>
      </c>
      <c r="H139" s="1">
        <f>VLOOKUP(A139, [1]Orders!A:B, 2, FALSE)</f>
        <v>43411</v>
      </c>
      <c r="I139" t="str">
        <f>VLOOKUP(A139, [1]Orders!A:E, 3, FALSE)</f>
        <v>Soumyabrata</v>
      </c>
      <c r="J139" t="str">
        <f>VLOOKUP(A139, [1]Orders!A:E, 4, FALSE)</f>
        <v>Andhra Pradesh</v>
      </c>
      <c r="K139" t="str">
        <f>VLOOKUP(A139, [1]Orders!A:E, 5, FALSE)</f>
        <v>Hyderabad</v>
      </c>
    </row>
    <row r="140" spans="1:11" x14ac:dyDescent="0.5">
      <c r="A140" t="s">
        <v>156</v>
      </c>
      <c r="B140">
        <v>21</v>
      </c>
      <c r="C140">
        <v>10</v>
      </c>
      <c r="D140">
        <v>1</v>
      </c>
      <c r="E140" t="s">
        <v>23</v>
      </c>
      <c r="F140" t="s">
        <v>81</v>
      </c>
      <c r="G140" t="s">
        <v>82</v>
      </c>
      <c r="H140" s="1">
        <f>VLOOKUP(A140, [1]Orders!A:B, 2, FALSE)</f>
        <v>43151</v>
      </c>
      <c r="I140" t="str">
        <f>VLOOKUP(A140, [1]Orders!A:E, 3, FALSE)</f>
        <v>Ramesh</v>
      </c>
      <c r="J140" t="str">
        <f>VLOOKUP(A140, [1]Orders!A:E, 4, FALSE)</f>
        <v>Gujarat</v>
      </c>
      <c r="K140" t="str">
        <f>VLOOKUP(A140, [1]Orders!A:E, 5, FALSE)</f>
        <v>Ahmedabad</v>
      </c>
    </row>
    <row r="141" spans="1:11" x14ac:dyDescent="0.5">
      <c r="A141" t="s">
        <v>157</v>
      </c>
      <c r="B141">
        <v>681</v>
      </c>
      <c r="C141">
        <v>259</v>
      </c>
      <c r="D141">
        <v>4</v>
      </c>
      <c r="E141" t="s">
        <v>12</v>
      </c>
      <c r="F141" t="s">
        <v>13</v>
      </c>
      <c r="G141" t="s">
        <v>10</v>
      </c>
      <c r="H141" s="1">
        <f>VLOOKUP(A141, [1]Orders!A:B, 2, FALSE)</f>
        <v>43118</v>
      </c>
      <c r="I141" t="str">
        <f>VLOOKUP(A141, [1]Orders!A:E, 3, FALSE)</f>
        <v>Muskan</v>
      </c>
      <c r="J141" t="str">
        <f>VLOOKUP(A141, [1]Orders!A:E, 4, FALSE)</f>
        <v>Madhya Pradesh</v>
      </c>
      <c r="K141" t="str">
        <f>VLOOKUP(A141, [1]Orders!A:E, 5, FALSE)</f>
        <v>Indore</v>
      </c>
    </row>
    <row r="142" spans="1:11" x14ac:dyDescent="0.5">
      <c r="A142" t="s">
        <v>158</v>
      </c>
      <c r="B142">
        <v>674</v>
      </c>
      <c r="C142">
        <v>-187</v>
      </c>
      <c r="D142">
        <v>2</v>
      </c>
      <c r="E142" t="s">
        <v>12</v>
      </c>
      <c r="F142" t="s">
        <v>45</v>
      </c>
      <c r="G142" t="s">
        <v>10</v>
      </c>
      <c r="H142" s="1">
        <f>VLOOKUP(A142, [1]Orders!A:B, 2, FALSE)</f>
        <v>43252</v>
      </c>
      <c r="I142" t="str">
        <f>VLOOKUP(A142, [1]Orders!A:E, 3, FALSE)</f>
        <v>Chandni</v>
      </c>
      <c r="J142" t="str">
        <f>VLOOKUP(A142, [1]Orders!A:E, 4, FALSE)</f>
        <v>Rajasthan</v>
      </c>
      <c r="K142" t="str">
        <f>VLOOKUP(A142, [1]Orders!A:E, 5, FALSE)</f>
        <v>Jaipur</v>
      </c>
    </row>
    <row r="143" spans="1:11" x14ac:dyDescent="0.5">
      <c r="A143" t="s">
        <v>61</v>
      </c>
      <c r="B143">
        <v>671</v>
      </c>
      <c r="C143">
        <v>-309</v>
      </c>
      <c r="D143">
        <v>5</v>
      </c>
      <c r="E143" t="s">
        <v>8</v>
      </c>
      <c r="F143" t="s">
        <v>9</v>
      </c>
      <c r="G143" t="s">
        <v>10</v>
      </c>
      <c r="H143" s="1">
        <f>VLOOKUP(A143, [1]Orders!A:B, 2, FALSE)</f>
        <v>43187</v>
      </c>
      <c r="I143" t="str">
        <f>VLOOKUP(A143, [1]Orders!A:E, 3, FALSE)</f>
        <v>Vini</v>
      </c>
      <c r="J143" t="str">
        <f>VLOOKUP(A143, [1]Orders!A:E, 4, FALSE)</f>
        <v>Karnataka</v>
      </c>
      <c r="K143" t="str">
        <f>VLOOKUP(A143, [1]Orders!A:E, 5, FALSE)</f>
        <v>Bangalore</v>
      </c>
    </row>
    <row r="144" spans="1:11" x14ac:dyDescent="0.5">
      <c r="A144" t="s">
        <v>159</v>
      </c>
      <c r="B144">
        <v>646</v>
      </c>
      <c r="C144">
        <v>-213</v>
      </c>
      <c r="D144">
        <v>3</v>
      </c>
      <c r="E144" t="s">
        <v>8</v>
      </c>
      <c r="F144" t="s">
        <v>9</v>
      </c>
      <c r="G144" t="s">
        <v>10</v>
      </c>
      <c r="H144" s="1">
        <f>VLOOKUP(A144, [1]Orders!A:B, 2, FALSE)</f>
        <v>43436</v>
      </c>
      <c r="I144" t="str">
        <f>VLOOKUP(A144, [1]Orders!A:E, 3, FALSE)</f>
        <v>Rohan</v>
      </c>
      <c r="J144" t="str">
        <f>VLOOKUP(A144, [1]Orders!A:E, 4, FALSE)</f>
        <v>Punjab</v>
      </c>
      <c r="K144" t="str">
        <f>VLOOKUP(A144, [1]Orders!A:E, 5, FALSE)</f>
        <v>Amritsar</v>
      </c>
    </row>
    <row r="145" spans="1:11" x14ac:dyDescent="0.5">
      <c r="A145" t="s">
        <v>160</v>
      </c>
      <c r="B145">
        <v>40</v>
      </c>
      <c r="C145">
        <v>15</v>
      </c>
      <c r="D145">
        <v>1</v>
      </c>
      <c r="E145" t="s">
        <v>23</v>
      </c>
      <c r="F145" t="s">
        <v>32</v>
      </c>
      <c r="G145" t="s">
        <v>10</v>
      </c>
      <c r="H145" s="1">
        <f>VLOOKUP(A145, [1]Orders!A:B, 2, FALSE)</f>
        <v>43449</v>
      </c>
      <c r="I145" t="str">
        <f>VLOOKUP(A145, [1]Orders!A:E, 3, FALSE)</f>
        <v>Phalguni</v>
      </c>
      <c r="J145" t="str">
        <f>VLOOKUP(A145, [1]Orders!A:E, 4, FALSE)</f>
        <v>Madhya Pradesh</v>
      </c>
      <c r="K145" t="str">
        <f>VLOOKUP(A145, [1]Orders!A:E, 5, FALSE)</f>
        <v>Bhopal</v>
      </c>
    </row>
    <row r="146" spans="1:11" x14ac:dyDescent="0.5">
      <c r="A146" t="s">
        <v>161</v>
      </c>
      <c r="B146">
        <v>24</v>
      </c>
      <c r="C146">
        <v>-2</v>
      </c>
      <c r="D146">
        <v>2</v>
      </c>
      <c r="E146" t="s">
        <v>23</v>
      </c>
      <c r="F146" t="s">
        <v>81</v>
      </c>
      <c r="G146" t="s">
        <v>10</v>
      </c>
      <c r="H146" s="1">
        <f>VLOOKUP(A146, [1]Orders!A:B, 2, FALSE)</f>
        <v>43237</v>
      </c>
      <c r="I146" t="str">
        <f>VLOOKUP(A146, [1]Orders!A:E, 3, FALSE)</f>
        <v>Sweta</v>
      </c>
      <c r="J146" t="str">
        <f>VLOOKUP(A146, [1]Orders!A:E, 4, FALSE)</f>
        <v>Maharashtra</v>
      </c>
      <c r="K146" t="str">
        <f>VLOOKUP(A146, [1]Orders!A:E, 5, FALSE)</f>
        <v>Mumbai</v>
      </c>
    </row>
    <row r="147" spans="1:11" x14ac:dyDescent="0.5">
      <c r="A147" t="s">
        <v>46</v>
      </c>
      <c r="B147">
        <v>644</v>
      </c>
      <c r="C147">
        <v>167</v>
      </c>
      <c r="D147">
        <v>2</v>
      </c>
      <c r="E147" t="s">
        <v>8</v>
      </c>
      <c r="F147" t="s">
        <v>18</v>
      </c>
      <c r="G147" t="s">
        <v>10</v>
      </c>
      <c r="H147" s="1">
        <f>VLOOKUP(A147, [1]Orders!A:B, 2, FALSE)</f>
        <v>43113</v>
      </c>
      <c r="I147" t="str">
        <f>VLOOKUP(A147, [1]Orders!A:E, 3, FALSE)</f>
        <v>Shruti</v>
      </c>
      <c r="J147" t="str">
        <f>VLOOKUP(A147, [1]Orders!A:E, 4, FALSE)</f>
        <v>Madhya Pradesh</v>
      </c>
      <c r="K147" t="str">
        <f>VLOOKUP(A147, [1]Orders!A:E, 5, FALSE)</f>
        <v>Indore</v>
      </c>
    </row>
    <row r="148" spans="1:11" x14ac:dyDescent="0.5">
      <c r="A148" t="s">
        <v>162</v>
      </c>
      <c r="B148">
        <v>643</v>
      </c>
      <c r="C148">
        <v>225</v>
      </c>
      <c r="D148">
        <v>2</v>
      </c>
      <c r="E148" t="s">
        <v>8</v>
      </c>
      <c r="F148" t="s">
        <v>18</v>
      </c>
      <c r="G148" t="s">
        <v>10</v>
      </c>
      <c r="H148" s="1">
        <f>VLOOKUP(A148, [1]Orders!A:B, 2, FALSE)</f>
        <v>43407</v>
      </c>
      <c r="I148" t="str">
        <f>VLOOKUP(A148, [1]Orders!A:E, 3, FALSE)</f>
        <v>Aniket</v>
      </c>
      <c r="J148" t="str">
        <f>VLOOKUP(A148, [1]Orders!A:E, 4, FALSE)</f>
        <v>Haryana</v>
      </c>
      <c r="K148" t="str">
        <f>VLOOKUP(A148, [1]Orders!A:E, 5, FALSE)</f>
        <v>Chandigarh</v>
      </c>
    </row>
    <row r="149" spans="1:11" x14ac:dyDescent="0.5">
      <c r="A149" t="s">
        <v>163</v>
      </c>
      <c r="B149">
        <v>632</v>
      </c>
      <c r="C149">
        <v>-316</v>
      </c>
      <c r="D149">
        <v>6</v>
      </c>
      <c r="E149" t="s">
        <v>23</v>
      </c>
      <c r="F149" t="s">
        <v>26</v>
      </c>
      <c r="G149" t="s">
        <v>10</v>
      </c>
      <c r="H149" s="1">
        <f>VLOOKUP(A149, [1]Orders!A:B, 2, FALSE)</f>
        <v>43367</v>
      </c>
      <c r="I149" t="str">
        <f>VLOOKUP(A149, [1]Orders!A:E, 3, FALSE)</f>
        <v>Sukrith</v>
      </c>
      <c r="J149" t="str">
        <f>VLOOKUP(A149, [1]Orders!A:E, 4, FALSE)</f>
        <v>Maharashtra</v>
      </c>
      <c r="K149" t="str">
        <f>VLOOKUP(A149, [1]Orders!A:E, 5, FALSE)</f>
        <v>Mumbai</v>
      </c>
    </row>
    <row r="150" spans="1:11" x14ac:dyDescent="0.5">
      <c r="A150" t="s">
        <v>112</v>
      </c>
      <c r="B150">
        <v>632</v>
      </c>
      <c r="C150">
        <v>316</v>
      </c>
      <c r="D150">
        <v>6</v>
      </c>
      <c r="E150" t="s">
        <v>23</v>
      </c>
      <c r="F150" t="s">
        <v>26</v>
      </c>
      <c r="G150" t="s">
        <v>10</v>
      </c>
      <c r="H150" s="1">
        <f>VLOOKUP(A150, [1]Orders!A:B, 2, FALSE)</f>
        <v>43269</v>
      </c>
      <c r="I150" t="str">
        <f>VLOOKUP(A150, [1]Orders!A:E, 3, FALSE)</f>
        <v>Parna</v>
      </c>
      <c r="J150" t="str">
        <f>VLOOKUP(A150, [1]Orders!A:E, 4, FALSE)</f>
        <v>Madhya Pradesh</v>
      </c>
      <c r="K150" t="str">
        <f>VLOOKUP(A150, [1]Orders!A:E, 5, FALSE)</f>
        <v>Bhopal</v>
      </c>
    </row>
    <row r="151" spans="1:11" x14ac:dyDescent="0.5">
      <c r="A151" t="s">
        <v>164</v>
      </c>
      <c r="B151">
        <v>610</v>
      </c>
      <c r="C151">
        <v>208</v>
      </c>
      <c r="D151">
        <v>3</v>
      </c>
      <c r="E151" t="s">
        <v>8</v>
      </c>
      <c r="F151" t="s">
        <v>18</v>
      </c>
      <c r="G151" t="s">
        <v>10</v>
      </c>
      <c r="H151" s="1">
        <f>VLOOKUP(A151, [1]Orders!A:B, 2, FALSE)</f>
        <v>43134</v>
      </c>
      <c r="I151" t="str">
        <f>VLOOKUP(A151, [1]Orders!A:E, 3, FALSE)</f>
        <v>Madhav</v>
      </c>
      <c r="J151" t="str">
        <f>VLOOKUP(A151, [1]Orders!A:E, 4, FALSE)</f>
        <v>Delhi</v>
      </c>
      <c r="K151" t="str">
        <f>VLOOKUP(A151, [1]Orders!A:E, 5, FALSE)</f>
        <v>Delhi</v>
      </c>
    </row>
    <row r="152" spans="1:11" x14ac:dyDescent="0.5">
      <c r="A152" t="s">
        <v>122</v>
      </c>
      <c r="B152">
        <v>78</v>
      </c>
      <c r="C152">
        <v>-28</v>
      </c>
      <c r="D152">
        <v>6</v>
      </c>
      <c r="E152" t="s">
        <v>23</v>
      </c>
      <c r="F152" t="s">
        <v>32</v>
      </c>
      <c r="G152" t="s">
        <v>28</v>
      </c>
      <c r="H152" s="1">
        <f>VLOOKUP(A152, [1]Orders!A:B, 2, FALSE)</f>
        <v>43167</v>
      </c>
      <c r="I152" t="str">
        <f>VLOOKUP(A152, [1]Orders!A:E, 3, FALSE)</f>
        <v>Ajay</v>
      </c>
      <c r="J152" t="str">
        <f>VLOOKUP(A152, [1]Orders!A:E, 4, FALSE)</f>
        <v>Karnataka</v>
      </c>
      <c r="K152" t="str">
        <f>VLOOKUP(A152, [1]Orders!A:E, 5, FALSE)</f>
        <v>Bangalore</v>
      </c>
    </row>
    <row r="153" spans="1:11" x14ac:dyDescent="0.5">
      <c r="A153" t="s">
        <v>165</v>
      </c>
      <c r="B153">
        <v>595</v>
      </c>
      <c r="C153">
        <v>119</v>
      </c>
      <c r="D153">
        <v>4</v>
      </c>
      <c r="E153" t="s">
        <v>12</v>
      </c>
      <c r="F153" t="s">
        <v>16</v>
      </c>
      <c r="G153" t="s">
        <v>10</v>
      </c>
      <c r="H153" s="1">
        <f>VLOOKUP(A153, [1]Orders!A:B, 2, FALSE)</f>
        <v>43103</v>
      </c>
      <c r="I153" t="str">
        <f>VLOOKUP(A153, [1]Orders!A:E, 3, FALSE)</f>
        <v>Monica</v>
      </c>
      <c r="J153" t="str">
        <f>VLOOKUP(A153, [1]Orders!A:E, 4, FALSE)</f>
        <v>Punjab</v>
      </c>
      <c r="K153" t="str">
        <f>VLOOKUP(A153, [1]Orders!A:E, 5, FALSE)</f>
        <v>Chandigarh</v>
      </c>
    </row>
    <row r="154" spans="1:11" x14ac:dyDescent="0.5">
      <c r="A154" t="s">
        <v>166</v>
      </c>
      <c r="B154">
        <v>595</v>
      </c>
      <c r="C154">
        <v>292</v>
      </c>
      <c r="D154">
        <v>3</v>
      </c>
      <c r="E154" t="s">
        <v>23</v>
      </c>
      <c r="F154" t="s">
        <v>26</v>
      </c>
      <c r="G154" t="s">
        <v>10</v>
      </c>
      <c r="H154" s="1">
        <f>VLOOKUP(A154, [1]Orders!A:B, 2, FALSE)</f>
        <v>43358</v>
      </c>
      <c r="I154" t="str">
        <f>VLOOKUP(A154, [1]Orders!A:E, 3, FALSE)</f>
        <v>Ayush</v>
      </c>
      <c r="J154" t="str">
        <f>VLOOKUP(A154, [1]Orders!A:E, 4, FALSE)</f>
        <v>West Bengal</v>
      </c>
      <c r="K154" t="str">
        <f>VLOOKUP(A154, [1]Orders!A:E, 5, FALSE)</f>
        <v>Kolkata</v>
      </c>
    </row>
    <row r="155" spans="1:11" x14ac:dyDescent="0.5">
      <c r="A155" t="s">
        <v>17</v>
      </c>
      <c r="B155">
        <v>852</v>
      </c>
      <c r="C155">
        <v>51</v>
      </c>
      <c r="D155">
        <v>5</v>
      </c>
      <c r="E155" t="s">
        <v>12</v>
      </c>
      <c r="F155" t="s">
        <v>16</v>
      </c>
      <c r="G155" t="s">
        <v>19</v>
      </c>
      <c r="H155" s="1">
        <f>VLOOKUP(A155, [1]Orders!A:B, 2, FALSE)</f>
        <v>43186</v>
      </c>
      <c r="I155" t="str">
        <f>VLOOKUP(A155, [1]Orders!A:E, 3, FALSE)</f>
        <v>Sarita</v>
      </c>
      <c r="J155" t="str">
        <f>VLOOKUP(A155, [1]Orders!A:E, 4, FALSE)</f>
        <v>Maharashtra</v>
      </c>
      <c r="K155" t="str">
        <f>VLOOKUP(A155, [1]Orders!A:E, 5, FALSE)</f>
        <v>Pune</v>
      </c>
    </row>
    <row r="156" spans="1:11" x14ac:dyDescent="0.5">
      <c r="A156" t="s">
        <v>167</v>
      </c>
      <c r="B156">
        <v>594</v>
      </c>
      <c r="C156">
        <v>89</v>
      </c>
      <c r="D156">
        <v>3</v>
      </c>
      <c r="E156" t="s">
        <v>12</v>
      </c>
      <c r="F156" t="s">
        <v>16</v>
      </c>
      <c r="G156" t="s">
        <v>10</v>
      </c>
      <c r="H156" s="1">
        <f>VLOOKUP(A156, [1]Orders!A:B, 2, FALSE)</f>
        <v>43168</v>
      </c>
      <c r="I156" t="str">
        <f>VLOOKUP(A156, [1]Orders!A:E, 3, FALSE)</f>
        <v>Kirti</v>
      </c>
      <c r="J156" t="str">
        <f>VLOOKUP(A156, [1]Orders!A:E, 4, FALSE)</f>
        <v>Jammu and Kashmir</v>
      </c>
      <c r="K156" t="str">
        <f>VLOOKUP(A156, [1]Orders!A:E, 5, FALSE)</f>
        <v>Kashmir</v>
      </c>
    </row>
    <row r="157" spans="1:11" x14ac:dyDescent="0.5">
      <c r="A157" t="s">
        <v>168</v>
      </c>
      <c r="B157">
        <v>585</v>
      </c>
      <c r="C157">
        <v>175</v>
      </c>
      <c r="D157">
        <v>13</v>
      </c>
      <c r="E157" t="s">
        <v>23</v>
      </c>
      <c r="F157" t="s">
        <v>81</v>
      </c>
      <c r="G157" t="s">
        <v>10</v>
      </c>
      <c r="H157" s="1">
        <f>VLOOKUP(A157, [1]Orders!A:B, 2, FALSE)</f>
        <v>43146</v>
      </c>
      <c r="I157" t="str">
        <f>VLOOKUP(A157, [1]Orders!A:E, 3, FALSE)</f>
        <v>Jitesh</v>
      </c>
      <c r="J157" t="str">
        <f>VLOOKUP(A157, [1]Orders!A:E, 4, FALSE)</f>
        <v>Uttar Pradesh</v>
      </c>
      <c r="K157" t="str">
        <f>VLOOKUP(A157, [1]Orders!A:E, 5, FALSE)</f>
        <v>Lucknow</v>
      </c>
    </row>
    <row r="158" spans="1:11" x14ac:dyDescent="0.5">
      <c r="A158" t="s">
        <v>169</v>
      </c>
      <c r="B158">
        <v>582</v>
      </c>
      <c r="C158">
        <v>262</v>
      </c>
      <c r="D158">
        <v>5</v>
      </c>
      <c r="E158" t="s">
        <v>12</v>
      </c>
      <c r="F158" t="s">
        <v>131</v>
      </c>
      <c r="G158" t="s">
        <v>10</v>
      </c>
      <c r="H158" s="1">
        <f>VLOOKUP(A158, [1]Orders!A:B, 2, FALSE)</f>
        <v>43177</v>
      </c>
      <c r="I158" t="str">
        <f>VLOOKUP(A158, [1]Orders!A:E, 3, FALSE)</f>
        <v>Shruti</v>
      </c>
      <c r="J158" t="str">
        <f>VLOOKUP(A158, [1]Orders!A:E, 4, FALSE)</f>
        <v>Karnataka</v>
      </c>
      <c r="K158" t="str">
        <f>VLOOKUP(A158, [1]Orders!A:E, 5, FALSE)</f>
        <v>Bangalore</v>
      </c>
    </row>
    <row r="159" spans="1:11" x14ac:dyDescent="0.5">
      <c r="A159" t="s">
        <v>170</v>
      </c>
      <c r="B159">
        <v>845</v>
      </c>
      <c r="C159">
        <v>84</v>
      </c>
      <c r="D159">
        <v>7</v>
      </c>
      <c r="E159" t="s">
        <v>23</v>
      </c>
      <c r="F159" t="s">
        <v>26</v>
      </c>
      <c r="G159" t="s">
        <v>19</v>
      </c>
      <c r="H159" s="1">
        <f>VLOOKUP(A159, [1]Orders!A:B, 2, FALSE)</f>
        <v>43424</v>
      </c>
      <c r="I159" t="str">
        <f>VLOOKUP(A159, [1]Orders!A:E, 3, FALSE)</f>
        <v>Pranav</v>
      </c>
      <c r="J159" t="str">
        <f>VLOOKUP(A159, [1]Orders!A:E, 4, FALSE)</f>
        <v>Andhra Pradesh</v>
      </c>
      <c r="K159" t="str">
        <f>VLOOKUP(A159, [1]Orders!A:E, 5, FALSE)</f>
        <v>Hyderabad</v>
      </c>
    </row>
    <row r="160" spans="1:11" x14ac:dyDescent="0.5">
      <c r="A160" t="s">
        <v>171</v>
      </c>
      <c r="B160">
        <v>829</v>
      </c>
      <c r="C160">
        <v>19</v>
      </c>
      <c r="D160">
        <v>4</v>
      </c>
      <c r="E160" t="s">
        <v>8</v>
      </c>
      <c r="F160" t="s">
        <v>18</v>
      </c>
      <c r="G160" t="s">
        <v>19</v>
      </c>
      <c r="H160" s="1">
        <f>VLOOKUP(A160, [1]Orders!A:B, 2, FALSE)</f>
        <v>43412</v>
      </c>
      <c r="I160" t="str">
        <f>VLOOKUP(A160, [1]Orders!A:E, 3, FALSE)</f>
        <v>Abhijeet</v>
      </c>
      <c r="J160" t="str">
        <f>VLOOKUP(A160, [1]Orders!A:E, 4, FALSE)</f>
        <v>Madhya Pradesh</v>
      </c>
      <c r="K160" t="str">
        <f>VLOOKUP(A160, [1]Orders!A:E, 5, FALSE)</f>
        <v>Bhopal</v>
      </c>
    </row>
    <row r="161" spans="1:11" x14ac:dyDescent="0.5">
      <c r="A161" t="s">
        <v>20</v>
      </c>
      <c r="B161">
        <v>561</v>
      </c>
      <c r="C161">
        <v>212</v>
      </c>
      <c r="D161">
        <v>3</v>
      </c>
      <c r="E161" t="s">
        <v>23</v>
      </c>
      <c r="F161" t="s">
        <v>26</v>
      </c>
      <c r="G161" t="s">
        <v>10</v>
      </c>
      <c r="H161" s="1">
        <f>VLOOKUP(A161, [1]Orders!A:B, 2, FALSE)</f>
        <v>43191</v>
      </c>
      <c r="I161" t="str">
        <f>VLOOKUP(A161, [1]Orders!A:E, 3, FALSE)</f>
        <v>Vrinda</v>
      </c>
      <c r="J161" t="str">
        <f>VLOOKUP(A161, [1]Orders!A:E, 4, FALSE)</f>
        <v>Maharashtra</v>
      </c>
      <c r="K161" t="str">
        <f>VLOOKUP(A161, [1]Orders!A:E, 5, FALSE)</f>
        <v>Pune</v>
      </c>
    </row>
    <row r="162" spans="1:11" x14ac:dyDescent="0.5">
      <c r="A162" t="s">
        <v>103</v>
      </c>
      <c r="B162">
        <v>771</v>
      </c>
      <c r="C162">
        <v>-424</v>
      </c>
      <c r="D162">
        <v>2</v>
      </c>
      <c r="E162" t="s">
        <v>8</v>
      </c>
      <c r="F162" t="s">
        <v>21</v>
      </c>
      <c r="G162" t="s">
        <v>19</v>
      </c>
      <c r="H162" s="1">
        <f>VLOOKUP(A162, [1]Orders!A:B, 2, FALSE)</f>
        <v>43303</v>
      </c>
      <c r="I162" t="str">
        <f>VLOOKUP(A162, [1]Orders!A:E, 3, FALSE)</f>
        <v>Ameesha</v>
      </c>
      <c r="J162" t="str">
        <f>VLOOKUP(A162, [1]Orders!A:E, 4, FALSE)</f>
        <v>Maharashtra</v>
      </c>
      <c r="K162" t="str">
        <f>VLOOKUP(A162, [1]Orders!A:E, 5, FALSE)</f>
        <v>Pune</v>
      </c>
    </row>
    <row r="163" spans="1:11" x14ac:dyDescent="0.5">
      <c r="A163" t="s">
        <v>172</v>
      </c>
      <c r="B163">
        <v>765</v>
      </c>
      <c r="C163">
        <v>8</v>
      </c>
      <c r="D163">
        <v>6</v>
      </c>
      <c r="E163" t="s">
        <v>23</v>
      </c>
      <c r="F163" t="s">
        <v>26</v>
      </c>
      <c r="G163" t="s">
        <v>14</v>
      </c>
      <c r="H163" s="1">
        <f>VLOOKUP(A163, [1]Orders!A:B, 2, FALSE)</f>
        <v>43378</v>
      </c>
      <c r="I163" t="str">
        <f>VLOOKUP(A163, [1]Orders!A:E, 3, FALSE)</f>
        <v>Shivanshu</v>
      </c>
      <c r="J163" t="str">
        <f>VLOOKUP(A163, [1]Orders!A:E, 4, FALSE)</f>
        <v>Madhya Pradesh</v>
      </c>
      <c r="K163" t="str">
        <f>VLOOKUP(A163, [1]Orders!A:E, 5, FALSE)</f>
        <v>Indore</v>
      </c>
    </row>
    <row r="164" spans="1:11" x14ac:dyDescent="0.5">
      <c r="A164" t="s">
        <v>173</v>
      </c>
      <c r="B164">
        <v>31</v>
      </c>
      <c r="C164">
        <v>2</v>
      </c>
      <c r="D164">
        <v>2</v>
      </c>
      <c r="E164" t="s">
        <v>23</v>
      </c>
      <c r="F164" t="s">
        <v>30</v>
      </c>
      <c r="G164" t="s">
        <v>10</v>
      </c>
      <c r="H164" s="1">
        <f>VLOOKUP(A164, [1]Orders!A:B, 2, FALSE)</f>
        <v>43135</v>
      </c>
      <c r="I164" t="str">
        <f>VLOOKUP(A164, [1]Orders!A:E, 3, FALSE)</f>
        <v>Prashant</v>
      </c>
      <c r="J164" t="str">
        <f>VLOOKUP(A164, [1]Orders!A:E, 4, FALSE)</f>
        <v>Delhi</v>
      </c>
      <c r="K164" t="str">
        <f>VLOOKUP(A164, [1]Orders!A:E, 5, FALSE)</f>
        <v>Delhi</v>
      </c>
    </row>
    <row r="165" spans="1:11" x14ac:dyDescent="0.5">
      <c r="A165" t="s">
        <v>174</v>
      </c>
      <c r="B165">
        <v>557</v>
      </c>
      <c r="C165">
        <v>-111</v>
      </c>
      <c r="D165">
        <v>2</v>
      </c>
      <c r="E165" t="s">
        <v>8</v>
      </c>
      <c r="F165" t="s">
        <v>9</v>
      </c>
      <c r="G165" t="s">
        <v>10</v>
      </c>
      <c r="H165" s="1">
        <f>VLOOKUP(A165, [1]Orders!A:B, 2, FALSE)</f>
        <v>43181</v>
      </c>
      <c r="I165" t="str">
        <f>VLOOKUP(A165, [1]Orders!A:E, 3, FALSE)</f>
        <v>Kasheen</v>
      </c>
      <c r="J165" t="str">
        <f>VLOOKUP(A165, [1]Orders!A:E, 4, FALSE)</f>
        <v>West Bengal</v>
      </c>
      <c r="K165" t="str">
        <f>VLOOKUP(A165, [1]Orders!A:E, 5, FALSE)</f>
        <v>Kolkata</v>
      </c>
    </row>
    <row r="166" spans="1:11" x14ac:dyDescent="0.5">
      <c r="A166" t="s">
        <v>172</v>
      </c>
      <c r="B166">
        <v>757</v>
      </c>
      <c r="C166">
        <v>371</v>
      </c>
      <c r="D166">
        <v>2</v>
      </c>
      <c r="E166" t="s">
        <v>8</v>
      </c>
      <c r="F166" t="s">
        <v>18</v>
      </c>
      <c r="G166" t="s">
        <v>19</v>
      </c>
      <c r="H166" s="1">
        <f>VLOOKUP(A166, [1]Orders!A:B, 2, FALSE)</f>
        <v>43378</v>
      </c>
      <c r="I166" t="str">
        <f>VLOOKUP(A166, [1]Orders!A:E, 3, FALSE)</f>
        <v>Shivanshu</v>
      </c>
      <c r="J166" t="str">
        <f>VLOOKUP(A166, [1]Orders!A:E, 4, FALSE)</f>
        <v>Madhya Pradesh</v>
      </c>
      <c r="K166" t="str">
        <f>VLOOKUP(A166, [1]Orders!A:E, 5, FALSE)</f>
        <v>Indore</v>
      </c>
    </row>
    <row r="167" spans="1:11" x14ac:dyDescent="0.5">
      <c r="A167" t="s">
        <v>175</v>
      </c>
      <c r="B167">
        <v>545</v>
      </c>
      <c r="C167">
        <v>-73</v>
      </c>
      <c r="D167">
        <v>11</v>
      </c>
      <c r="E167" t="s">
        <v>8</v>
      </c>
      <c r="F167" t="s">
        <v>21</v>
      </c>
      <c r="G167" t="s">
        <v>10</v>
      </c>
      <c r="H167" s="1">
        <f>VLOOKUP(A167, [1]Orders!A:B, 2, FALSE)</f>
        <v>43258</v>
      </c>
      <c r="I167" t="str">
        <f>VLOOKUP(A167, [1]Orders!A:E, 3, FALSE)</f>
        <v>Krutika</v>
      </c>
      <c r="J167" t="str">
        <f>VLOOKUP(A167, [1]Orders!A:E, 4, FALSE)</f>
        <v>Bihar</v>
      </c>
      <c r="K167" t="str">
        <f>VLOOKUP(A167, [1]Orders!A:E, 5, FALSE)</f>
        <v>Patna</v>
      </c>
    </row>
    <row r="168" spans="1:11" x14ac:dyDescent="0.5">
      <c r="A168" t="s">
        <v>176</v>
      </c>
      <c r="B168">
        <v>1052</v>
      </c>
      <c r="C168">
        <v>-82</v>
      </c>
      <c r="D168">
        <v>3</v>
      </c>
      <c r="E168" t="s">
        <v>12</v>
      </c>
      <c r="F168" t="s">
        <v>16</v>
      </c>
      <c r="G168" t="s">
        <v>28</v>
      </c>
      <c r="H168" s="1">
        <f>VLOOKUP(A168, [1]Orders!A:B, 2, FALSE)</f>
        <v>43325</v>
      </c>
      <c r="I168" t="str">
        <f>VLOOKUP(A168, [1]Orders!A:E, 3, FALSE)</f>
        <v>Ayush</v>
      </c>
      <c r="J168" t="str">
        <f>VLOOKUP(A168, [1]Orders!A:E, 4, FALSE)</f>
        <v>Maharashtra</v>
      </c>
      <c r="K168" t="str">
        <f>VLOOKUP(A168, [1]Orders!A:E, 5, FALSE)</f>
        <v>Mumbai</v>
      </c>
    </row>
    <row r="169" spans="1:11" x14ac:dyDescent="0.5">
      <c r="A169" t="s">
        <v>177</v>
      </c>
      <c r="B169">
        <v>544</v>
      </c>
      <c r="C169">
        <v>-152</v>
      </c>
      <c r="D169">
        <v>3</v>
      </c>
      <c r="E169" t="s">
        <v>12</v>
      </c>
      <c r="F169" t="s">
        <v>16</v>
      </c>
      <c r="G169" t="s">
        <v>10</v>
      </c>
      <c r="H169" s="1">
        <f>VLOOKUP(A169, [1]Orders!A:B, 2, FALSE)</f>
        <v>43119</v>
      </c>
      <c r="I169" t="str">
        <f>VLOOKUP(A169, [1]Orders!A:E, 3, FALSE)</f>
        <v>Tejeswini</v>
      </c>
      <c r="J169" t="str">
        <f>VLOOKUP(A169, [1]Orders!A:E, 4, FALSE)</f>
        <v>Maharashtra</v>
      </c>
      <c r="K169" t="str">
        <f>VLOOKUP(A169, [1]Orders!A:E, 5, FALSE)</f>
        <v>Pune</v>
      </c>
    </row>
    <row r="170" spans="1:11" x14ac:dyDescent="0.5">
      <c r="A170" t="s">
        <v>178</v>
      </c>
      <c r="B170">
        <v>22</v>
      </c>
      <c r="C170">
        <v>9</v>
      </c>
      <c r="D170">
        <v>2</v>
      </c>
      <c r="E170" t="s">
        <v>23</v>
      </c>
      <c r="F170" t="s">
        <v>63</v>
      </c>
      <c r="G170" t="s">
        <v>82</v>
      </c>
      <c r="H170" s="1">
        <f>VLOOKUP(A170, [1]Orders!A:B, 2, FALSE)</f>
        <v>43442</v>
      </c>
      <c r="I170" t="str">
        <f>VLOOKUP(A170, [1]Orders!A:E, 3, FALSE)</f>
        <v>Aishwarya</v>
      </c>
      <c r="J170" t="str">
        <f>VLOOKUP(A170, [1]Orders!A:E, 4, FALSE)</f>
        <v>Uttar Pradesh</v>
      </c>
      <c r="K170" t="str">
        <f>VLOOKUP(A170, [1]Orders!A:E, 5, FALSE)</f>
        <v>Prayagraj</v>
      </c>
    </row>
    <row r="171" spans="1:11" x14ac:dyDescent="0.5">
      <c r="A171" t="s">
        <v>48</v>
      </c>
      <c r="B171">
        <v>757</v>
      </c>
      <c r="C171">
        <v>371</v>
      </c>
      <c r="D171">
        <v>2</v>
      </c>
      <c r="E171" t="s">
        <v>8</v>
      </c>
      <c r="F171" t="s">
        <v>18</v>
      </c>
      <c r="G171" t="s">
        <v>19</v>
      </c>
      <c r="H171" s="1">
        <f>VLOOKUP(A171, [1]Orders!A:B, 2, FALSE)</f>
        <v>43407</v>
      </c>
      <c r="I171" t="str">
        <f>VLOOKUP(A171, [1]Orders!A:E, 3, FALSE)</f>
        <v>Snel</v>
      </c>
      <c r="J171" t="str">
        <f>VLOOKUP(A171, [1]Orders!A:E, 4, FALSE)</f>
        <v xml:space="preserve">Kerala </v>
      </c>
      <c r="K171" t="str">
        <f>VLOOKUP(A171, [1]Orders!A:E, 5, FALSE)</f>
        <v>Thiruvananthapuram</v>
      </c>
    </row>
    <row r="172" spans="1:11" x14ac:dyDescent="0.5">
      <c r="A172" t="s">
        <v>179</v>
      </c>
      <c r="B172">
        <v>742</v>
      </c>
      <c r="C172">
        <v>198</v>
      </c>
      <c r="D172">
        <v>2</v>
      </c>
      <c r="E172" t="s">
        <v>12</v>
      </c>
      <c r="F172" t="s">
        <v>16</v>
      </c>
      <c r="G172" t="s">
        <v>19</v>
      </c>
      <c r="H172" s="1">
        <f>VLOOKUP(A172, [1]Orders!A:B, 2, FALSE)</f>
        <v>43113</v>
      </c>
      <c r="I172" t="str">
        <f>VLOOKUP(A172, [1]Orders!A:E, 3, FALSE)</f>
        <v>Jesal</v>
      </c>
      <c r="J172" t="str">
        <f>VLOOKUP(A172, [1]Orders!A:E, 4, FALSE)</f>
        <v>West Bengal</v>
      </c>
      <c r="K172" t="str">
        <f>VLOOKUP(A172, [1]Orders!A:E, 5, FALSE)</f>
        <v>Kolkata</v>
      </c>
    </row>
    <row r="173" spans="1:11" x14ac:dyDescent="0.5">
      <c r="A173" t="s">
        <v>180</v>
      </c>
      <c r="B173">
        <v>537</v>
      </c>
      <c r="C173">
        <v>107</v>
      </c>
      <c r="D173">
        <v>3</v>
      </c>
      <c r="E173" t="s">
        <v>23</v>
      </c>
      <c r="F173" t="s">
        <v>26</v>
      </c>
      <c r="G173" t="s">
        <v>10</v>
      </c>
      <c r="H173" s="1">
        <f>VLOOKUP(A173, [1]Orders!A:B, 2, FALSE)</f>
        <v>43397</v>
      </c>
      <c r="I173" t="str">
        <f>VLOOKUP(A173, [1]Orders!A:E, 3, FALSE)</f>
        <v>Nikita</v>
      </c>
      <c r="J173" t="str">
        <f>VLOOKUP(A173, [1]Orders!A:E, 4, FALSE)</f>
        <v>Punjab</v>
      </c>
      <c r="K173" t="str">
        <f>VLOOKUP(A173, [1]Orders!A:E, 5, FALSE)</f>
        <v>Chandigarh</v>
      </c>
    </row>
    <row r="174" spans="1:11" x14ac:dyDescent="0.5">
      <c r="A174" t="s">
        <v>172</v>
      </c>
      <c r="B174">
        <v>536</v>
      </c>
      <c r="C174">
        <v>91</v>
      </c>
      <c r="D174">
        <v>1</v>
      </c>
      <c r="E174" t="s">
        <v>23</v>
      </c>
      <c r="F174" t="s">
        <v>24</v>
      </c>
      <c r="G174" t="s">
        <v>10</v>
      </c>
      <c r="H174" s="1">
        <f>VLOOKUP(A174, [1]Orders!A:B, 2, FALSE)</f>
        <v>43378</v>
      </c>
      <c r="I174" t="str">
        <f>VLOOKUP(A174, [1]Orders!A:E, 3, FALSE)</f>
        <v>Shivanshu</v>
      </c>
      <c r="J174" t="str">
        <f>VLOOKUP(A174, [1]Orders!A:E, 4, FALSE)</f>
        <v>Madhya Pradesh</v>
      </c>
      <c r="K174" t="str">
        <f>VLOOKUP(A174, [1]Orders!A:E, 5, FALSE)</f>
        <v>Indore</v>
      </c>
    </row>
    <row r="175" spans="1:11" x14ac:dyDescent="0.5">
      <c r="A175" t="s">
        <v>123</v>
      </c>
      <c r="B175">
        <v>6</v>
      </c>
      <c r="C175">
        <v>3</v>
      </c>
      <c r="D175">
        <v>1</v>
      </c>
      <c r="E175" t="s">
        <v>23</v>
      </c>
      <c r="F175" t="s">
        <v>30</v>
      </c>
      <c r="G175" t="s">
        <v>10</v>
      </c>
      <c r="H175" s="1">
        <f>VLOOKUP(A175, [1]Orders!A:B, 2, FALSE)</f>
        <v>43231</v>
      </c>
      <c r="I175" t="str">
        <f>VLOOKUP(A175, [1]Orders!A:E, 3, FALSE)</f>
        <v>Priyanka</v>
      </c>
      <c r="J175" t="str">
        <f>VLOOKUP(A175, [1]Orders!A:E, 4, FALSE)</f>
        <v>Maharashtra</v>
      </c>
      <c r="K175" t="str">
        <f>VLOOKUP(A175, [1]Orders!A:E, 5, FALSE)</f>
        <v>Pune</v>
      </c>
    </row>
    <row r="176" spans="1:11" x14ac:dyDescent="0.5">
      <c r="A176" t="s">
        <v>7</v>
      </c>
      <c r="B176">
        <v>523</v>
      </c>
      <c r="C176">
        <v>204</v>
      </c>
      <c r="D176">
        <v>7</v>
      </c>
      <c r="E176" t="s">
        <v>23</v>
      </c>
      <c r="F176" t="s">
        <v>24</v>
      </c>
      <c r="G176" t="s">
        <v>10</v>
      </c>
      <c r="H176" s="1">
        <f>VLOOKUP(A176, [1]Orders!A:B, 2, FALSE)</f>
        <v>43255</v>
      </c>
      <c r="I176" t="str">
        <f>VLOOKUP(A176, [1]Orders!A:E, 3, FALSE)</f>
        <v>Bhawna</v>
      </c>
      <c r="J176" t="str">
        <f>VLOOKUP(A176, [1]Orders!A:E, 4, FALSE)</f>
        <v>Madhya Pradesh</v>
      </c>
      <c r="K176" t="str">
        <f>VLOOKUP(A176, [1]Orders!A:E, 5, FALSE)</f>
        <v>Indore</v>
      </c>
    </row>
    <row r="177" spans="1:11" x14ac:dyDescent="0.5">
      <c r="A177" t="s">
        <v>181</v>
      </c>
      <c r="B177">
        <v>27</v>
      </c>
      <c r="C177">
        <v>9</v>
      </c>
      <c r="D177">
        <v>2</v>
      </c>
      <c r="E177" t="s">
        <v>23</v>
      </c>
      <c r="F177" t="s">
        <v>81</v>
      </c>
      <c r="G177" t="s">
        <v>28</v>
      </c>
      <c r="H177" s="1">
        <f>VLOOKUP(A177, [1]Orders!A:B, 2, FALSE)</f>
        <v>43234</v>
      </c>
      <c r="I177" t="str">
        <f>VLOOKUP(A177, [1]Orders!A:E, 3, FALSE)</f>
        <v>Shefali</v>
      </c>
      <c r="J177" t="str">
        <f>VLOOKUP(A177, [1]Orders!A:E, 4, FALSE)</f>
        <v>Rajasthan</v>
      </c>
      <c r="K177" t="str">
        <f>VLOOKUP(A177, [1]Orders!A:E, 5, FALSE)</f>
        <v>Jaipur</v>
      </c>
    </row>
    <row r="178" spans="1:11" x14ac:dyDescent="0.5">
      <c r="A178" t="s">
        <v>182</v>
      </c>
      <c r="B178">
        <v>516</v>
      </c>
      <c r="C178">
        <v>392</v>
      </c>
      <c r="D178">
        <v>8</v>
      </c>
      <c r="E178" t="s">
        <v>12</v>
      </c>
      <c r="F178" t="s">
        <v>13</v>
      </c>
      <c r="G178" t="s">
        <v>10</v>
      </c>
      <c r="H178" s="1">
        <f>VLOOKUP(A178, [1]Orders!A:B, 2, FALSE)</f>
        <v>43274</v>
      </c>
      <c r="I178" t="str">
        <f>VLOOKUP(A178, [1]Orders!A:E, 3, FALSE)</f>
        <v>Amisha</v>
      </c>
      <c r="J178" t="str">
        <f>VLOOKUP(A178, [1]Orders!A:E, 4, FALSE)</f>
        <v>Tamil Nadu</v>
      </c>
      <c r="K178" t="str">
        <f>VLOOKUP(A178, [1]Orders!A:E, 5, FALSE)</f>
        <v>Chennai</v>
      </c>
    </row>
    <row r="179" spans="1:11" x14ac:dyDescent="0.5">
      <c r="A179" t="s">
        <v>183</v>
      </c>
      <c r="B179">
        <v>504</v>
      </c>
      <c r="C179">
        <v>116</v>
      </c>
      <c r="D179">
        <v>3</v>
      </c>
      <c r="E179" t="s">
        <v>12</v>
      </c>
      <c r="F179" t="s">
        <v>16</v>
      </c>
      <c r="G179" t="s">
        <v>10</v>
      </c>
      <c r="H179" s="1">
        <f>VLOOKUP(A179, [1]Orders!A:B, 2, FALSE)</f>
        <v>43401</v>
      </c>
      <c r="I179" t="str">
        <f>VLOOKUP(A179, [1]Orders!A:E, 3, FALSE)</f>
        <v>Harshita</v>
      </c>
      <c r="J179" t="str">
        <f>VLOOKUP(A179, [1]Orders!A:E, 4, FALSE)</f>
        <v>Maharashtra</v>
      </c>
      <c r="K179" t="str">
        <f>VLOOKUP(A179, [1]Orders!A:E, 5, FALSE)</f>
        <v>Mumbai</v>
      </c>
    </row>
    <row r="180" spans="1:11" x14ac:dyDescent="0.5">
      <c r="A180" t="s">
        <v>184</v>
      </c>
      <c r="B180">
        <v>502</v>
      </c>
      <c r="C180">
        <v>84</v>
      </c>
      <c r="D180">
        <v>4</v>
      </c>
      <c r="E180" t="s">
        <v>8</v>
      </c>
      <c r="F180" t="s">
        <v>21</v>
      </c>
      <c r="G180" t="s">
        <v>10</v>
      </c>
      <c r="H180" s="1">
        <f>VLOOKUP(A180, [1]Orders!A:B, 2, FALSE)</f>
        <v>43432</v>
      </c>
      <c r="I180" t="str">
        <f>VLOOKUP(A180, [1]Orders!A:E, 3, FALSE)</f>
        <v>Brijesh</v>
      </c>
      <c r="J180" t="str">
        <f>VLOOKUP(A180, [1]Orders!A:E, 4, FALSE)</f>
        <v>Rajasthan</v>
      </c>
      <c r="K180" t="str">
        <f>VLOOKUP(A180, [1]Orders!A:E, 5, FALSE)</f>
        <v>Udaipur</v>
      </c>
    </row>
    <row r="181" spans="1:11" x14ac:dyDescent="0.5">
      <c r="A181" t="s">
        <v>185</v>
      </c>
      <c r="B181">
        <v>734</v>
      </c>
      <c r="C181">
        <v>213</v>
      </c>
      <c r="D181">
        <v>6</v>
      </c>
      <c r="E181" t="s">
        <v>8</v>
      </c>
      <c r="F181" t="s">
        <v>9</v>
      </c>
      <c r="G181" t="s">
        <v>19</v>
      </c>
      <c r="H181" s="1">
        <f>VLOOKUP(A181, [1]Orders!A:B, 2, FALSE)</f>
        <v>43440</v>
      </c>
      <c r="I181" t="str">
        <f>VLOOKUP(A181, [1]Orders!A:E, 3, FALSE)</f>
        <v>Rohan</v>
      </c>
      <c r="J181" t="str">
        <f>VLOOKUP(A181, [1]Orders!A:E, 4, FALSE)</f>
        <v>Madhya Pradesh</v>
      </c>
      <c r="K181" t="str">
        <f>VLOOKUP(A181, [1]Orders!A:E, 5, FALSE)</f>
        <v>Indore</v>
      </c>
    </row>
    <row r="182" spans="1:11" x14ac:dyDescent="0.5">
      <c r="A182" t="s">
        <v>186</v>
      </c>
      <c r="B182">
        <v>42</v>
      </c>
      <c r="C182">
        <v>12</v>
      </c>
      <c r="D182">
        <v>2</v>
      </c>
      <c r="E182" t="s">
        <v>23</v>
      </c>
      <c r="F182" t="s">
        <v>32</v>
      </c>
      <c r="G182" t="s">
        <v>10</v>
      </c>
      <c r="H182" s="1">
        <f>VLOOKUP(A182, [1]Orders!A:B, 2, FALSE)</f>
        <v>43427</v>
      </c>
      <c r="I182" t="str">
        <f>VLOOKUP(A182, [1]Orders!A:E, 3, FALSE)</f>
        <v>Divyeta</v>
      </c>
      <c r="J182" t="str">
        <f>VLOOKUP(A182, [1]Orders!A:E, 4, FALSE)</f>
        <v>Madhya Pradesh</v>
      </c>
      <c r="K182" t="str">
        <f>VLOOKUP(A182, [1]Orders!A:E, 5, FALSE)</f>
        <v>Indore</v>
      </c>
    </row>
    <row r="183" spans="1:11" x14ac:dyDescent="0.5">
      <c r="A183" t="s">
        <v>187</v>
      </c>
      <c r="B183">
        <v>29</v>
      </c>
      <c r="C183">
        <v>11</v>
      </c>
      <c r="D183">
        <v>4</v>
      </c>
      <c r="E183" t="s">
        <v>23</v>
      </c>
      <c r="F183" t="s">
        <v>43</v>
      </c>
      <c r="G183" t="s">
        <v>10</v>
      </c>
      <c r="H183" s="1">
        <f>VLOOKUP(A183, [1]Orders!A:B, 2, FALSE)</f>
        <v>43417</v>
      </c>
      <c r="I183" t="str">
        <f>VLOOKUP(A183, [1]Orders!A:E, 3, FALSE)</f>
        <v>Uudhav</v>
      </c>
      <c r="J183" t="str">
        <f>VLOOKUP(A183, [1]Orders!A:E, 4, FALSE)</f>
        <v>Maharashtra</v>
      </c>
      <c r="K183" t="str">
        <f>VLOOKUP(A183, [1]Orders!A:E, 5, FALSE)</f>
        <v>Mumbai</v>
      </c>
    </row>
    <row r="184" spans="1:11" x14ac:dyDescent="0.5">
      <c r="A184" t="s">
        <v>188</v>
      </c>
      <c r="B184">
        <v>240</v>
      </c>
      <c r="C184">
        <v>12</v>
      </c>
      <c r="D184">
        <v>6</v>
      </c>
      <c r="E184" t="s">
        <v>23</v>
      </c>
      <c r="F184" t="s">
        <v>32</v>
      </c>
      <c r="G184" t="s">
        <v>28</v>
      </c>
      <c r="H184" s="1">
        <f>VLOOKUP(A184, [1]Orders!A:B, 2, FALSE)</f>
        <v>43421</v>
      </c>
      <c r="I184" t="str">
        <f>VLOOKUP(A184, [1]Orders!A:E, 3, FALSE)</f>
        <v>Ankit</v>
      </c>
      <c r="J184" t="str">
        <f>VLOOKUP(A184, [1]Orders!A:E, 4, FALSE)</f>
        <v>Sikkim</v>
      </c>
      <c r="K184" t="str">
        <f>VLOOKUP(A184, [1]Orders!A:E, 5, FALSE)</f>
        <v>Gangtok</v>
      </c>
    </row>
    <row r="185" spans="1:11" x14ac:dyDescent="0.5">
      <c r="A185" t="s">
        <v>189</v>
      </c>
      <c r="B185">
        <v>496</v>
      </c>
      <c r="C185">
        <v>-79</v>
      </c>
      <c r="D185">
        <v>2</v>
      </c>
      <c r="E185" t="s">
        <v>23</v>
      </c>
      <c r="F185" t="s">
        <v>24</v>
      </c>
      <c r="G185" t="s">
        <v>10</v>
      </c>
      <c r="H185" s="1">
        <f>VLOOKUP(A185, [1]Orders!A:B, 2, FALSE)</f>
        <v>43216</v>
      </c>
      <c r="I185" t="str">
        <f>VLOOKUP(A185, [1]Orders!A:E, 3, FALSE)</f>
        <v>Amit</v>
      </c>
      <c r="J185" t="str">
        <f>VLOOKUP(A185, [1]Orders!A:E, 4, FALSE)</f>
        <v>Sikkim</v>
      </c>
      <c r="K185" t="str">
        <f>VLOOKUP(A185, [1]Orders!A:E, 5, FALSE)</f>
        <v>Gangtok</v>
      </c>
    </row>
    <row r="186" spans="1:11" x14ac:dyDescent="0.5">
      <c r="A186" t="s">
        <v>190</v>
      </c>
      <c r="B186">
        <v>485</v>
      </c>
      <c r="C186">
        <v>29</v>
      </c>
      <c r="D186">
        <v>4</v>
      </c>
      <c r="E186" t="s">
        <v>8</v>
      </c>
      <c r="F186" t="s">
        <v>9</v>
      </c>
      <c r="G186" t="s">
        <v>10</v>
      </c>
      <c r="H186" s="1">
        <f>VLOOKUP(A186, [1]Orders!A:B, 2, FALSE)</f>
        <v>43199</v>
      </c>
      <c r="I186" t="str">
        <f>VLOOKUP(A186, [1]Orders!A:E, 3, FALSE)</f>
        <v>Jitesh</v>
      </c>
      <c r="J186" t="str">
        <f>VLOOKUP(A186, [1]Orders!A:E, 4, FALSE)</f>
        <v>Uttar Pradesh</v>
      </c>
      <c r="K186" t="str">
        <f>VLOOKUP(A186, [1]Orders!A:E, 5, FALSE)</f>
        <v>Lucknow</v>
      </c>
    </row>
    <row r="187" spans="1:11" x14ac:dyDescent="0.5">
      <c r="A187" t="s">
        <v>191</v>
      </c>
      <c r="B187">
        <v>31</v>
      </c>
      <c r="C187">
        <v>-11</v>
      </c>
      <c r="D187">
        <v>3</v>
      </c>
      <c r="E187" t="s">
        <v>23</v>
      </c>
      <c r="F187" t="s">
        <v>43</v>
      </c>
      <c r="G187" t="s">
        <v>28</v>
      </c>
      <c r="H187" s="1">
        <f>VLOOKUP(A187, [1]Orders!A:B, 2, FALSE)</f>
        <v>43439</v>
      </c>
      <c r="I187" t="str">
        <f>VLOOKUP(A187, [1]Orders!A:E, 3, FALSE)</f>
        <v>Aman</v>
      </c>
      <c r="J187" t="str">
        <f>VLOOKUP(A187, [1]Orders!A:E, 4, FALSE)</f>
        <v>Maharashtra</v>
      </c>
      <c r="K187" t="str">
        <f>VLOOKUP(A187, [1]Orders!A:E, 5, FALSE)</f>
        <v>Mumbai</v>
      </c>
    </row>
    <row r="188" spans="1:11" x14ac:dyDescent="0.5">
      <c r="A188" t="s">
        <v>192</v>
      </c>
      <c r="B188">
        <v>676</v>
      </c>
      <c r="C188">
        <v>151</v>
      </c>
      <c r="D188">
        <v>3</v>
      </c>
      <c r="E188" t="s">
        <v>8</v>
      </c>
      <c r="F188" t="s">
        <v>18</v>
      </c>
      <c r="G188" t="s">
        <v>19</v>
      </c>
      <c r="H188" s="1">
        <f>VLOOKUP(A188, [1]Orders!A:B, 2, FALSE)</f>
        <v>43137</v>
      </c>
      <c r="I188" t="str">
        <f>VLOOKUP(A188, [1]Orders!A:E, 3, FALSE)</f>
        <v>Shubham</v>
      </c>
      <c r="J188" t="str">
        <f>VLOOKUP(A188, [1]Orders!A:E, 4, FALSE)</f>
        <v>Delhi</v>
      </c>
      <c r="K188" t="str">
        <f>VLOOKUP(A188, [1]Orders!A:E, 5, FALSE)</f>
        <v>Delhi</v>
      </c>
    </row>
    <row r="189" spans="1:11" x14ac:dyDescent="0.5">
      <c r="A189" t="s">
        <v>157</v>
      </c>
      <c r="B189">
        <v>23</v>
      </c>
      <c r="C189">
        <v>8</v>
      </c>
      <c r="D189">
        <v>2</v>
      </c>
      <c r="E189" t="s">
        <v>23</v>
      </c>
      <c r="F189" t="s">
        <v>30</v>
      </c>
      <c r="G189" t="s">
        <v>82</v>
      </c>
      <c r="H189" s="1">
        <f>VLOOKUP(A189, [1]Orders!A:B, 2, FALSE)</f>
        <v>43118</v>
      </c>
      <c r="I189" t="str">
        <f>VLOOKUP(A189, [1]Orders!A:E, 3, FALSE)</f>
        <v>Muskan</v>
      </c>
      <c r="J189" t="str">
        <f>VLOOKUP(A189, [1]Orders!A:E, 4, FALSE)</f>
        <v>Madhya Pradesh</v>
      </c>
      <c r="K189" t="str">
        <f>VLOOKUP(A189, [1]Orders!A:E, 5, FALSE)</f>
        <v>Indore</v>
      </c>
    </row>
    <row r="190" spans="1:11" x14ac:dyDescent="0.5">
      <c r="A190" t="s">
        <v>193</v>
      </c>
      <c r="B190">
        <v>13</v>
      </c>
      <c r="C190">
        <v>3</v>
      </c>
      <c r="D190">
        <v>2</v>
      </c>
      <c r="E190" t="s">
        <v>23</v>
      </c>
      <c r="F190" t="s">
        <v>30</v>
      </c>
      <c r="G190" t="s">
        <v>10</v>
      </c>
      <c r="H190" s="1">
        <f>VLOOKUP(A190, [1]Orders!A:B, 2, FALSE)</f>
        <v>43106</v>
      </c>
      <c r="I190" t="str">
        <f>VLOOKUP(A190, [1]Orders!A:E, 3, FALSE)</f>
        <v>Vivek</v>
      </c>
      <c r="J190" t="str">
        <f>VLOOKUP(A190, [1]Orders!A:E, 4, FALSE)</f>
        <v>Goa</v>
      </c>
      <c r="K190" t="str">
        <f>VLOOKUP(A190, [1]Orders!A:E, 5, FALSE)</f>
        <v>Goa</v>
      </c>
    </row>
    <row r="191" spans="1:11" x14ac:dyDescent="0.5">
      <c r="A191" t="s">
        <v>194</v>
      </c>
      <c r="B191">
        <v>180</v>
      </c>
      <c r="C191">
        <v>0</v>
      </c>
      <c r="D191">
        <v>8</v>
      </c>
      <c r="E191" t="s">
        <v>23</v>
      </c>
      <c r="F191" t="s">
        <v>57</v>
      </c>
      <c r="G191" t="s">
        <v>10</v>
      </c>
      <c r="H191" s="1">
        <f>VLOOKUP(A191, [1]Orders!A:B, 2, FALSE)</f>
        <v>43185</v>
      </c>
      <c r="I191" t="str">
        <f>VLOOKUP(A191, [1]Orders!A:E, 3, FALSE)</f>
        <v>Vandana</v>
      </c>
      <c r="J191" t="str">
        <f>VLOOKUP(A191, [1]Orders!A:E, 4, FALSE)</f>
        <v>Himachal Pradesh</v>
      </c>
      <c r="K191" t="str">
        <f>VLOOKUP(A191, [1]Orders!A:E, 5, FALSE)</f>
        <v>Simla</v>
      </c>
    </row>
    <row r="192" spans="1:11" x14ac:dyDescent="0.5">
      <c r="A192" t="s">
        <v>11</v>
      </c>
      <c r="B192">
        <v>671</v>
      </c>
      <c r="C192">
        <v>114</v>
      </c>
      <c r="D192">
        <v>9</v>
      </c>
      <c r="E192" t="s">
        <v>8</v>
      </c>
      <c r="F192" t="s">
        <v>21</v>
      </c>
      <c r="G192" t="s">
        <v>19</v>
      </c>
      <c r="H192" s="1">
        <f>VLOOKUP(A192, [1]Orders!A:B, 2, FALSE)</f>
        <v>43169</v>
      </c>
      <c r="I192" t="str">
        <f>VLOOKUP(A192, [1]Orders!A:E, 3, FALSE)</f>
        <v>Harivansh</v>
      </c>
      <c r="J192" t="str">
        <f>VLOOKUP(A192, [1]Orders!A:E, 4, FALSE)</f>
        <v>Uttar Pradesh</v>
      </c>
      <c r="K192" t="str">
        <f>VLOOKUP(A192, [1]Orders!A:E, 5, FALSE)</f>
        <v>Mathura</v>
      </c>
    </row>
    <row r="193" spans="1:11" x14ac:dyDescent="0.5">
      <c r="A193" t="s">
        <v>195</v>
      </c>
      <c r="B193">
        <v>22</v>
      </c>
      <c r="C193">
        <v>11</v>
      </c>
      <c r="D193">
        <v>3</v>
      </c>
      <c r="E193" t="s">
        <v>23</v>
      </c>
      <c r="F193" t="s">
        <v>32</v>
      </c>
      <c r="G193" t="s">
        <v>10</v>
      </c>
      <c r="H193" s="1">
        <f>VLOOKUP(A193, [1]Orders!A:B, 2, FALSE)</f>
        <v>43127</v>
      </c>
      <c r="I193" t="str">
        <f>VLOOKUP(A193, [1]Orders!A:E, 3, FALSE)</f>
        <v>Shweta</v>
      </c>
      <c r="J193" t="str">
        <f>VLOOKUP(A193, [1]Orders!A:E, 4, FALSE)</f>
        <v>Rajasthan</v>
      </c>
      <c r="K193" t="str">
        <f>VLOOKUP(A193, [1]Orders!A:E, 5, FALSE)</f>
        <v>Udaipur</v>
      </c>
    </row>
    <row r="194" spans="1:11" x14ac:dyDescent="0.5">
      <c r="A194" t="s">
        <v>117</v>
      </c>
      <c r="B194">
        <v>668</v>
      </c>
      <c r="C194">
        <v>-31</v>
      </c>
      <c r="D194">
        <v>3</v>
      </c>
      <c r="E194" t="s">
        <v>8</v>
      </c>
      <c r="F194" t="s">
        <v>18</v>
      </c>
      <c r="G194" t="s">
        <v>19</v>
      </c>
      <c r="H194" s="1">
        <f>VLOOKUP(A194, [1]Orders!A:B, 2, FALSE)</f>
        <v>43228</v>
      </c>
      <c r="I194" t="str">
        <f>VLOOKUP(A194, [1]Orders!A:E, 3, FALSE)</f>
        <v>Farah</v>
      </c>
      <c r="J194" t="str">
        <f>VLOOKUP(A194, [1]Orders!A:E, 4, FALSE)</f>
        <v>Nagaland</v>
      </c>
      <c r="K194" t="str">
        <f>VLOOKUP(A194, [1]Orders!A:E, 5, FALSE)</f>
        <v>Kohima</v>
      </c>
    </row>
    <row r="195" spans="1:11" x14ac:dyDescent="0.5">
      <c r="A195" t="s">
        <v>122</v>
      </c>
      <c r="B195">
        <v>145</v>
      </c>
      <c r="C195">
        <v>0</v>
      </c>
      <c r="D195">
        <v>3</v>
      </c>
      <c r="E195" t="s">
        <v>23</v>
      </c>
      <c r="F195" t="s">
        <v>26</v>
      </c>
      <c r="G195" t="s">
        <v>28</v>
      </c>
      <c r="H195" s="1">
        <f>VLOOKUP(A195, [1]Orders!A:B, 2, FALSE)</f>
        <v>43167</v>
      </c>
      <c r="I195" t="str">
        <f>VLOOKUP(A195, [1]Orders!A:E, 3, FALSE)</f>
        <v>Ajay</v>
      </c>
      <c r="J195" t="str">
        <f>VLOOKUP(A195, [1]Orders!A:E, 4, FALSE)</f>
        <v>Karnataka</v>
      </c>
      <c r="K195" t="str">
        <f>VLOOKUP(A195, [1]Orders!A:E, 5, FALSE)</f>
        <v>Bangalore</v>
      </c>
    </row>
    <row r="196" spans="1:11" x14ac:dyDescent="0.5">
      <c r="A196" t="s">
        <v>196</v>
      </c>
      <c r="B196">
        <v>24</v>
      </c>
      <c r="C196">
        <v>8</v>
      </c>
      <c r="D196">
        <v>2</v>
      </c>
      <c r="E196" t="s">
        <v>23</v>
      </c>
      <c r="F196" t="s">
        <v>43</v>
      </c>
      <c r="G196" t="s">
        <v>82</v>
      </c>
      <c r="H196" s="1">
        <f>VLOOKUP(A196, [1]Orders!A:B, 2, FALSE)</f>
        <v>43428</v>
      </c>
      <c r="I196" t="str">
        <f>VLOOKUP(A196, [1]Orders!A:E, 3, FALSE)</f>
        <v>Dashyam</v>
      </c>
      <c r="J196" t="str">
        <f>VLOOKUP(A196, [1]Orders!A:E, 4, FALSE)</f>
        <v>Gujarat</v>
      </c>
      <c r="K196" t="str">
        <f>VLOOKUP(A196, [1]Orders!A:E, 5, FALSE)</f>
        <v>Surat</v>
      </c>
    </row>
    <row r="197" spans="1:11" x14ac:dyDescent="0.5">
      <c r="A197" t="s">
        <v>87</v>
      </c>
      <c r="B197">
        <v>476</v>
      </c>
      <c r="C197">
        <v>0</v>
      </c>
      <c r="D197">
        <v>3</v>
      </c>
      <c r="E197" t="s">
        <v>12</v>
      </c>
      <c r="F197" t="s">
        <v>13</v>
      </c>
      <c r="G197" t="s">
        <v>10</v>
      </c>
      <c r="H197" s="1">
        <f>VLOOKUP(A197, [1]Orders!A:B, 2, FALSE)</f>
        <v>43198</v>
      </c>
      <c r="I197" t="str">
        <f>VLOOKUP(A197, [1]Orders!A:E, 3, FALSE)</f>
        <v>Aarushi</v>
      </c>
      <c r="J197" t="str">
        <f>VLOOKUP(A197, [1]Orders!A:E, 4, FALSE)</f>
        <v>Tamil Nadu</v>
      </c>
      <c r="K197" t="str">
        <f>VLOOKUP(A197, [1]Orders!A:E, 5, FALSE)</f>
        <v>Chennai</v>
      </c>
    </row>
    <row r="198" spans="1:11" x14ac:dyDescent="0.5">
      <c r="A198" t="s">
        <v>185</v>
      </c>
      <c r="B198">
        <v>24</v>
      </c>
      <c r="C198">
        <v>11</v>
      </c>
      <c r="D198">
        <v>5</v>
      </c>
      <c r="E198" t="s">
        <v>23</v>
      </c>
      <c r="F198" t="s">
        <v>30</v>
      </c>
      <c r="G198" t="s">
        <v>82</v>
      </c>
      <c r="H198" s="1">
        <f>VLOOKUP(A198, [1]Orders!A:B, 2, FALSE)</f>
        <v>43440</v>
      </c>
      <c r="I198" t="str">
        <f>VLOOKUP(A198, [1]Orders!A:E, 3, FALSE)</f>
        <v>Rohan</v>
      </c>
      <c r="J198" t="str">
        <f>VLOOKUP(A198, [1]Orders!A:E, 4, FALSE)</f>
        <v>Madhya Pradesh</v>
      </c>
      <c r="K198" t="str">
        <f>VLOOKUP(A198, [1]Orders!A:E, 5, FALSE)</f>
        <v>Indore</v>
      </c>
    </row>
    <row r="199" spans="1:11" x14ac:dyDescent="0.5">
      <c r="A199" t="s">
        <v>22</v>
      </c>
      <c r="B199">
        <v>37</v>
      </c>
      <c r="C199">
        <v>3</v>
      </c>
      <c r="D199">
        <v>3</v>
      </c>
      <c r="E199" t="s">
        <v>23</v>
      </c>
      <c r="F199" t="s">
        <v>30</v>
      </c>
      <c r="G199" t="s">
        <v>10</v>
      </c>
      <c r="H199" s="1">
        <f>VLOOKUP(A199, [1]Orders!A:B, 2, FALSE)</f>
        <v>43429</v>
      </c>
      <c r="I199" t="str">
        <f>VLOOKUP(A199, [1]Orders!A:E, 3, FALSE)</f>
        <v>Lalita</v>
      </c>
      <c r="J199" t="str">
        <f>VLOOKUP(A199, [1]Orders!A:E, 4, FALSE)</f>
        <v>Uttar Pradesh</v>
      </c>
      <c r="K199" t="str">
        <f>VLOOKUP(A199, [1]Orders!A:E, 5, FALSE)</f>
        <v>Mathura</v>
      </c>
    </row>
    <row r="200" spans="1:11" x14ac:dyDescent="0.5">
      <c r="A200" t="s">
        <v>197</v>
      </c>
      <c r="B200">
        <v>152</v>
      </c>
      <c r="C200">
        <v>50</v>
      </c>
      <c r="D200">
        <v>6</v>
      </c>
      <c r="E200" t="s">
        <v>23</v>
      </c>
      <c r="F200" t="s">
        <v>57</v>
      </c>
      <c r="G200" t="s">
        <v>28</v>
      </c>
      <c r="H200" s="1">
        <f>VLOOKUP(A200, [1]Orders!A:B, 2, FALSE)</f>
        <v>43445</v>
      </c>
      <c r="I200" t="str">
        <f>VLOOKUP(A200, [1]Orders!A:E, 3, FALSE)</f>
        <v>Bhargav</v>
      </c>
      <c r="J200" t="str">
        <f>VLOOKUP(A200, [1]Orders!A:E, 4, FALSE)</f>
        <v>Delhi</v>
      </c>
      <c r="K200" t="str">
        <f>VLOOKUP(A200, [1]Orders!A:E, 5, FALSE)</f>
        <v>Delhi</v>
      </c>
    </row>
    <row r="201" spans="1:11" x14ac:dyDescent="0.5">
      <c r="A201" t="s">
        <v>198</v>
      </c>
      <c r="B201">
        <v>32</v>
      </c>
      <c r="C201">
        <v>11</v>
      </c>
      <c r="D201">
        <v>2</v>
      </c>
      <c r="E201" t="s">
        <v>23</v>
      </c>
      <c r="F201" t="s">
        <v>63</v>
      </c>
      <c r="G201" t="s">
        <v>28</v>
      </c>
      <c r="H201" s="1">
        <f>VLOOKUP(A201, [1]Orders!A:B, 2, FALSE)</f>
        <v>43387</v>
      </c>
      <c r="I201" t="str">
        <f>VLOOKUP(A201, [1]Orders!A:E, 3, FALSE)</f>
        <v>Sandeep</v>
      </c>
      <c r="J201" t="str">
        <f>VLOOKUP(A201, [1]Orders!A:E, 4, FALSE)</f>
        <v>Madhya Pradesh</v>
      </c>
      <c r="K201" t="str">
        <f>VLOOKUP(A201, [1]Orders!A:E, 5, FALSE)</f>
        <v>Indore</v>
      </c>
    </row>
    <row r="202" spans="1:11" x14ac:dyDescent="0.5">
      <c r="A202" t="s">
        <v>199</v>
      </c>
      <c r="B202">
        <v>52</v>
      </c>
      <c r="C202">
        <v>11</v>
      </c>
      <c r="D202">
        <v>5</v>
      </c>
      <c r="E202" t="s">
        <v>23</v>
      </c>
      <c r="F202" t="s">
        <v>63</v>
      </c>
      <c r="G202" t="s">
        <v>10</v>
      </c>
      <c r="H202" s="1">
        <f>VLOOKUP(A202, [1]Orders!A:B, 2, FALSE)</f>
        <v>43402</v>
      </c>
      <c r="I202" t="str">
        <f>VLOOKUP(A202, [1]Orders!A:E, 3, FALSE)</f>
        <v>Moumita</v>
      </c>
      <c r="J202" t="str">
        <f>VLOOKUP(A202, [1]Orders!A:E, 4, FALSE)</f>
        <v>Gujarat</v>
      </c>
      <c r="K202" t="str">
        <f>VLOOKUP(A202, [1]Orders!A:E, 5, FALSE)</f>
        <v>Ahmedabad</v>
      </c>
    </row>
    <row r="203" spans="1:11" x14ac:dyDescent="0.5">
      <c r="A203" t="s">
        <v>200</v>
      </c>
      <c r="B203">
        <v>24</v>
      </c>
      <c r="C203">
        <v>11</v>
      </c>
      <c r="D203">
        <v>3</v>
      </c>
      <c r="E203" t="s">
        <v>23</v>
      </c>
      <c r="F203" t="s">
        <v>30</v>
      </c>
      <c r="G203" t="s">
        <v>82</v>
      </c>
      <c r="H203" s="1">
        <f>VLOOKUP(A203, [1]Orders!A:B, 2, FALSE)</f>
        <v>43181</v>
      </c>
      <c r="I203" t="str">
        <f>VLOOKUP(A203, [1]Orders!A:E, 3, FALSE)</f>
        <v>Aarushi</v>
      </c>
      <c r="J203" t="str">
        <f>VLOOKUP(A203, [1]Orders!A:E, 4, FALSE)</f>
        <v>Tamil Nadu</v>
      </c>
      <c r="K203" t="str">
        <f>VLOOKUP(A203, [1]Orders!A:E, 5, FALSE)</f>
        <v>Chennai</v>
      </c>
    </row>
    <row r="204" spans="1:11" x14ac:dyDescent="0.5">
      <c r="A204" t="s">
        <v>121</v>
      </c>
      <c r="B204">
        <v>473</v>
      </c>
      <c r="C204">
        <v>42</v>
      </c>
      <c r="D204">
        <v>4</v>
      </c>
      <c r="E204" t="s">
        <v>12</v>
      </c>
      <c r="F204" t="s">
        <v>13</v>
      </c>
      <c r="G204" t="s">
        <v>10</v>
      </c>
      <c r="H204" s="1">
        <f>VLOOKUP(A204, [1]Orders!A:B, 2, FALSE)</f>
        <v>43303</v>
      </c>
      <c r="I204" t="str">
        <f>VLOOKUP(A204, [1]Orders!A:E, 3, FALSE)</f>
        <v>Rishabh</v>
      </c>
      <c r="J204" t="str">
        <f>VLOOKUP(A204, [1]Orders!A:E, 4, FALSE)</f>
        <v>Rajasthan</v>
      </c>
      <c r="K204" t="str">
        <f>VLOOKUP(A204, [1]Orders!A:E, 5, FALSE)</f>
        <v>Jaipur</v>
      </c>
    </row>
    <row r="205" spans="1:11" x14ac:dyDescent="0.5">
      <c r="A205" t="s">
        <v>201</v>
      </c>
      <c r="B205">
        <v>263</v>
      </c>
      <c r="C205">
        <v>50</v>
      </c>
      <c r="D205">
        <v>5</v>
      </c>
      <c r="E205" t="s">
        <v>23</v>
      </c>
      <c r="F205" t="s">
        <v>57</v>
      </c>
      <c r="G205" t="s">
        <v>10</v>
      </c>
      <c r="H205" s="1">
        <f>VLOOKUP(A205, [1]Orders!A:B, 2, FALSE)</f>
        <v>43402</v>
      </c>
      <c r="I205" t="str">
        <f>VLOOKUP(A205, [1]Orders!A:E, 3, FALSE)</f>
        <v>Palak</v>
      </c>
      <c r="J205" t="str">
        <f>VLOOKUP(A205, [1]Orders!A:E, 4, FALSE)</f>
        <v>Maharashtra</v>
      </c>
      <c r="K205" t="str">
        <f>VLOOKUP(A205, [1]Orders!A:E, 5, FALSE)</f>
        <v>Mumbai</v>
      </c>
    </row>
    <row r="206" spans="1:11" x14ac:dyDescent="0.5">
      <c r="A206" t="s">
        <v>202</v>
      </c>
      <c r="B206">
        <v>61</v>
      </c>
      <c r="C206">
        <v>11</v>
      </c>
      <c r="D206">
        <v>3</v>
      </c>
      <c r="E206" t="s">
        <v>23</v>
      </c>
      <c r="F206" t="s">
        <v>32</v>
      </c>
      <c r="G206" t="s">
        <v>10</v>
      </c>
      <c r="H206" s="1">
        <f>VLOOKUP(A206, [1]Orders!A:B, 2, FALSE)</f>
        <v>43438</v>
      </c>
      <c r="I206" t="str">
        <f>VLOOKUP(A206, [1]Orders!A:E, 3, FALSE)</f>
        <v>Vrinda</v>
      </c>
      <c r="J206" t="str">
        <f>VLOOKUP(A206, [1]Orders!A:E, 4, FALSE)</f>
        <v>Uttar Pradesh</v>
      </c>
      <c r="K206" t="str">
        <f>VLOOKUP(A206, [1]Orders!A:E, 5, FALSE)</f>
        <v>Mathura</v>
      </c>
    </row>
    <row r="207" spans="1:11" x14ac:dyDescent="0.5">
      <c r="A207" t="s">
        <v>203</v>
      </c>
      <c r="B207">
        <v>469</v>
      </c>
      <c r="C207">
        <v>-459</v>
      </c>
      <c r="D207">
        <v>3</v>
      </c>
      <c r="E207" t="s">
        <v>8</v>
      </c>
      <c r="F207" t="s">
        <v>9</v>
      </c>
      <c r="G207" t="s">
        <v>10</v>
      </c>
      <c r="H207" s="1">
        <f>VLOOKUP(A207, [1]Orders!A:B, 2, FALSE)</f>
        <v>43265</v>
      </c>
      <c r="I207" t="str">
        <f>VLOOKUP(A207, [1]Orders!A:E, 3, FALSE)</f>
        <v>Bhaggyasree</v>
      </c>
      <c r="J207" t="str">
        <f>VLOOKUP(A207, [1]Orders!A:E, 4, FALSE)</f>
        <v>Maharashtra</v>
      </c>
      <c r="K207" t="str">
        <f>VLOOKUP(A207, [1]Orders!A:E, 5, FALSE)</f>
        <v>Mumbai</v>
      </c>
    </row>
    <row r="208" spans="1:11" x14ac:dyDescent="0.5">
      <c r="A208" t="s">
        <v>204</v>
      </c>
      <c r="B208">
        <v>1272</v>
      </c>
      <c r="C208">
        <v>547</v>
      </c>
      <c r="D208">
        <v>2</v>
      </c>
      <c r="E208" t="s">
        <v>8</v>
      </c>
      <c r="F208" t="s">
        <v>21</v>
      </c>
      <c r="G208" t="s">
        <v>10</v>
      </c>
      <c r="H208" s="1">
        <f>VLOOKUP(A208, [1]Orders!A:B, 2, FALSE)</f>
        <v>43151</v>
      </c>
      <c r="I208" t="str">
        <f>VLOOKUP(A208, [1]Orders!A:E, 3, FALSE)</f>
        <v>Manju</v>
      </c>
      <c r="J208" t="str">
        <f>VLOOKUP(A208, [1]Orders!A:E, 4, FALSE)</f>
        <v>Andhra Pradesh</v>
      </c>
      <c r="K208" t="str">
        <f>VLOOKUP(A208, [1]Orders!A:E, 5, FALSE)</f>
        <v>Hyderabad</v>
      </c>
    </row>
    <row r="209" spans="1:11" x14ac:dyDescent="0.5">
      <c r="A209" t="s">
        <v>200</v>
      </c>
      <c r="B209">
        <v>169</v>
      </c>
      <c r="C209">
        <v>0</v>
      </c>
      <c r="D209">
        <v>3</v>
      </c>
      <c r="E209" t="s">
        <v>8</v>
      </c>
      <c r="F209" t="s">
        <v>73</v>
      </c>
      <c r="G209" t="s">
        <v>10</v>
      </c>
      <c r="H209" s="1">
        <f>VLOOKUP(A209, [1]Orders!A:B, 2, FALSE)</f>
        <v>43181</v>
      </c>
      <c r="I209" t="str">
        <f>VLOOKUP(A209, [1]Orders!A:E, 3, FALSE)</f>
        <v>Aarushi</v>
      </c>
      <c r="J209" t="str">
        <f>VLOOKUP(A209, [1]Orders!A:E, 4, FALSE)</f>
        <v>Tamil Nadu</v>
      </c>
      <c r="K209" t="str">
        <f>VLOOKUP(A209, [1]Orders!A:E, 5, FALSE)</f>
        <v>Chennai</v>
      </c>
    </row>
    <row r="210" spans="1:11" x14ac:dyDescent="0.5">
      <c r="A210" t="s">
        <v>134</v>
      </c>
      <c r="B210">
        <v>25</v>
      </c>
      <c r="C210">
        <v>11</v>
      </c>
      <c r="D210">
        <v>3</v>
      </c>
      <c r="E210" t="s">
        <v>23</v>
      </c>
      <c r="F210" t="s">
        <v>63</v>
      </c>
      <c r="G210" t="s">
        <v>82</v>
      </c>
      <c r="H210" s="1">
        <f>VLOOKUP(A210, [1]Orders!A:B, 2, FALSE)</f>
        <v>43444</v>
      </c>
      <c r="I210" t="str">
        <f>VLOOKUP(A210, [1]Orders!A:E, 3, FALSE)</f>
        <v>Amlan</v>
      </c>
      <c r="J210" t="str">
        <f>VLOOKUP(A210, [1]Orders!A:E, 4, FALSE)</f>
        <v>Madhya Pradesh</v>
      </c>
      <c r="K210" t="str">
        <f>VLOOKUP(A210, [1]Orders!A:E, 5, FALSE)</f>
        <v>Indore</v>
      </c>
    </row>
    <row r="211" spans="1:11" x14ac:dyDescent="0.5">
      <c r="A211" t="s">
        <v>119</v>
      </c>
      <c r="B211">
        <v>457</v>
      </c>
      <c r="C211">
        <v>-41</v>
      </c>
      <c r="D211">
        <v>4</v>
      </c>
      <c r="E211" t="s">
        <v>23</v>
      </c>
      <c r="F211" t="s">
        <v>26</v>
      </c>
      <c r="G211" t="s">
        <v>10</v>
      </c>
      <c r="H211" s="1">
        <f>VLOOKUP(A211, [1]Orders!A:B, 2, FALSE)</f>
        <v>43227</v>
      </c>
      <c r="I211" t="str">
        <f>VLOOKUP(A211, [1]Orders!A:E, 3, FALSE)</f>
        <v>Anurag</v>
      </c>
      <c r="J211" t="str">
        <f>VLOOKUP(A211, [1]Orders!A:E, 4, FALSE)</f>
        <v>Madhya Pradesh</v>
      </c>
      <c r="K211" t="str">
        <f>VLOOKUP(A211, [1]Orders!A:E, 5, FALSE)</f>
        <v>Indore</v>
      </c>
    </row>
    <row r="212" spans="1:11" x14ac:dyDescent="0.5">
      <c r="A212" t="s">
        <v>134</v>
      </c>
      <c r="B212">
        <v>455</v>
      </c>
      <c r="C212">
        <v>77</v>
      </c>
      <c r="D212">
        <v>8</v>
      </c>
      <c r="E212" t="s">
        <v>8</v>
      </c>
      <c r="F212" t="s">
        <v>73</v>
      </c>
      <c r="G212" t="s">
        <v>10</v>
      </c>
      <c r="H212" s="1">
        <f>VLOOKUP(A212, [1]Orders!A:B, 2, FALSE)</f>
        <v>43444</v>
      </c>
      <c r="I212" t="str">
        <f>VLOOKUP(A212, [1]Orders!A:E, 3, FALSE)</f>
        <v>Amlan</v>
      </c>
      <c r="J212" t="str">
        <f>VLOOKUP(A212, [1]Orders!A:E, 4, FALSE)</f>
        <v>Madhya Pradesh</v>
      </c>
      <c r="K212" t="str">
        <f>VLOOKUP(A212, [1]Orders!A:E, 5, FALSE)</f>
        <v>Indore</v>
      </c>
    </row>
    <row r="213" spans="1:11" x14ac:dyDescent="0.5">
      <c r="A213" t="s">
        <v>126</v>
      </c>
      <c r="B213">
        <v>25</v>
      </c>
      <c r="C213">
        <v>2</v>
      </c>
      <c r="D213">
        <v>2</v>
      </c>
      <c r="E213" t="s">
        <v>23</v>
      </c>
      <c r="F213" t="s">
        <v>30</v>
      </c>
      <c r="G213" t="s">
        <v>82</v>
      </c>
      <c r="H213" s="1">
        <f>VLOOKUP(A213, [1]Orders!A:B, 2, FALSE)</f>
        <v>43185</v>
      </c>
      <c r="I213" t="str">
        <f>VLOOKUP(A213, [1]Orders!A:E, 3, FALSE)</f>
        <v>Mukesh</v>
      </c>
      <c r="J213" t="str">
        <f>VLOOKUP(A213, [1]Orders!A:E, 4, FALSE)</f>
        <v>Haryana</v>
      </c>
      <c r="K213" t="str">
        <f>VLOOKUP(A213, [1]Orders!A:E, 5, FALSE)</f>
        <v>Chandigarh</v>
      </c>
    </row>
    <row r="214" spans="1:11" x14ac:dyDescent="0.5">
      <c r="A214" t="s">
        <v>205</v>
      </c>
      <c r="B214">
        <v>450</v>
      </c>
      <c r="C214">
        <v>-90</v>
      </c>
      <c r="D214">
        <v>3</v>
      </c>
      <c r="E214" t="s">
        <v>8</v>
      </c>
      <c r="F214" t="s">
        <v>18</v>
      </c>
      <c r="G214" t="s">
        <v>10</v>
      </c>
      <c r="H214" s="1">
        <f>VLOOKUP(A214, [1]Orders!A:B, 2, FALSE)</f>
        <v>43230</v>
      </c>
      <c r="I214" t="str">
        <f>VLOOKUP(A214, [1]Orders!A:E, 3, FALSE)</f>
        <v>Sabah</v>
      </c>
      <c r="J214" t="str">
        <f>VLOOKUP(A214, [1]Orders!A:E, 4, FALSE)</f>
        <v>Maharashtra</v>
      </c>
      <c r="K214" t="str">
        <f>VLOOKUP(A214, [1]Orders!A:E, 5, FALSE)</f>
        <v>Mumbai</v>
      </c>
    </row>
    <row r="215" spans="1:11" x14ac:dyDescent="0.5">
      <c r="A215" t="s">
        <v>206</v>
      </c>
      <c r="B215">
        <v>30</v>
      </c>
      <c r="C215">
        <v>-35</v>
      </c>
      <c r="D215">
        <v>1</v>
      </c>
      <c r="E215" t="s">
        <v>12</v>
      </c>
      <c r="F215" t="s">
        <v>13</v>
      </c>
      <c r="G215" t="s">
        <v>10</v>
      </c>
      <c r="H215" s="1">
        <f>VLOOKUP(A215, [1]Orders!A:B, 2, FALSE)</f>
        <v>43296</v>
      </c>
      <c r="I215" t="str">
        <f>VLOOKUP(A215, [1]Orders!A:E, 3, FALSE)</f>
        <v>Namrata</v>
      </c>
      <c r="J215" t="str">
        <f>VLOOKUP(A215, [1]Orders!A:E, 4, FALSE)</f>
        <v>Punjab</v>
      </c>
      <c r="K215" t="str">
        <f>VLOOKUP(A215, [1]Orders!A:E, 5, FALSE)</f>
        <v>Chandigarh</v>
      </c>
    </row>
    <row r="216" spans="1:11" x14ac:dyDescent="0.5">
      <c r="A216" t="s">
        <v>207</v>
      </c>
      <c r="B216">
        <v>659</v>
      </c>
      <c r="C216">
        <v>-37</v>
      </c>
      <c r="D216">
        <v>2</v>
      </c>
      <c r="E216" t="s">
        <v>12</v>
      </c>
      <c r="F216" t="s">
        <v>16</v>
      </c>
      <c r="G216" t="s">
        <v>19</v>
      </c>
      <c r="H216" s="1">
        <f>VLOOKUP(A216, [1]Orders!A:B, 2, FALSE)</f>
        <v>43169</v>
      </c>
      <c r="I216" t="str">
        <f>VLOOKUP(A216, [1]Orders!A:E, 3, FALSE)</f>
        <v>Sharda</v>
      </c>
      <c r="J216" t="str">
        <f>VLOOKUP(A216, [1]Orders!A:E, 4, FALSE)</f>
        <v xml:space="preserve">Kerala </v>
      </c>
      <c r="K216" t="str">
        <f>VLOOKUP(A216, [1]Orders!A:E, 5, FALSE)</f>
        <v>Thiruvananthapuram</v>
      </c>
    </row>
    <row r="217" spans="1:11" x14ac:dyDescent="0.5">
      <c r="A217" t="s">
        <v>208</v>
      </c>
      <c r="B217">
        <v>448</v>
      </c>
      <c r="C217">
        <v>148</v>
      </c>
      <c r="D217">
        <v>2</v>
      </c>
      <c r="E217" t="s">
        <v>8</v>
      </c>
      <c r="F217" t="s">
        <v>18</v>
      </c>
      <c r="G217" t="s">
        <v>10</v>
      </c>
      <c r="H217" s="1">
        <f>VLOOKUP(A217, [1]Orders!A:B, 2, FALSE)</f>
        <v>43374</v>
      </c>
      <c r="I217" t="str">
        <f>VLOOKUP(A217, [1]Orders!A:E, 3, FALSE)</f>
        <v>Shishu</v>
      </c>
      <c r="J217" t="str">
        <f>VLOOKUP(A217, [1]Orders!A:E, 4, FALSE)</f>
        <v>Andhra Pradesh</v>
      </c>
      <c r="K217" t="str">
        <f>VLOOKUP(A217, [1]Orders!A:E, 5, FALSE)</f>
        <v>Hyderabad</v>
      </c>
    </row>
    <row r="218" spans="1:11" x14ac:dyDescent="0.5">
      <c r="A218" t="s">
        <v>209</v>
      </c>
      <c r="B218">
        <v>446</v>
      </c>
      <c r="C218">
        <v>53</v>
      </c>
      <c r="D218">
        <v>3</v>
      </c>
      <c r="E218" t="s">
        <v>8</v>
      </c>
      <c r="F218" t="s">
        <v>18</v>
      </c>
      <c r="G218" t="s">
        <v>10</v>
      </c>
      <c r="H218" s="1">
        <f>VLOOKUP(A218, [1]Orders!A:B, 2, FALSE)</f>
        <v>43118</v>
      </c>
      <c r="I218" t="str">
        <f>VLOOKUP(A218, [1]Orders!A:E, 3, FALSE)</f>
        <v>Surbhi</v>
      </c>
      <c r="J218" t="str">
        <f>VLOOKUP(A218, [1]Orders!A:E, 4, FALSE)</f>
        <v>Gujarat</v>
      </c>
      <c r="K218" t="str">
        <f>VLOOKUP(A218, [1]Orders!A:E, 5, FALSE)</f>
        <v>Ahmedabad</v>
      </c>
    </row>
    <row r="219" spans="1:11" x14ac:dyDescent="0.5">
      <c r="A219" t="s">
        <v>210</v>
      </c>
      <c r="B219">
        <v>98</v>
      </c>
      <c r="C219">
        <v>-45</v>
      </c>
      <c r="D219">
        <v>2</v>
      </c>
      <c r="E219" t="s">
        <v>12</v>
      </c>
      <c r="F219" t="s">
        <v>13</v>
      </c>
      <c r="G219" t="s">
        <v>28</v>
      </c>
      <c r="H219" s="1">
        <f>VLOOKUP(A219, [1]Orders!A:B, 2, FALSE)</f>
        <v>43277</v>
      </c>
      <c r="I219" t="str">
        <f>VLOOKUP(A219, [1]Orders!A:E, 3, FALSE)</f>
        <v>Maithilee</v>
      </c>
      <c r="J219" t="str">
        <f>VLOOKUP(A219, [1]Orders!A:E, 4, FALSE)</f>
        <v>Madhya Pradesh</v>
      </c>
      <c r="K219" t="str">
        <f>VLOOKUP(A219, [1]Orders!A:E, 5, FALSE)</f>
        <v>Indore</v>
      </c>
    </row>
    <row r="220" spans="1:11" x14ac:dyDescent="0.5">
      <c r="A220" t="s">
        <v>11</v>
      </c>
      <c r="B220">
        <v>443</v>
      </c>
      <c r="C220">
        <v>11</v>
      </c>
      <c r="D220">
        <v>1</v>
      </c>
      <c r="E220" t="s">
        <v>23</v>
      </c>
      <c r="F220" t="s">
        <v>26</v>
      </c>
      <c r="G220" t="s">
        <v>10</v>
      </c>
      <c r="H220" s="1">
        <f>VLOOKUP(A220, [1]Orders!A:B, 2, FALSE)</f>
        <v>43169</v>
      </c>
      <c r="I220" t="str">
        <f>VLOOKUP(A220, [1]Orders!A:E, 3, FALSE)</f>
        <v>Harivansh</v>
      </c>
      <c r="J220" t="str">
        <f>VLOOKUP(A220, [1]Orders!A:E, 4, FALSE)</f>
        <v>Uttar Pradesh</v>
      </c>
      <c r="K220" t="str">
        <f>VLOOKUP(A220, [1]Orders!A:E, 5, FALSE)</f>
        <v>Mathura</v>
      </c>
    </row>
    <row r="221" spans="1:11" x14ac:dyDescent="0.5">
      <c r="A221" t="s">
        <v>117</v>
      </c>
      <c r="B221">
        <v>427</v>
      </c>
      <c r="C221">
        <v>-50</v>
      </c>
      <c r="D221">
        <v>7</v>
      </c>
      <c r="E221" t="s">
        <v>8</v>
      </c>
      <c r="F221" t="s">
        <v>21</v>
      </c>
      <c r="G221" t="s">
        <v>10</v>
      </c>
      <c r="H221" s="1">
        <f>VLOOKUP(A221, [1]Orders!A:B, 2, FALSE)</f>
        <v>43228</v>
      </c>
      <c r="I221" t="str">
        <f>VLOOKUP(A221, [1]Orders!A:E, 3, FALSE)</f>
        <v>Farah</v>
      </c>
      <c r="J221" t="str">
        <f>VLOOKUP(A221, [1]Orders!A:E, 4, FALSE)</f>
        <v>Nagaland</v>
      </c>
      <c r="K221" t="str">
        <f>VLOOKUP(A221, [1]Orders!A:E, 5, FALSE)</f>
        <v>Kohima</v>
      </c>
    </row>
    <row r="222" spans="1:11" x14ac:dyDescent="0.5">
      <c r="A222" t="s">
        <v>155</v>
      </c>
      <c r="B222">
        <v>656</v>
      </c>
      <c r="C222">
        <v>-36</v>
      </c>
      <c r="D222">
        <v>2</v>
      </c>
      <c r="E222" t="s">
        <v>12</v>
      </c>
      <c r="F222" t="s">
        <v>16</v>
      </c>
      <c r="G222" t="s">
        <v>19</v>
      </c>
      <c r="H222" s="1">
        <f>VLOOKUP(A222, [1]Orders!A:B, 2, FALSE)</f>
        <v>43245</v>
      </c>
      <c r="I222" t="str">
        <f>VLOOKUP(A222, [1]Orders!A:E, 3, FALSE)</f>
        <v>Charika</v>
      </c>
      <c r="J222" t="str">
        <f>VLOOKUP(A222, [1]Orders!A:E, 4, FALSE)</f>
        <v>Goa</v>
      </c>
      <c r="K222" t="str">
        <f>VLOOKUP(A222, [1]Orders!A:E, 5, FALSE)</f>
        <v>Goa</v>
      </c>
    </row>
    <row r="223" spans="1:11" x14ac:dyDescent="0.5">
      <c r="A223" t="s">
        <v>211</v>
      </c>
      <c r="B223">
        <v>424</v>
      </c>
      <c r="C223">
        <v>161</v>
      </c>
      <c r="D223">
        <v>2</v>
      </c>
      <c r="E223" t="s">
        <v>23</v>
      </c>
      <c r="F223" t="s">
        <v>26</v>
      </c>
      <c r="G223" t="s">
        <v>10</v>
      </c>
      <c r="H223" s="1">
        <f>VLOOKUP(A223, [1]Orders!A:B, 2, FALSE)</f>
        <v>43169</v>
      </c>
      <c r="I223" t="str">
        <f>VLOOKUP(A223, [1]Orders!A:E, 3, FALSE)</f>
        <v>Sonal</v>
      </c>
      <c r="J223" t="str">
        <f>VLOOKUP(A223, [1]Orders!A:E, 4, FALSE)</f>
        <v>Bihar</v>
      </c>
      <c r="K223" t="str">
        <f>VLOOKUP(A223, [1]Orders!A:E, 5, FALSE)</f>
        <v>Patna</v>
      </c>
    </row>
    <row r="224" spans="1:11" x14ac:dyDescent="0.5">
      <c r="A224" t="s">
        <v>106</v>
      </c>
      <c r="B224">
        <v>27</v>
      </c>
      <c r="C224">
        <v>8</v>
      </c>
      <c r="D224">
        <v>2</v>
      </c>
      <c r="E224" t="s">
        <v>23</v>
      </c>
      <c r="F224" t="s">
        <v>81</v>
      </c>
      <c r="G224" t="s">
        <v>82</v>
      </c>
      <c r="H224" s="1">
        <f>VLOOKUP(A224, [1]Orders!A:B, 2, FALSE)</f>
        <v>43173</v>
      </c>
      <c r="I224" t="str">
        <f>VLOOKUP(A224, [1]Orders!A:E, 3, FALSE)</f>
        <v>Anurag</v>
      </c>
      <c r="J224" t="str">
        <f>VLOOKUP(A224, [1]Orders!A:E, 4, FALSE)</f>
        <v>Madhya Pradesh</v>
      </c>
      <c r="K224" t="str">
        <f>VLOOKUP(A224, [1]Orders!A:E, 5, FALSE)</f>
        <v>Indore</v>
      </c>
    </row>
    <row r="225" spans="1:11" x14ac:dyDescent="0.5">
      <c r="A225" t="s">
        <v>20</v>
      </c>
      <c r="B225">
        <v>424</v>
      </c>
      <c r="C225">
        <v>-272</v>
      </c>
      <c r="D225">
        <v>5</v>
      </c>
      <c r="E225" t="s">
        <v>8</v>
      </c>
      <c r="F225" t="s">
        <v>21</v>
      </c>
      <c r="G225" t="s">
        <v>10</v>
      </c>
      <c r="H225" s="1">
        <f>VLOOKUP(A225, [1]Orders!A:B, 2, FALSE)</f>
        <v>43191</v>
      </c>
      <c r="I225" t="str">
        <f>VLOOKUP(A225, [1]Orders!A:E, 3, FALSE)</f>
        <v>Vrinda</v>
      </c>
      <c r="J225" t="str">
        <f>VLOOKUP(A225, [1]Orders!A:E, 4, FALSE)</f>
        <v>Maharashtra</v>
      </c>
      <c r="K225" t="str">
        <f>VLOOKUP(A225, [1]Orders!A:E, 5, FALSE)</f>
        <v>Pune</v>
      </c>
    </row>
    <row r="226" spans="1:11" x14ac:dyDescent="0.5">
      <c r="A226" t="s">
        <v>212</v>
      </c>
      <c r="B226">
        <v>202</v>
      </c>
      <c r="C226">
        <v>4</v>
      </c>
      <c r="D226">
        <v>4</v>
      </c>
      <c r="E226" t="s">
        <v>23</v>
      </c>
      <c r="F226" t="s">
        <v>30</v>
      </c>
      <c r="G226" t="s">
        <v>10</v>
      </c>
      <c r="H226" s="1">
        <f>VLOOKUP(A226, [1]Orders!A:B, 2, FALSE)</f>
        <v>43145</v>
      </c>
      <c r="I226" t="str">
        <f>VLOOKUP(A226, [1]Orders!A:E, 3, FALSE)</f>
        <v>Hazel</v>
      </c>
      <c r="J226" t="str">
        <f>VLOOKUP(A226, [1]Orders!A:E, 4, FALSE)</f>
        <v>Karnataka</v>
      </c>
      <c r="K226" t="str">
        <f>VLOOKUP(A226, [1]Orders!A:E, 5, FALSE)</f>
        <v>Bangalore</v>
      </c>
    </row>
    <row r="227" spans="1:11" x14ac:dyDescent="0.5">
      <c r="A227" t="s">
        <v>186</v>
      </c>
      <c r="B227">
        <v>1275</v>
      </c>
      <c r="C227">
        <v>357</v>
      </c>
      <c r="D227">
        <v>2</v>
      </c>
      <c r="E227" t="s">
        <v>8</v>
      </c>
      <c r="F227" t="s">
        <v>21</v>
      </c>
      <c r="G227" t="s">
        <v>28</v>
      </c>
      <c r="H227" s="1">
        <f>VLOOKUP(A227, [1]Orders!A:B, 2, FALSE)</f>
        <v>43427</v>
      </c>
      <c r="I227" t="str">
        <f>VLOOKUP(A227, [1]Orders!A:E, 3, FALSE)</f>
        <v>Divyeta</v>
      </c>
      <c r="J227" t="str">
        <f>VLOOKUP(A227, [1]Orders!A:E, 4, FALSE)</f>
        <v>Madhya Pradesh</v>
      </c>
      <c r="K227" t="str">
        <f>VLOOKUP(A227, [1]Orders!A:E, 5, FALSE)</f>
        <v>Indore</v>
      </c>
    </row>
    <row r="228" spans="1:11" x14ac:dyDescent="0.5">
      <c r="A228" t="s">
        <v>37</v>
      </c>
      <c r="B228">
        <v>418</v>
      </c>
      <c r="C228">
        <v>70</v>
      </c>
      <c r="D228">
        <v>7</v>
      </c>
      <c r="E228" t="s">
        <v>8</v>
      </c>
      <c r="F228" t="s">
        <v>21</v>
      </c>
      <c r="G228" t="s">
        <v>10</v>
      </c>
      <c r="H228" s="1">
        <f>VLOOKUP(A228, [1]Orders!A:B, 2, FALSE)</f>
        <v>43337</v>
      </c>
      <c r="I228" t="str">
        <f>VLOOKUP(A228, [1]Orders!A:E, 3, FALSE)</f>
        <v>Madhav</v>
      </c>
      <c r="J228" t="str">
        <f>VLOOKUP(A228, [1]Orders!A:E, 4, FALSE)</f>
        <v>Uttar Pradesh</v>
      </c>
      <c r="K228" t="str">
        <f>VLOOKUP(A228, [1]Orders!A:E, 5, FALSE)</f>
        <v>Mathura</v>
      </c>
    </row>
    <row r="229" spans="1:11" x14ac:dyDescent="0.5">
      <c r="A229" t="s">
        <v>213</v>
      </c>
      <c r="B229">
        <v>417</v>
      </c>
      <c r="C229">
        <v>49</v>
      </c>
      <c r="D229">
        <v>3</v>
      </c>
      <c r="E229" t="s">
        <v>8</v>
      </c>
      <c r="F229" t="s">
        <v>9</v>
      </c>
      <c r="G229" t="s">
        <v>10</v>
      </c>
      <c r="H229" s="1">
        <f>VLOOKUP(A229, [1]Orders!A:B, 2, FALSE)</f>
        <v>43388</v>
      </c>
      <c r="I229" t="str">
        <f>VLOOKUP(A229, [1]Orders!A:E, 3, FALSE)</f>
        <v>Ankur</v>
      </c>
      <c r="J229" t="str">
        <f>VLOOKUP(A229, [1]Orders!A:E, 4, FALSE)</f>
        <v>Madhya Pradesh</v>
      </c>
      <c r="K229" t="str">
        <f>VLOOKUP(A229, [1]Orders!A:E, 5, FALSE)</f>
        <v>Bhopal</v>
      </c>
    </row>
    <row r="230" spans="1:11" x14ac:dyDescent="0.5">
      <c r="A230" t="s">
        <v>41</v>
      </c>
      <c r="B230">
        <v>199</v>
      </c>
      <c r="C230">
        <v>48</v>
      </c>
      <c r="D230">
        <v>4</v>
      </c>
      <c r="E230" t="s">
        <v>23</v>
      </c>
      <c r="F230" t="s">
        <v>57</v>
      </c>
      <c r="G230" t="s">
        <v>28</v>
      </c>
      <c r="H230" s="1">
        <f>VLOOKUP(A230, [1]Orders!A:B, 2, FALSE)</f>
        <v>43412</v>
      </c>
      <c r="I230" t="str">
        <f>VLOOKUP(A230, [1]Orders!A:E, 3, FALSE)</f>
        <v>Gaurav</v>
      </c>
      <c r="J230" t="str">
        <f>VLOOKUP(A230, [1]Orders!A:E, 4, FALSE)</f>
        <v>Gujarat</v>
      </c>
      <c r="K230" t="str">
        <f>VLOOKUP(A230, [1]Orders!A:E, 5, FALSE)</f>
        <v>Ahmedabad</v>
      </c>
    </row>
    <row r="231" spans="1:11" x14ac:dyDescent="0.5">
      <c r="A231" t="s">
        <v>161</v>
      </c>
      <c r="B231">
        <v>385</v>
      </c>
      <c r="C231">
        <v>-77</v>
      </c>
      <c r="D231">
        <v>11</v>
      </c>
      <c r="E231" t="s">
        <v>12</v>
      </c>
      <c r="F231" t="s">
        <v>131</v>
      </c>
      <c r="G231" t="s">
        <v>28</v>
      </c>
      <c r="H231" s="1">
        <f>VLOOKUP(A231, [1]Orders!A:B, 2, FALSE)</f>
        <v>43237</v>
      </c>
      <c r="I231" t="str">
        <f>VLOOKUP(A231, [1]Orders!A:E, 3, FALSE)</f>
        <v>Sweta</v>
      </c>
      <c r="J231" t="str">
        <f>VLOOKUP(A231, [1]Orders!A:E, 4, FALSE)</f>
        <v>Maharashtra</v>
      </c>
      <c r="K231" t="str">
        <f>VLOOKUP(A231, [1]Orders!A:E, 5, FALSE)</f>
        <v>Mumbai</v>
      </c>
    </row>
    <row r="232" spans="1:11" x14ac:dyDescent="0.5">
      <c r="A232" t="s">
        <v>164</v>
      </c>
      <c r="B232">
        <v>414</v>
      </c>
      <c r="C232">
        <v>199</v>
      </c>
      <c r="D232">
        <v>3</v>
      </c>
      <c r="E232" t="s">
        <v>8</v>
      </c>
      <c r="F232" t="s">
        <v>21</v>
      </c>
      <c r="G232" t="s">
        <v>10</v>
      </c>
      <c r="H232" s="1">
        <f>VLOOKUP(A232, [1]Orders!A:B, 2, FALSE)</f>
        <v>43134</v>
      </c>
      <c r="I232" t="str">
        <f>VLOOKUP(A232, [1]Orders!A:E, 3, FALSE)</f>
        <v>Madhav</v>
      </c>
      <c r="J232" t="str">
        <f>VLOOKUP(A232, [1]Orders!A:E, 4, FALSE)</f>
        <v>Delhi</v>
      </c>
      <c r="K232" t="str">
        <f>VLOOKUP(A232, [1]Orders!A:E, 5, FALSE)</f>
        <v>Delhi</v>
      </c>
    </row>
    <row r="233" spans="1:11" x14ac:dyDescent="0.5">
      <c r="A233" t="s">
        <v>33</v>
      </c>
      <c r="B233">
        <v>97</v>
      </c>
      <c r="C233">
        <v>-45</v>
      </c>
      <c r="D233">
        <v>4</v>
      </c>
      <c r="E233" t="s">
        <v>23</v>
      </c>
      <c r="F233" t="s">
        <v>26</v>
      </c>
      <c r="G233" t="s">
        <v>10</v>
      </c>
      <c r="H233" s="1">
        <f>VLOOKUP(A233, [1]Orders!A:B, 2, FALSE)</f>
        <v>43279</v>
      </c>
      <c r="I233" t="str">
        <f>VLOOKUP(A233, [1]Orders!A:E, 3, FALSE)</f>
        <v>Ekta</v>
      </c>
      <c r="J233" t="str">
        <f>VLOOKUP(A233, [1]Orders!A:E, 4, FALSE)</f>
        <v>Madhya Pradesh</v>
      </c>
      <c r="K233" t="str">
        <f>VLOOKUP(A233, [1]Orders!A:E, 5, FALSE)</f>
        <v>Indore</v>
      </c>
    </row>
    <row r="234" spans="1:11" x14ac:dyDescent="0.5">
      <c r="A234" t="s">
        <v>214</v>
      </c>
      <c r="B234">
        <v>648</v>
      </c>
      <c r="C234">
        <v>50</v>
      </c>
      <c r="D234">
        <v>6</v>
      </c>
      <c r="E234" t="s">
        <v>8</v>
      </c>
      <c r="F234" t="s">
        <v>9</v>
      </c>
      <c r="G234" t="s">
        <v>19</v>
      </c>
      <c r="H234" s="1">
        <f>VLOOKUP(A234, [1]Orders!A:B, 2, FALSE)</f>
        <v>43407</v>
      </c>
      <c r="I234" t="str">
        <f>VLOOKUP(A234, [1]Orders!A:E, 3, FALSE)</f>
        <v>Rohan</v>
      </c>
      <c r="J234" t="str">
        <f>VLOOKUP(A234, [1]Orders!A:E, 4, FALSE)</f>
        <v>Himachal Pradesh</v>
      </c>
      <c r="K234" t="str">
        <f>VLOOKUP(A234, [1]Orders!A:E, 5, FALSE)</f>
        <v>Simla</v>
      </c>
    </row>
    <row r="235" spans="1:11" x14ac:dyDescent="0.5">
      <c r="A235" t="s">
        <v>215</v>
      </c>
      <c r="B235">
        <v>27</v>
      </c>
      <c r="C235">
        <v>-25</v>
      </c>
      <c r="D235">
        <v>2</v>
      </c>
      <c r="E235" t="s">
        <v>23</v>
      </c>
      <c r="F235" t="s">
        <v>142</v>
      </c>
      <c r="G235" t="s">
        <v>82</v>
      </c>
      <c r="H235" s="1">
        <f>VLOOKUP(A235, [1]Orders!A:B, 2, FALSE)</f>
        <v>43254</v>
      </c>
      <c r="I235" t="str">
        <f>VLOOKUP(A235, [1]Orders!A:E, 3, FALSE)</f>
        <v>Bathina</v>
      </c>
      <c r="J235" t="str">
        <f>VLOOKUP(A235, [1]Orders!A:E, 4, FALSE)</f>
        <v>Karnataka</v>
      </c>
      <c r="K235" t="str">
        <f>VLOOKUP(A235, [1]Orders!A:E, 5, FALSE)</f>
        <v>Bangalore</v>
      </c>
    </row>
    <row r="236" spans="1:11" x14ac:dyDescent="0.5">
      <c r="A236" t="s">
        <v>216</v>
      </c>
      <c r="B236">
        <v>27</v>
      </c>
      <c r="C236">
        <v>12</v>
      </c>
      <c r="D236">
        <v>1</v>
      </c>
      <c r="E236" t="s">
        <v>23</v>
      </c>
      <c r="F236" t="s">
        <v>57</v>
      </c>
      <c r="G236" t="s">
        <v>82</v>
      </c>
      <c r="H236" s="1">
        <f>VLOOKUP(A236, [1]Orders!A:B, 2, FALSE)</f>
        <v>43463</v>
      </c>
      <c r="I236" t="str">
        <f>VLOOKUP(A236, [1]Orders!A:E, 3, FALSE)</f>
        <v>Shruti</v>
      </c>
      <c r="J236" t="str">
        <f>VLOOKUP(A236, [1]Orders!A:E, 4, FALSE)</f>
        <v>Maharashtra</v>
      </c>
      <c r="K236" t="str">
        <f>VLOOKUP(A236, [1]Orders!A:E, 5, FALSE)</f>
        <v>Mumbai</v>
      </c>
    </row>
    <row r="237" spans="1:11" x14ac:dyDescent="0.5">
      <c r="A237" t="s">
        <v>217</v>
      </c>
      <c r="B237">
        <v>27</v>
      </c>
      <c r="C237">
        <v>1</v>
      </c>
      <c r="D237">
        <v>1</v>
      </c>
      <c r="E237" t="s">
        <v>23</v>
      </c>
      <c r="F237" t="s">
        <v>57</v>
      </c>
      <c r="G237" t="s">
        <v>28</v>
      </c>
      <c r="H237" s="1">
        <f>VLOOKUP(A237, [1]Orders!A:B, 2, FALSE)</f>
        <v>43127</v>
      </c>
      <c r="I237" t="str">
        <f>VLOOKUP(A237, [1]Orders!A:E, 3, FALSE)</f>
        <v>Aayushi</v>
      </c>
      <c r="J237" t="str">
        <f>VLOOKUP(A237, [1]Orders!A:E, 4, FALSE)</f>
        <v>Gujarat</v>
      </c>
      <c r="K237" t="str">
        <f>VLOOKUP(A237, [1]Orders!A:E, 5, FALSE)</f>
        <v>Surat</v>
      </c>
    </row>
    <row r="238" spans="1:11" x14ac:dyDescent="0.5">
      <c r="A238" t="s">
        <v>64</v>
      </c>
      <c r="B238">
        <v>413</v>
      </c>
      <c r="C238">
        <v>-314</v>
      </c>
      <c r="D238">
        <v>9</v>
      </c>
      <c r="E238" t="s">
        <v>12</v>
      </c>
      <c r="F238" t="s">
        <v>13</v>
      </c>
      <c r="G238" t="s">
        <v>10</v>
      </c>
      <c r="H238" s="1">
        <f>VLOOKUP(A238, [1]Orders!A:B, 2, FALSE)</f>
        <v>43373</v>
      </c>
      <c r="I238" t="str">
        <f>VLOOKUP(A238, [1]Orders!A:E, 3, FALSE)</f>
        <v>Sauptik</v>
      </c>
      <c r="J238" t="str">
        <f>VLOOKUP(A238, [1]Orders!A:E, 4, FALSE)</f>
        <v>Madhya Pradesh</v>
      </c>
      <c r="K238" t="str">
        <f>VLOOKUP(A238, [1]Orders!A:E, 5, FALSE)</f>
        <v>Indore</v>
      </c>
    </row>
    <row r="239" spans="1:11" x14ac:dyDescent="0.5">
      <c r="A239" t="s">
        <v>129</v>
      </c>
      <c r="B239">
        <v>53</v>
      </c>
      <c r="C239">
        <v>2</v>
      </c>
      <c r="D239">
        <v>4</v>
      </c>
      <c r="E239" t="s">
        <v>23</v>
      </c>
      <c r="F239" t="s">
        <v>30</v>
      </c>
      <c r="G239" t="s">
        <v>10</v>
      </c>
      <c r="H239" s="1">
        <f>VLOOKUP(A239, [1]Orders!A:B, 2, FALSE)</f>
        <v>43175</v>
      </c>
      <c r="I239" t="str">
        <f>VLOOKUP(A239, [1]Orders!A:E, 3, FALSE)</f>
        <v>Tulika</v>
      </c>
      <c r="J239" t="str">
        <f>VLOOKUP(A239, [1]Orders!A:E, 4, FALSE)</f>
        <v>Madhya Pradesh</v>
      </c>
      <c r="K239" t="str">
        <f>VLOOKUP(A239, [1]Orders!A:E, 5, FALSE)</f>
        <v>Bhopal</v>
      </c>
    </row>
    <row r="240" spans="1:11" x14ac:dyDescent="0.5">
      <c r="A240" t="s">
        <v>79</v>
      </c>
      <c r="B240">
        <v>29</v>
      </c>
      <c r="C240">
        <v>8</v>
      </c>
      <c r="D240">
        <v>5</v>
      </c>
      <c r="E240" t="s">
        <v>23</v>
      </c>
      <c r="F240" t="s">
        <v>30</v>
      </c>
      <c r="G240" t="s">
        <v>28</v>
      </c>
      <c r="H240" s="1">
        <f>VLOOKUP(A240, [1]Orders!A:B, 2, FALSE)</f>
        <v>43383</v>
      </c>
      <c r="I240" t="str">
        <f>VLOOKUP(A240, [1]Orders!A:E, 3, FALSE)</f>
        <v>Nripraj</v>
      </c>
      <c r="J240" t="str">
        <f>VLOOKUP(A240, [1]Orders!A:E, 4, FALSE)</f>
        <v>Punjab</v>
      </c>
      <c r="K240" t="str">
        <f>VLOOKUP(A240, [1]Orders!A:E, 5, FALSE)</f>
        <v>Chandigarh</v>
      </c>
    </row>
    <row r="241" spans="1:11" x14ac:dyDescent="0.5">
      <c r="A241" t="s">
        <v>218</v>
      </c>
      <c r="B241">
        <v>30</v>
      </c>
      <c r="C241">
        <v>13</v>
      </c>
      <c r="D241">
        <v>1</v>
      </c>
      <c r="E241" t="s">
        <v>23</v>
      </c>
      <c r="F241" t="s">
        <v>81</v>
      </c>
      <c r="G241" t="s">
        <v>28</v>
      </c>
      <c r="H241" s="1">
        <f>VLOOKUP(A241, [1]Orders!A:B, 2, FALSE)</f>
        <v>43224</v>
      </c>
      <c r="I241" t="str">
        <f>VLOOKUP(A241, [1]Orders!A:E, 3, FALSE)</f>
        <v>Aditya</v>
      </c>
      <c r="J241" t="str">
        <f>VLOOKUP(A241, [1]Orders!A:E, 4, FALSE)</f>
        <v>Punjab</v>
      </c>
      <c r="K241" t="str">
        <f>VLOOKUP(A241, [1]Orders!A:E, 5, FALSE)</f>
        <v>Chandigarh</v>
      </c>
    </row>
    <row r="242" spans="1:11" x14ac:dyDescent="0.5">
      <c r="A242" t="s">
        <v>219</v>
      </c>
      <c r="B242">
        <v>412</v>
      </c>
      <c r="C242">
        <v>412</v>
      </c>
      <c r="D242">
        <v>6</v>
      </c>
      <c r="E242" t="s">
        <v>23</v>
      </c>
      <c r="F242" t="s">
        <v>26</v>
      </c>
      <c r="G242" t="s">
        <v>10</v>
      </c>
      <c r="H242" s="1">
        <f>VLOOKUP(A242, [1]Orders!A:B, 2, FALSE)</f>
        <v>43104</v>
      </c>
      <c r="I242" t="str">
        <f>VLOOKUP(A242, [1]Orders!A:E, 3, FALSE)</f>
        <v>Shikhar</v>
      </c>
      <c r="J242" t="str">
        <f>VLOOKUP(A242, [1]Orders!A:E, 4, FALSE)</f>
        <v>Maharashtra</v>
      </c>
      <c r="K242" t="str">
        <f>VLOOKUP(A242, [1]Orders!A:E, 5, FALSE)</f>
        <v>Mumbai</v>
      </c>
    </row>
    <row r="243" spans="1:11" x14ac:dyDescent="0.5">
      <c r="A243" t="s">
        <v>220</v>
      </c>
      <c r="B243">
        <v>646</v>
      </c>
      <c r="C243">
        <v>-23</v>
      </c>
      <c r="D243">
        <v>2</v>
      </c>
      <c r="E243" t="s">
        <v>8</v>
      </c>
      <c r="F243" t="s">
        <v>18</v>
      </c>
      <c r="G243" t="s">
        <v>19</v>
      </c>
      <c r="H243" s="1">
        <f>VLOOKUP(A243, [1]Orders!A:B, 2, FALSE)</f>
        <v>43108</v>
      </c>
      <c r="I243" t="str">
        <f>VLOOKUP(A243, [1]Orders!A:E, 3, FALSE)</f>
        <v>Ankur</v>
      </c>
      <c r="J243" t="str">
        <f>VLOOKUP(A243, [1]Orders!A:E, 4, FALSE)</f>
        <v>Andhra Pradesh</v>
      </c>
      <c r="K243" t="str">
        <f>VLOOKUP(A243, [1]Orders!A:E, 5, FALSE)</f>
        <v>Hyderabad</v>
      </c>
    </row>
    <row r="244" spans="1:11" x14ac:dyDescent="0.5">
      <c r="A244" t="s">
        <v>123</v>
      </c>
      <c r="B244">
        <v>30</v>
      </c>
      <c r="C244">
        <v>-5</v>
      </c>
      <c r="D244">
        <v>5</v>
      </c>
      <c r="E244" t="s">
        <v>23</v>
      </c>
      <c r="F244" t="s">
        <v>57</v>
      </c>
      <c r="G244" t="s">
        <v>28</v>
      </c>
      <c r="H244" s="1">
        <f>VLOOKUP(A244, [1]Orders!A:B, 2, FALSE)</f>
        <v>43231</v>
      </c>
      <c r="I244" t="str">
        <f>VLOOKUP(A244, [1]Orders!A:E, 3, FALSE)</f>
        <v>Priyanka</v>
      </c>
      <c r="J244" t="str">
        <f>VLOOKUP(A244, [1]Orders!A:E, 4, FALSE)</f>
        <v>Maharashtra</v>
      </c>
      <c r="K244" t="str">
        <f>VLOOKUP(A244, [1]Orders!A:E, 5, FALSE)</f>
        <v>Pune</v>
      </c>
    </row>
    <row r="245" spans="1:11" x14ac:dyDescent="0.5">
      <c r="A245" t="s">
        <v>129</v>
      </c>
      <c r="B245">
        <v>618</v>
      </c>
      <c r="C245">
        <v>27</v>
      </c>
      <c r="D245">
        <v>4</v>
      </c>
      <c r="E245" t="s">
        <v>12</v>
      </c>
      <c r="F245" t="s">
        <v>16</v>
      </c>
      <c r="G245" t="s">
        <v>19</v>
      </c>
      <c r="H245" s="1">
        <f>VLOOKUP(A245, [1]Orders!A:B, 2, FALSE)</f>
        <v>43175</v>
      </c>
      <c r="I245" t="str">
        <f>VLOOKUP(A245, [1]Orders!A:E, 3, FALSE)</f>
        <v>Tulika</v>
      </c>
      <c r="J245" t="str">
        <f>VLOOKUP(A245, [1]Orders!A:E, 4, FALSE)</f>
        <v>Madhya Pradesh</v>
      </c>
      <c r="K245" t="str">
        <f>VLOOKUP(A245, [1]Orders!A:E, 5, FALSE)</f>
        <v>Bhopal</v>
      </c>
    </row>
    <row r="246" spans="1:11" x14ac:dyDescent="0.5">
      <c r="A246" t="s">
        <v>221</v>
      </c>
      <c r="B246">
        <v>143</v>
      </c>
      <c r="C246">
        <v>-124</v>
      </c>
      <c r="D246">
        <v>5</v>
      </c>
      <c r="E246" t="s">
        <v>23</v>
      </c>
      <c r="F246" t="s">
        <v>26</v>
      </c>
      <c r="G246" t="s">
        <v>28</v>
      </c>
      <c r="H246" s="1">
        <f>VLOOKUP(A246, [1]Orders!A:B, 2, FALSE)</f>
        <v>43248</v>
      </c>
      <c r="I246" t="str">
        <f>VLOOKUP(A246, [1]Orders!A:E, 3, FALSE)</f>
        <v>Arsheen</v>
      </c>
      <c r="J246" t="str">
        <f>VLOOKUP(A246, [1]Orders!A:E, 4, FALSE)</f>
        <v>Gujarat</v>
      </c>
      <c r="K246" t="str">
        <f>VLOOKUP(A246, [1]Orders!A:E, 5, FALSE)</f>
        <v>Ahmedabad</v>
      </c>
    </row>
    <row r="247" spans="1:11" x14ac:dyDescent="0.5">
      <c r="A247" t="s">
        <v>64</v>
      </c>
      <c r="B247">
        <v>31</v>
      </c>
      <c r="C247">
        <v>1</v>
      </c>
      <c r="D247">
        <v>2</v>
      </c>
      <c r="E247" t="s">
        <v>23</v>
      </c>
      <c r="F247" t="s">
        <v>30</v>
      </c>
      <c r="G247" t="s">
        <v>28</v>
      </c>
      <c r="H247" s="1">
        <f>VLOOKUP(A247, [1]Orders!A:B, 2, FALSE)</f>
        <v>43373</v>
      </c>
      <c r="I247" t="str">
        <f>VLOOKUP(A247, [1]Orders!A:E, 3, FALSE)</f>
        <v>Sauptik</v>
      </c>
      <c r="J247" t="str">
        <f>VLOOKUP(A247, [1]Orders!A:E, 4, FALSE)</f>
        <v>Madhya Pradesh</v>
      </c>
      <c r="K247" t="str">
        <f>VLOOKUP(A247, [1]Orders!A:E, 5, FALSE)</f>
        <v>Indore</v>
      </c>
    </row>
    <row r="248" spans="1:11" x14ac:dyDescent="0.5">
      <c r="A248" t="s">
        <v>128</v>
      </c>
      <c r="B248">
        <v>409</v>
      </c>
      <c r="C248">
        <v>86</v>
      </c>
      <c r="D248">
        <v>3</v>
      </c>
      <c r="E248" t="s">
        <v>23</v>
      </c>
      <c r="F248" t="s">
        <v>26</v>
      </c>
      <c r="G248" t="s">
        <v>10</v>
      </c>
      <c r="H248" s="1">
        <f>VLOOKUP(A248, [1]Orders!A:B, 2, FALSE)</f>
        <v>43188</v>
      </c>
      <c r="I248" t="str">
        <f>VLOOKUP(A248, [1]Orders!A:E, 3, FALSE)</f>
        <v>Pinky</v>
      </c>
      <c r="J248" t="str">
        <f>VLOOKUP(A248, [1]Orders!A:E, 4, FALSE)</f>
        <v>Jammu and Kashmir</v>
      </c>
      <c r="K248" t="str">
        <f>VLOOKUP(A248, [1]Orders!A:E, 5, FALSE)</f>
        <v>Kashmir</v>
      </c>
    </row>
    <row r="249" spans="1:11" x14ac:dyDescent="0.5">
      <c r="A249" t="s">
        <v>123</v>
      </c>
      <c r="B249">
        <v>406</v>
      </c>
      <c r="C249">
        <v>126</v>
      </c>
      <c r="D249">
        <v>2</v>
      </c>
      <c r="E249" t="s">
        <v>23</v>
      </c>
      <c r="F249" t="s">
        <v>26</v>
      </c>
      <c r="G249" t="s">
        <v>10</v>
      </c>
      <c r="H249" s="1">
        <f>VLOOKUP(A249, [1]Orders!A:B, 2, FALSE)</f>
        <v>43231</v>
      </c>
      <c r="I249" t="str">
        <f>VLOOKUP(A249, [1]Orders!A:E, 3, FALSE)</f>
        <v>Priyanka</v>
      </c>
      <c r="J249" t="str">
        <f>VLOOKUP(A249, [1]Orders!A:E, 4, FALSE)</f>
        <v>Maharashtra</v>
      </c>
      <c r="K249" t="str">
        <f>VLOOKUP(A249, [1]Orders!A:E, 5, FALSE)</f>
        <v>Pune</v>
      </c>
    </row>
    <row r="250" spans="1:11" x14ac:dyDescent="0.5">
      <c r="A250" t="s">
        <v>222</v>
      </c>
      <c r="B250">
        <v>565</v>
      </c>
      <c r="C250">
        <v>66</v>
      </c>
      <c r="D250">
        <v>7</v>
      </c>
      <c r="E250" t="s">
        <v>23</v>
      </c>
      <c r="F250" t="s">
        <v>26</v>
      </c>
      <c r="G250" t="s">
        <v>19</v>
      </c>
      <c r="H250" s="1">
        <f>VLOOKUP(A250, [1]Orders!A:B, 2, FALSE)</f>
        <v>43367</v>
      </c>
      <c r="I250" t="str">
        <f>VLOOKUP(A250, [1]Orders!A:E, 3, FALSE)</f>
        <v>Avish</v>
      </c>
      <c r="J250" t="str">
        <f>VLOOKUP(A250, [1]Orders!A:E, 4, FALSE)</f>
        <v xml:space="preserve">Kerala </v>
      </c>
      <c r="K250" t="str">
        <f>VLOOKUP(A250, [1]Orders!A:E, 5, FALSE)</f>
        <v>Thiruvananthapuram</v>
      </c>
    </row>
    <row r="251" spans="1:11" x14ac:dyDescent="0.5">
      <c r="A251" t="s">
        <v>167</v>
      </c>
      <c r="B251">
        <v>85</v>
      </c>
      <c r="C251">
        <v>2</v>
      </c>
      <c r="D251">
        <v>6</v>
      </c>
      <c r="E251" t="s">
        <v>23</v>
      </c>
      <c r="F251" t="s">
        <v>57</v>
      </c>
      <c r="G251" t="s">
        <v>10</v>
      </c>
      <c r="H251" s="1">
        <f>VLOOKUP(A251, [1]Orders!A:B, 2, FALSE)</f>
        <v>43168</v>
      </c>
      <c r="I251" t="str">
        <f>VLOOKUP(A251, [1]Orders!A:E, 3, FALSE)</f>
        <v>Kirti</v>
      </c>
      <c r="J251" t="str">
        <f>VLOOKUP(A251, [1]Orders!A:E, 4, FALSE)</f>
        <v>Jammu and Kashmir</v>
      </c>
      <c r="K251" t="str">
        <f>VLOOKUP(A251, [1]Orders!A:E, 5, FALSE)</f>
        <v>Kashmir</v>
      </c>
    </row>
    <row r="252" spans="1:11" x14ac:dyDescent="0.5">
      <c r="A252" t="s">
        <v>223</v>
      </c>
      <c r="B252">
        <v>561</v>
      </c>
      <c r="C252">
        <v>118</v>
      </c>
      <c r="D252">
        <v>5</v>
      </c>
      <c r="E252" t="s">
        <v>12</v>
      </c>
      <c r="F252" t="s">
        <v>16</v>
      </c>
      <c r="G252" t="s">
        <v>19</v>
      </c>
      <c r="H252" s="1">
        <f>VLOOKUP(A252, [1]Orders!A:B, 2, FALSE)</f>
        <v>43130</v>
      </c>
      <c r="I252" t="str">
        <f>VLOOKUP(A252, [1]Orders!A:E, 3, FALSE)</f>
        <v>Atul</v>
      </c>
      <c r="J252" t="str">
        <f>VLOOKUP(A252, [1]Orders!A:E, 4, FALSE)</f>
        <v>Delhi</v>
      </c>
      <c r="K252" t="str">
        <f>VLOOKUP(A252, [1]Orders!A:E, 5, FALSE)</f>
        <v>Delhi</v>
      </c>
    </row>
    <row r="253" spans="1:11" x14ac:dyDescent="0.5">
      <c r="A253" t="s">
        <v>224</v>
      </c>
      <c r="B253">
        <v>503</v>
      </c>
      <c r="C253">
        <v>-56</v>
      </c>
      <c r="D253">
        <v>2</v>
      </c>
      <c r="E253" t="s">
        <v>23</v>
      </c>
      <c r="F253" t="s">
        <v>24</v>
      </c>
      <c r="G253" t="s">
        <v>10</v>
      </c>
      <c r="H253" s="1">
        <f>VLOOKUP(A253, [1]Orders!A:B, 2, FALSE)</f>
        <v>43319</v>
      </c>
      <c r="I253" t="str">
        <f>VLOOKUP(A253, [1]Orders!A:E, 3, FALSE)</f>
        <v>Aman</v>
      </c>
      <c r="J253" t="str">
        <f>VLOOKUP(A253, [1]Orders!A:E, 4, FALSE)</f>
        <v>Nagaland</v>
      </c>
      <c r="K253" t="str">
        <f>VLOOKUP(A253, [1]Orders!A:E, 5, FALSE)</f>
        <v>Kohima</v>
      </c>
    </row>
    <row r="254" spans="1:11" x14ac:dyDescent="0.5">
      <c r="A254" t="s">
        <v>188</v>
      </c>
      <c r="B254">
        <v>31</v>
      </c>
      <c r="C254">
        <v>14</v>
      </c>
      <c r="D254">
        <v>3</v>
      </c>
      <c r="E254" t="s">
        <v>23</v>
      </c>
      <c r="F254" t="s">
        <v>57</v>
      </c>
      <c r="G254" t="s">
        <v>28</v>
      </c>
      <c r="H254" s="1">
        <f>VLOOKUP(A254, [1]Orders!A:B, 2, FALSE)</f>
        <v>43421</v>
      </c>
      <c r="I254" t="str">
        <f>VLOOKUP(A254, [1]Orders!A:E, 3, FALSE)</f>
        <v>Ankit</v>
      </c>
      <c r="J254" t="str">
        <f>VLOOKUP(A254, [1]Orders!A:E, 4, FALSE)</f>
        <v>Sikkim</v>
      </c>
      <c r="K254" t="str">
        <f>VLOOKUP(A254, [1]Orders!A:E, 5, FALSE)</f>
        <v>Gangtok</v>
      </c>
    </row>
    <row r="255" spans="1:11" x14ac:dyDescent="0.5">
      <c r="A255" t="s">
        <v>225</v>
      </c>
      <c r="B255">
        <v>398</v>
      </c>
      <c r="C255">
        <v>111</v>
      </c>
      <c r="D255">
        <v>8</v>
      </c>
      <c r="E255" t="s">
        <v>23</v>
      </c>
      <c r="F255" t="s">
        <v>30</v>
      </c>
      <c r="G255" t="s">
        <v>10</v>
      </c>
      <c r="H255" s="1">
        <f>VLOOKUP(A255, [1]Orders!A:B, 2, FALSE)</f>
        <v>43124</v>
      </c>
      <c r="I255" t="str">
        <f>VLOOKUP(A255, [1]Orders!A:E, 3, FALSE)</f>
        <v>Madan Mohan</v>
      </c>
      <c r="J255" t="str">
        <f>VLOOKUP(A255, [1]Orders!A:E, 4, FALSE)</f>
        <v>Uttar Pradesh</v>
      </c>
      <c r="K255" t="str">
        <f>VLOOKUP(A255, [1]Orders!A:E, 5, FALSE)</f>
        <v>Mathura</v>
      </c>
    </row>
    <row r="256" spans="1:11" x14ac:dyDescent="0.5">
      <c r="A256" t="s">
        <v>226</v>
      </c>
      <c r="B256">
        <v>388</v>
      </c>
      <c r="C256">
        <v>93</v>
      </c>
      <c r="D256">
        <v>2</v>
      </c>
      <c r="E256" t="s">
        <v>12</v>
      </c>
      <c r="F256" t="s">
        <v>16</v>
      </c>
      <c r="G256" t="s">
        <v>10</v>
      </c>
      <c r="H256" s="1">
        <f>VLOOKUP(A256, [1]Orders!A:B, 2, FALSE)</f>
        <v>43438</v>
      </c>
      <c r="I256" t="str">
        <f>VLOOKUP(A256, [1]Orders!A:E, 3, FALSE)</f>
        <v>Sathya</v>
      </c>
      <c r="J256" t="str">
        <f>VLOOKUP(A256, [1]Orders!A:E, 4, FALSE)</f>
        <v>Gujarat</v>
      </c>
      <c r="K256" t="str">
        <f>VLOOKUP(A256, [1]Orders!A:E, 5, FALSE)</f>
        <v>Surat</v>
      </c>
    </row>
    <row r="257" spans="1:11" x14ac:dyDescent="0.5">
      <c r="A257" t="s">
        <v>60</v>
      </c>
      <c r="B257">
        <v>498</v>
      </c>
      <c r="C257">
        <v>-116</v>
      </c>
      <c r="D257">
        <v>4</v>
      </c>
      <c r="E257" t="s">
        <v>23</v>
      </c>
      <c r="F257" t="s">
        <v>26</v>
      </c>
      <c r="G257" t="s">
        <v>28</v>
      </c>
      <c r="H257" s="1">
        <f>VLOOKUP(A257, [1]Orders!A:B, 2, FALSE)</f>
        <v>43139</v>
      </c>
      <c r="I257" t="str">
        <f>VLOOKUP(A257, [1]Orders!A:E, 3, FALSE)</f>
        <v>Hitesh</v>
      </c>
      <c r="J257" t="str">
        <f>VLOOKUP(A257, [1]Orders!A:E, 4, FALSE)</f>
        <v>Madhya Pradesh</v>
      </c>
      <c r="K257" t="str">
        <f>VLOOKUP(A257, [1]Orders!A:E, 5, FALSE)</f>
        <v>Bhopal</v>
      </c>
    </row>
    <row r="258" spans="1:11" x14ac:dyDescent="0.5">
      <c r="A258" t="s">
        <v>227</v>
      </c>
      <c r="B258">
        <v>561</v>
      </c>
      <c r="C258">
        <v>212</v>
      </c>
      <c r="D258">
        <v>3</v>
      </c>
      <c r="E258" t="s">
        <v>23</v>
      </c>
      <c r="F258" t="s">
        <v>26</v>
      </c>
      <c r="G258" t="s">
        <v>19</v>
      </c>
      <c r="H258" s="1">
        <f>VLOOKUP(A258, [1]Orders!A:B, 2, FALSE)</f>
        <v>43293</v>
      </c>
      <c r="I258" t="str">
        <f>VLOOKUP(A258, [1]Orders!A:E, 3, FALSE)</f>
        <v>Manshul</v>
      </c>
      <c r="J258" t="str">
        <f>VLOOKUP(A258, [1]Orders!A:E, 4, FALSE)</f>
        <v>Uttar Pradesh</v>
      </c>
      <c r="K258" t="str">
        <f>VLOOKUP(A258, [1]Orders!A:E, 5, FALSE)</f>
        <v>Lucknow</v>
      </c>
    </row>
    <row r="259" spans="1:11" x14ac:dyDescent="0.5">
      <c r="A259" t="s">
        <v>228</v>
      </c>
      <c r="B259">
        <v>61</v>
      </c>
      <c r="C259">
        <v>3</v>
      </c>
      <c r="D259">
        <v>4</v>
      </c>
      <c r="E259" t="s">
        <v>23</v>
      </c>
      <c r="F259" t="s">
        <v>30</v>
      </c>
      <c r="G259" t="s">
        <v>10</v>
      </c>
      <c r="H259" s="1">
        <f>VLOOKUP(A259, [1]Orders!A:B, 2, FALSE)</f>
        <v>43175</v>
      </c>
      <c r="I259" t="str">
        <f>VLOOKUP(A259, [1]Orders!A:E, 3, FALSE)</f>
        <v>Ankita</v>
      </c>
      <c r="J259" t="str">
        <f>VLOOKUP(A259, [1]Orders!A:E, 4, FALSE)</f>
        <v>Maharashtra</v>
      </c>
      <c r="K259" t="str">
        <f>VLOOKUP(A259, [1]Orders!A:E, 5, FALSE)</f>
        <v>Mumbai</v>
      </c>
    </row>
    <row r="260" spans="1:11" x14ac:dyDescent="0.5">
      <c r="A260" t="s">
        <v>229</v>
      </c>
      <c r="B260">
        <v>34</v>
      </c>
      <c r="C260">
        <v>-22</v>
      </c>
      <c r="D260">
        <v>4</v>
      </c>
      <c r="E260" t="s">
        <v>23</v>
      </c>
      <c r="F260" t="s">
        <v>81</v>
      </c>
      <c r="G260" t="s">
        <v>10</v>
      </c>
      <c r="H260" s="1">
        <f>VLOOKUP(A260, [1]Orders!A:B, 2, FALSE)</f>
        <v>43214</v>
      </c>
      <c r="I260" t="str">
        <f>VLOOKUP(A260, [1]Orders!A:E, 3, FALSE)</f>
        <v>Sahil</v>
      </c>
      <c r="J260" t="str">
        <f>VLOOKUP(A260, [1]Orders!A:E, 4, FALSE)</f>
        <v>Punjab</v>
      </c>
      <c r="K260" t="str">
        <f>VLOOKUP(A260, [1]Orders!A:E, 5, FALSE)</f>
        <v>Chandigarh</v>
      </c>
    </row>
    <row r="261" spans="1:11" x14ac:dyDescent="0.5">
      <c r="A261" t="s">
        <v>230</v>
      </c>
      <c r="B261">
        <v>32</v>
      </c>
      <c r="C261">
        <v>6</v>
      </c>
      <c r="D261">
        <v>3</v>
      </c>
      <c r="E261" t="s">
        <v>23</v>
      </c>
      <c r="F261" t="s">
        <v>142</v>
      </c>
      <c r="G261" t="s">
        <v>28</v>
      </c>
      <c r="H261" s="1">
        <f>VLOOKUP(A261, [1]Orders!A:B, 2, FALSE)</f>
        <v>43165</v>
      </c>
      <c r="I261" t="str">
        <f>VLOOKUP(A261, [1]Orders!A:E, 3, FALSE)</f>
        <v>Paridhi</v>
      </c>
      <c r="J261" t="str">
        <f>VLOOKUP(A261, [1]Orders!A:E, 4, FALSE)</f>
        <v>Rajasthan</v>
      </c>
      <c r="K261" t="str">
        <f>VLOOKUP(A261, [1]Orders!A:E, 5, FALSE)</f>
        <v>Jaipur</v>
      </c>
    </row>
    <row r="262" spans="1:11" x14ac:dyDescent="0.5">
      <c r="A262" t="s">
        <v>39</v>
      </c>
      <c r="B262">
        <v>623</v>
      </c>
      <c r="C262">
        <v>-192</v>
      </c>
      <c r="D262">
        <v>3</v>
      </c>
      <c r="E262" t="s">
        <v>12</v>
      </c>
      <c r="F262" t="s">
        <v>45</v>
      </c>
      <c r="G262" t="s">
        <v>28</v>
      </c>
      <c r="H262" s="1">
        <f>VLOOKUP(A262, [1]Orders!A:B, 2, FALSE)</f>
        <v>43362</v>
      </c>
      <c r="I262" t="str">
        <f>VLOOKUP(A262, [1]Orders!A:E, 3, FALSE)</f>
        <v>Madan Mohan</v>
      </c>
      <c r="J262" t="str">
        <f>VLOOKUP(A262, [1]Orders!A:E, 4, FALSE)</f>
        <v>Uttar Pradesh</v>
      </c>
      <c r="K262" t="str">
        <f>VLOOKUP(A262, [1]Orders!A:E, 5, FALSE)</f>
        <v>Mathura</v>
      </c>
    </row>
    <row r="263" spans="1:11" x14ac:dyDescent="0.5">
      <c r="A263" t="s">
        <v>231</v>
      </c>
      <c r="B263">
        <v>520</v>
      </c>
      <c r="C263">
        <v>151</v>
      </c>
      <c r="D263">
        <v>3</v>
      </c>
      <c r="E263" t="s">
        <v>8</v>
      </c>
      <c r="F263" t="s">
        <v>21</v>
      </c>
      <c r="G263" t="s">
        <v>19</v>
      </c>
      <c r="H263" s="1">
        <f>VLOOKUP(A263, [1]Orders!A:B, 2, FALSE)</f>
        <v>43154</v>
      </c>
      <c r="I263" t="str">
        <f>VLOOKUP(A263, [1]Orders!A:E, 3, FALSE)</f>
        <v>Pinky</v>
      </c>
      <c r="J263" t="str">
        <f>VLOOKUP(A263, [1]Orders!A:E, 4, FALSE)</f>
        <v>Jammu and Kashmir</v>
      </c>
      <c r="K263" t="str">
        <f>VLOOKUP(A263, [1]Orders!A:E, 5, FALSE)</f>
        <v>Kashmir</v>
      </c>
    </row>
    <row r="264" spans="1:11" x14ac:dyDescent="0.5">
      <c r="A264" t="s">
        <v>112</v>
      </c>
      <c r="B264">
        <v>32</v>
      </c>
      <c r="C264">
        <v>-16</v>
      </c>
      <c r="D264">
        <v>6</v>
      </c>
      <c r="E264" t="s">
        <v>23</v>
      </c>
      <c r="F264" t="s">
        <v>26</v>
      </c>
      <c r="G264" t="s">
        <v>28</v>
      </c>
      <c r="H264" s="1">
        <f>VLOOKUP(A264, [1]Orders!A:B, 2, FALSE)</f>
        <v>43269</v>
      </c>
      <c r="I264" t="str">
        <f>VLOOKUP(A264, [1]Orders!A:E, 3, FALSE)</f>
        <v>Parna</v>
      </c>
      <c r="J264" t="str">
        <f>VLOOKUP(A264, [1]Orders!A:E, 4, FALSE)</f>
        <v>Madhya Pradesh</v>
      </c>
      <c r="K264" t="str">
        <f>VLOOKUP(A264, [1]Orders!A:E, 5, FALSE)</f>
        <v>Bhopal</v>
      </c>
    </row>
    <row r="265" spans="1:11" x14ac:dyDescent="0.5">
      <c r="A265" t="s">
        <v>33</v>
      </c>
      <c r="B265">
        <v>32</v>
      </c>
      <c r="C265">
        <v>-5</v>
      </c>
      <c r="D265">
        <v>5</v>
      </c>
      <c r="E265" t="s">
        <v>23</v>
      </c>
      <c r="F265" t="s">
        <v>30</v>
      </c>
      <c r="G265" t="s">
        <v>28</v>
      </c>
      <c r="H265" s="1">
        <f>VLOOKUP(A265, [1]Orders!A:B, 2, FALSE)</f>
        <v>43279</v>
      </c>
      <c r="I265" t="str">
        <f>VLOOKUP(A265, [1]Orders!A:E, 3, FALSE)</f>
        <v>Ekta</v>
      </c>
      <c r="J265" t="str">
        <f>VLOOKUP(A265, [1]Orders!A:E, 4, FALSE)</f>
        <v>Madhya Pradesh</v>
      </c>
      <c r="K265" t="str">
        <f>VLOOKUP(A265, [1]Orders!A:E, 5, FALSE)</f>
        <v>Indore</v>
      </c>
    </row>
    <row r="266" spans="1:11" x14ac:dyDescent="0.5">
      <c r="A266" t="s">
        <v>232</v>
      </c>
      <c r="B266">
        <v>510</v>
      </c>
      <c r="C266">
        <v>234</v>
      </c>
      <c r="D266">
        <v>6</v>
      </c>
      <c r="E266" t="s">
        <v>8</v>
      </c>
      <c r="F266" t="s">
        <v>9</v>
      </c>
      <c r="G266" t="s">
        <v>14</v>
      </c>
      <c r="H266" s="1">
        <f>VLOOKUP(A266, [1]Orders!A:B, 2, FALSE)</f>
        <v>43121</v>
      </c>
      <c r="I266" t="str">
        <f>VLOOKUP(A266, [1]Orders!A:E, 3, FALSE)</f>
        <v>Soumya</v>
      </c>
      <c r="J266" t="str">
        <f>VLOOKUP(A266, [1]Orders!A:E, 4, FALSE)</f>
        <v>Rajasthan</v>
      </c>
      <c r="K266" t="str">
        <f>VLOOKUP(A266, [1]Orders!A:E, 5, FALSE)</f>
        <v>Udaipur</v>
      </c>
    </row>
    <row r="267" spans="1:11" x14ac:dyDescent="0.5">
      <c r="A267" t="s">
        <v>233</v>
      </c>
      <c r="B267">
        <v>382</v>
      </c>
      <c r="C267">
        <v>68</v>
      </c>
      <c r="D267">
        <v>3</v>
      </c>
      <c r="E267" t="s">
        <v>23</v>
      </c>
      <c r="F267" t="s">
        <v>26</v>
      </c>
      <c r="G267" t="s">
        <v>10</v>
      </c>
      <c r="H267" s="1">
        <f>VLOOKUP(A267, [1]Orders!A:B, 2, FALSE)</f>
        <v>43172</v>
      </c>
      <c r="I267" t="str">
        <f>VLOOKUP(A267, [1]Orders!A:E, 3, FALSE)</f>
        <v>Chirag</v>
      </c>
      <c r="J267" t="str">
        <f>VLOOKUP(A267, [1]Orders!A:E, 4, FALSE)</f>
        <v>Maharashtra</v>
      </c>
      <c r="K267" t="str">
        <f>VLOOKUP(A267, [1]Orders!A:E, 5, FALSE)</f>
        <v>Mumbai</v>
      </c>
    </row>
    <row r="268" spans="1:11" x14ac:dyDescent="0.5">
      <c r="A268" t="s">
        <v>115</v>
      </c>
      <c r="B268">
        <v>33</v>
      </c>
      <c r="C268">
        <v>13</v>
      </c>
      <c r="D268">
        <v>3</v>
      </c>
      <c r="E268" t="s">
        <v>23</v>
      </c>
      <c r="F268" t="s">
        <v>63</v>
      </c>
      <c r="G268" t="s">
        <v>28</v>
      </c>
      <c r="H268" s="1">
        <f>VLOOKUP(A268, [1]Orders!A:B, 2, FALSE)</f>
        <v>43441</v>
      </c>
      <c r="I268" t="str">
        <f>VLOOKUP(A268, [1]Orders!A:E, 3, FALSE)</f>
        <v>Abhishek</v>
      </c>
      <c r="J268" t="str">
        <f>VLOOKUP(A268, [1]Orders!A:E, 4, FALSE)</f>
        <v>Rajasthan</v>
      </c>
      <c r="K268" t="str">
        <f>VLOOKUP(A268, [1]Orders!A:E, 5, FALSE)</f>
        <v>Udaipur</v>
      </c>
    </row>
    <row r="269" spans="1:11" x14ac:dyDescent="0.5">
      <c r="A269" t="s">
        <v>53</v>
      </c>
      <c r="B269">
        <v>381</v>
      </c>
      <c r="C269">
        <v>-13</v>
      </c>
      <c r="D269">
        <v>2</v>
      </c>
      <c r="E269" t="s">
        <v>23</v>
      </c>
      <c r="F269" t="s">
        <v>26</v>
      </c>
      <c r="G269" t="s">
        <v>10</v>
      </c>
      <c r="H269" s="1">
        <f>VLOOKUP(A269, [1]Orders!A:B, 2, FALSE)</f>
        <v>43262</v>
      </c>
      <c r="I269" t="str">
        <f>VLOOKUP(A269, [1]Orders!A:E, 3, FALSE)</f>
        <v>Pooja</v>
      </c>
      <c r="J269" t="str">
        <f>VLOOKUP(A269, [1]Orders!A:E, 4, FALSE)</f>
        <v>Himachal Pradesh</v>
      </c>
      <c r="K269" t="str">
        <f>VLOOKUP(A269, [1]Orders!A:E, 5, FALSE)</f>
        <v>Simla</v>
      </c>
    </row>
    <row r="270" spans="1:11" x14ac:dyDescent="0.5">
      <c r="A270" t="s">
        <v>88</v>
      </c>
      <c r="B270">
        <v>490</v>
      </c>
      <c r="C270">
        <v>88</v>
      </c>
      <c r="D270">
        <v>2</v>
      </c>
      <c r="E270" t="s">
        <v>8</v>
      </c>
      <c r="F270" t="s">
        <v>73</v>
      </c>
      <c r="G270" t="s">
        <v>14</v>
      </c>
      <c r="H270" s="1">
        <f>VLOOKUP(A270, [1]Orders!A:B, 2, FALSE)</f>
        <v>43166</v>
      </c>
      <c r="I270" t="str">
        <f>VLOOKUP(A270, [1]Orders!A:E, 3, FALSE)</f>
        <v>Parishi</v>
      </c>
      <c r="J270" t="str">
        <f>VLOOKUP(A270, [1]Orders!A:E, 4, FALSE)</f>
        <v>West Bengal</v>
      </c>
      <c r="K270" t="str">
        <f>VLOOKUP(A270, [1]Orders!A:E, 5, FALSE)</f>
        <v>Kolkata</v>
      </c>
    </row>
    <row r="271" spans="1:11" x14ac:dyDescent="0.5">
      <c r="A271" t="s">
        <v>234</v>
      </c>
      <c r="B271">
        <v>381</v>
      </c>
      <c r="C271">
        <v>144</v>
      </c>
      <c r="D271">
        <v>2</v>
      </c>
      <c r="E271" t="s">
        <v>23</v>
      </c>
      <c r="F271" t="s">
        <v>26</v>
      </c>
      <c r="G271" t="s">
        <v>10</v>
      </c>
      <c r="H271" s="1">
        <f>VLOOKUP(A271, [1]Orders!A:B, 2, FALSE)</f>
        <v>43412</v>
      </c>
      <c r="I271" t="str">
        <f>VLOOKUP(A271, [1]Orders!A:E, 3, FALSE)</f>
        <v>Shubham</v>
      </c>
      <c r="J271" t="str">
        <f>VLOOKUP(A271, [1]Orders!A:E, 4, FALSE)</f>
        <v>Maharashtra</v>
      </c>
      <c r="K271" t="str">
        <f>VLOOKUP(A271, [1]Orders!A:E, 5, FALSE)</f>
        <v>Pune</v>
      </c>
    </row>
    <row r="272" spans="1:11" x14ac:dyDescent="0.5">
      <c r="A272" t="s">
        <v>230</v>
      </c>
      <c r="B272">
        <v>487</v>
      </c>
      <c r="C272">
        <v>143</v>
      </c>
      <c r="D272">
        <v>4</v>
      </c>
      <c r="E272" t="s">
        <v>8</v>
      </c>
      <c r="F272" t="s">
        <v>21</v>
      </c>
      <c r="G272" t="s">
        <v>14</v>
      </c>
      <c r="H272" s="1">
        <f>VLOOKUP(A272, [1]Orders!A:B, 2, FALSE)</f>
        <v>43165</v>
      </c>
      <c r="I272" t="str">
        <f>VLOOKUP(A272, [1]Orders!A:E, 3, FALSE)</f>
        <v>Paridhi</v>
      </c>
      <c r="J272" t="str">
        <f>VLOOKUP(A272, [1]Orders!A:E, 4, FALSE)</f>
        <v>Rajasthan</v>
      </c>
      <c r="K272" t="str">
        <f>VLOOKUP(A272, [1]Orders!A:E, 5, FALSE)</f>
        <v>Jaipur</v>
      </c>
    </row>
    <row r="273" spans="1:11" x14ac:dyDescent="0.5">
      <c r="A273" t="s">
        <v>209</v>
      </c>
      <c r="B273">
        <v>366</v>
      </c>
      <c r="C273">
        <v>84</v>
      </c>
      <c r="D273">
        <v>3</v>
      </c>
      <c r="E273" t="s">
        <v>12</v>
      </c>
      <c r="F273" t="s">
        <v>16</v>
      </c>
      <c r="G273" t="s">
        <v>10</v>
      </c>
      <c r="H273" s="1">
        <f>VLOOKUP(A273, [1]Orders!A:B, 2, FALSE)</f>
        <v>43118</v>
      </c>
      <c r="I273" t="str">
        <f>VLOOKUP(A273, [1]Orders!A:E, 3, FALSE)</f>
        <v>Surbhi</v>
      </c>
      <c r="J273" t="str">
        <f>VLOOKUP(A273, [1]Orders!A:E, 4, FALSE)</f>
        <v>Gujarat</v>
      </c>
      <c r="K273" t="str">
        <f>VLOOKUP(A273, [1]Orders!A:E, 5, FALSE)</f>
        <v>Ahmedabad</v>
      </c>
    </row>
    <row r="274" spans="1:11" x14ac:dyDescent="0.5">
      <c r="A274" t="s">
        <v>210</v>
      </c>
      <c r="B274">
        <v>33</v>
      </c>
      <c r="C274">
        <v>-29</v>
      </c>
      <c r="D274">
        <v>3</v>
      </c>
      <c r="E274" t="s">
        <v>23</v>
      </c>
      <c r="F274" t="s">
        <v>142</v>
      </c>
      <c r="G274" t="s">
        <v>28</v>
      </c>
      <c r="H274" s="1">
        <f>VLOOKUP(A274, [1]Orders!A:B, 2, FALSE)</f>
        <v>43277</v>
      </c>
      <c r="I274" t="str">
        <f>VLOOKUP(A274, [1]Orders!A:E, 3, FALSE)</f>
        <v>Maithilee</v>
      </c>
      <c r="J274" t="str">
        <f>VLOOKUP(A274, [1]Orders!A:E, 4, FALSE)</f>
        <v>Madhya Pradesh</v>
      </c>
      <c r="K274" t="str">
        <f>VLOOKUP(A274, [1]Orders!A:E, 5, FALSE)</f>
        <v>Indore</v>
      </c>
    </row>
    <row r="275" spans="1:11" x14ac:dyDescent="0.5">
      <c r="A275" t="s">
        <v>136</v>
      </c>
      <c r="B275">
        <v>365</v>
      </c>
      <c r="C275">
        <v>107</v>
      </c>
      <c r="D275">
        <v>3</v>
      </c>
      <c r="E275" t="s">
        <v>8</v>
      </c>
      <c r="F275" t="s">
        <v>21</v>
      </c>
      <c r="G275" t="s">
        <v>10</v>
      </c>
      <c r="H275" s="1">
        <f>VLOOKUP(A275, [1]Orders!A:B, 2, FALSE)</f>
        <v>43122</v>
      </c>
      <c r="I275" t="str">
        <f>VLOOKUP(A275, [1]Orders!A:E, 3, FALSE)</f>
        <v>Rhea</v>
      </c>
      <c r="J275" t="str">
        <f>VLOOKUP(A275, [1]Orders!A:E, 4, FALSE)</f>
        <v>Maharashtra</v>
      </c>
      <c r="K275" t="str">
        <f>VLOOKUP(A275, [1]Orders!A:E, 5, FALSE)</f>
        <v>Mumbai</v>
      </c>
    </row>
    <row r="276" spans="1:11" x14ac:dyDescent="0.5">
      <c r="A276" t="s">
        <v>219</v>
      </c>
      <c r="B276">
        <v>207</v>
      </c>
      <c r="C276">
        <v>-100</v>
      </c>
      <c r="D276">
        <v>2</v>
      </c>
      <c r="E276" t="s">
        <v>23</v>
      </c>
      <c r="F276" t="s">
        <v>26</v>
      </c>
      <c r="G276" t="s">
        <v>28</v>
      </c>
      <c r="H276" s="1">
        <f>VLOOKUP(A276, [1]Orders!A:B, 2, FALSE)</f>
        <v>43104</v>
      </c>
      <c r="I276" t="str">
        <f>VLOOKUP(A276, [1]Orders!A:E, 3, FALSE)</f>
        <v>Shikhar</v>
      </c>
      <c r="J276" t="str">
        <f>VLOOKUP(A276, [1]Orders!A:E, 4, FALSE)</f>
        <v>Maharashtra</v>
      </c>
      <c r="K276" t="str">
        <f>VLOOKUP(A276, [1]Orders!A:E, 5, FALSE)</f>
        <v>Mumbai</v>
      </c>
    </row>
    <row r="277" spans="1:11" x14ac:dyDescent="0.5">
      <c r="A277" t="s">
        <v>200</v>
      </c>
      <c r="B277">
        <v>359</v>
      </c>
      <c r="C277">
        <v>-338</v>
      </c>
      <c r="D277">
        <v>5</v>
      </c>
      <c r="E277" t="s">
        <v>12</v>
      </c>
      <c r="F277" t="s">
        <v>16</v>
      </c>
      <c r="G277" t="s">
        <v>10</v>
      </c>
      <c r="H277" s="1">
        <f>VLOOKUP(A277, [1]Orders!A:B, 2, FALSE)</f>
        <v>43181</v>
      </c>
      <c r="I277" t="str">
        <f>VLOOKUP(A277, [1]Orders!A:E, 3, FALSE)</f>
        <v>Aarushi</v>
      </c>
      <c r="J277" t="str">
        <f>VLOOKUP(A277, [1]Orders!A:E, 4, FALSE)</f>
        <v>Tamil Nadu</v>
      </c>
      <c r="K277" t="str">
        <f>VLOOKUP(A277, [1]Orders!A:E, 5, FALSE)</f>
        <v>Chennai</v>
      </c>
    </row>
    <row r="278" spans="1:11" x14ac:dyDescent="0.5">
      <c r="A278" t="s">
        <v>135</v>
      </c>
      <c r="B278">
        <v>351</v>
      </c>
      <c r="C278">
        <v>-47</v>
      </c>
      <c r="D278">
        <v>8</v>
      </c>
      <c r="E278" t="s">
        <v>8</v>
      </c>
      <c r="F278" t="s">
        <v>21</v>
      </c>
      <c r="G278" t="s">
        <v>10</v>
      </c>
      <c r="H278" s="1">
        <f>VLOOKUP(A278, [1]Orders!A:B, 2, FALSE)</f>
        <v>43226</v>
      </c>
      <c r="I278" t="str">
        <f>VLOOKUP(A278, [1]Orders!A:E, 3, FALSE)</f>
        <v>Chirag</v>
      </c>
      <c r="J278" t="str">
        <f>VLOOKUP(A278, [1]Orders!A:E, 4, FALSE)</f>
        <v>Maharashtra</v>
      </c>
      <c r="K278" t="str">
        <f>VLOOKUP(A278, [1]Orders!A:E, 5, FALSE)</f>
        <v>Mumbai</v>
      </c>
    </row>
    <row r="279" spans="1:11" x14ac:dyDescent="0.5">
      <c r="A279" t="s">
        <v>111</v>
      </c>
      <c r="B279">
        <v>485</v>
      </c>
      <c r="C279">
        <v>199</v>
      </c>
      <c r="D279">
        <v>4</v>
      </c>
      <c r="E279" t="s">
        <v>23</v>
      </c>
      <c r="F279" t="s">
        <v>26</v>
      </c>
      <c r="G279" t="s">
        <v>14</v>
      </c>
      <c r="H279" s="1">
        <f>VLOOKUP(A279, [1]Orders!A:B, 2, FALSE)</f>
        <v>43409</v>
      </c>
      <c r="I279" t="str">
        <f>VLOOKUP(A279, [1]Orders!A:E, 3, FALSE)</f>
        <v>Abhishek</v>
      </c>
      <c r="J279" t="str">
        <f>VLOOKUP(A279, [1]Orders!A:E, 4, FALSE)</f>
        <v>Goa</v>
      </c>
      <c r="K279" t="str">
        <f>VLOOKUP(A279, [1]Orders!A:E, 5, FALSE)</f>
        <v>Goa</v>
      </c>
    </row>
    <row r="280" spans="1:11" x14ac:dyDescent="0.5">
      <c r="A280" t="s">
        <v>29</v>
      </c>
      <c r="B280">
        <v>37</v>
      </c>
      <c r="C280">
        <v>-23</v>
      </c>
      <c r="D280">
        <v>4</v>
      </c>
      <c r="E280" t="s">
        <v>23</v>
      </c>
      <c r="F280" t="s">
        <v>142</v>
      </c>
      <c r="G280" t="s">
        <v>28</v>
      </c>
      <c r="H280" s="1">
        <f>VLOOKUP(A280, [1]Orders!A:B, 2, FALSE)</f>
        <v>43219</v>
      </c>
      <c r="I280" t="str">
        <f>VLOOKUP(A280, [1]Orders!A:E, 3, FALSE)</f>
        <v>Kirti</v>
      </c>
      <c r="J280" t="str">
        <f>VLOOKUP(A280, [1]Orders!A:E, 4, FALSE)</f>
        <v>Jammu and Kashmir</v>
      </c>
      <c r="K280" t="str">
        <f>VLOOKUP(A280, [1]Orders!A:E, 5, FALSE)</f>
        <v>Kashmir</v>
      </c>
    </row>
    <row r="281" spans="1:11" x14ac:dyDescent="0.5">
      <c r="A281" t="s">
        <v>116</v>
      </c>
      <c r="B281">
        <v>34</v>
      </c>
      <c r="C281">
        <v>10</v>
      </c>
      <c r="D281">
        <v>2</v>
      </c>
      <c r="E281" t="s">
        <v>23</v>
      </c>
      <c r="F281" t="s">
        <v>81</v>
      </c>
      <c r="G281" t="s">
        <v>82</v>
      </c>
      <c r="H281" s="1">
        <f>VLOOKUP(A281, [1]Orders!A:B, 2, FALSE)</f>
        <v>43190</v>
      </c>
      <c r="I281" t="str">
        <f>VLOOKUP(A281, [1]Orders!A:E, 3, FALSE)</f>
        <v>Hitika</v>
      </c>
      <c r="J281" t="str">
        <f>VLOOKUP(A281, [1]Orders!A:E, 4, FALSE)</f>
        <v>Madhya Pradesh</v>
      </c>
      <c r="K281" t="str">
        <f>VLOOKUP(A281, [1]Orders!A:E, 5, FALSE)</f>
        <v>Indore</v>
      </c>
    </row>
    <row r="282" spans="1:11" x14ac:dyDescent="0.5">
      <c r="A282" t="s">
        <v>235</v>
      </c>
      <c r="B282">
        <v>346</v>
      </c>
      <c r="C282">
        <v>108</v>
      </c>
      <c r="D282">
        <v>3</v>
      </c>
      <c r="E282" t="s">
        <v>12</v>
      </c>
      <c r="F282" t="s">
        <v>13</v>
      </c>
      <c r="G282" t="s">
        <v>10</v>
      </c>
      <c r="H282" s="1">
        <f>VLOOKUP(A282, [1]Orders!A:B, 2, FALSE)</f>
        <v>43120</v>
      </c>
      <c r="I282" t="str">
        <f>VLOOKUP(A282, [1]Orders!A:E, 3, FALSE)</f>
        <v>Oshin</v>
      </c>
      <c r="J282" t="str">
        <f>VLOOKUP(A282, [1]Orders!A:E, 4, FALSE)</f>
        <v>Maharashtra</v>
      </c>
      <c r="K282" t="str">
        <f>VLOOKUP(A282, [1]Orders!A:E, 5, FALSE)</f>
        <v>Pune</v>
      </c>
    </row>
    <row r="283" spans="1:11" x14ac:dyDescent="0.5">
      <c r="A283" t="s">
        <v>158</v>
      </c>
      <c r="B283">
        <v>342</v>
      </c>
      <c r="C283">
        <v>-103</v>
      </c>
      <c r="D283">
        <v>4</v>
      </c>
      <c r="E283" t="s">
        <v>8</v>
      </c>
      <c r="F283" t="s">
        <v>9</v>
      </c>
      <c r="G283" t="s">
        <v>10</v>
      </c>
      <c r="H283" s="1">
        <f>VLOOKUP(A283, [1]Orders!A:B, 2, FALSE)</f>
        <v>43252</v>
      </c>
      <c r="I283" t="str">
        <f>VLOOKUP(A283, [1]Orders!A:E, 3, FALSE)</f>
        <v>Chandni</v>
      </c>
      <c r="J283" t="str">
        <f>VLOOKUP(A283, [1]Orders!A:E, 4, FALSE)</f>
        <v>Rajasthan</v>
      </c>
      <c r="K283" t="str">
        <f>VLOOKUP(A283, [1]Orders!A:E, 5, FALSE)</f>
        <v>Jaipur</v>
      </c>
    </row>
    <row r="284" spans="1:11" x14ac:dyDescent="0.5">
      <c r="A284" t="s">
        <v>236</v>
      </c>
      <c r="B284">
        <v>35</v>
      </c>
      <c r="C284">
        <v>-8</v>
      </c>
      <c r="D284">
        <v>2</v>
      </c>
      <c r="E284" t="s">
        <v>12</v>
      </c>
      <c r="F284" t="s">
        <v>131</v>
      </c>
      <c r="G284" t="s">
        <v>82</v>
      </c>
      <c r="H284" s="1">
        <f>VLOOKUP(A284, [1]Orders!A:B, 2, FALSE)</f>
        <v>43214</v>
      </c>
      <c r="I284" t="str">
        <f>VLOOKUP(A284, [1]Orders!A:E, 3, FALSE)</f>
        <v>Pooja</v>
      </c>
      <c r="J284" t="str">
        <f>VLOOKUP(A284, [1]Orders!A:E, 4, FALSE)</f>
        <v>Bihar</v>
      </c>
      <c r="K284" t="str">
        <f>VLOOKUP(A284, [1]Orders!A:E, 5, FALSE)</f>
        <v>Patna</v>
      </c>
    </row>
    <row r="285" spans="1:11" x14ac:dyDescent="0.5">
      <c r="A285" t="s">
        <v>237</v>
      </c>
      <c r="B285">
        <v>121</v>
      </c>
      <c r="C285">
        <v>41</v>
      </c>
      <c r="D285">
        <v>4</v>
      </c>
      <c r="E285" t="s">
        <v>23</v>
      </c>
      <c r="F285" t="s">
        <v>57</v>
      </c>
      <c r="G285" t="s">
        <v>28</v>
      </c>
      <c r="H285" s="1">
        <f>VLOOKUP(A285, [1]Orders!A:B, 2, FALSE)</f>
        <v>43438</v>
      </c>
      <c r="I285" t="str">
        <f>VLOOKUP(A285, [1]Orders!A:E, 3, FALSE)</f>
        <v>Shivani</v>
      </c>
      <c r="J285" t="str">
        <f>VLOOKUP(A285, [1]Orders!A:E, 4, FALSE)</f>
        <v>Madhya Pradesh</v>
      </c>
      <c r="K285" t="str">
        <f>VLOOKUP(A285, [1]Orders!A:E, 5, FALSE)</f>
        <v>Indore</v>
      </c>
    </row>
    <row r="286" spans="1:11" x14ac:dyDescent="0.5">
      <c r="A286" t="s">
        <v>134</v>
      </c>
      <c r="B286">
        <v>336</v>
      </c>
      <c r="C286">
        <v>57</v>
      </c>
      <c r="D286">
        <v>2</v>
      </c>
      <c r="E286" t="s">
        <v>8</v>
      </c>
      <c r="F286" t="s">
        <v>21</v>
      </c>
      <c r="G286" t="s">
        <v>10</v>
      </c>
      <c r="H286" s="1">
        <f>VLOOKUP(A286, [1]Orders!A:B, 2, FALSE)</f>
        <v>43444</v>
      </c>
      <c r="I286" t="str">
        <f>VLOOKUP(A286, [1]Orders!A:E, 3, FALSE)</f>
        <v>Amlan</v>
      </c>
      <c r="J286" t="str">
        <f>VLOOKUP(A286, [1]Orders!A:E, 4, FALSE)</f>
        <v>Madhya Pradesh</v>
      </c>
      <c r="K286" t="str">
        <f>VLOOKUP(A286, [1]Orders!A:E, 5, FALSE)</f>
        <v>Indore</v>
      </c>
    </row>
    <row r="287" spans="1:11" x14ac:dyDescent="0.5">
      <c r="A287" t="s">
        <v>31</v>
      </c>
      <c r="B287">
        <v>336</v>
      </c>
      <c r="C287">
        <v>71</v>
      </c>
      <c r="D287">
        <v>3</v>
      </c>
      <c r="E287" t="s">
        <v>12</v>
      </c>
      <c r="F287" t="s">
        <v>16</v>
      </c>
      <c r="G287" t="s">
        <v>10</v>
      </c>
      <c r="H287" s="1">
        <f>VLOOKUP(A287, [1]Orders!A:B, 2, FALSE)</f>
        <v>43410</v>
      </c>
      <c r="I287" t="str">
        <f>VLOOKUP(A287, [1]Orders!A:E, 3, FALSE)</f>
        <v>Kushal</v>
      </c>
      <c r="J287" t="str">
        <f>VLOOKUP(A287, [1]Orders!A:E, 4, FALSE)</f>
        <v>Nagaland</v>
      </c>
      <c r="K287" t="str">
        <f>VLOOKUP(A287, [1]Orders!A:E, 5, FALSE)</f>
        <v>Kohima</v>
      </c>
    </row>
    <row r="288" spans="1:11" x14ac:dyDescent="0.5">
      <c r="A288" t="s">
        <v>238</v>
      </c>
      <c r="B288">
        <v>27</v>
      </c>
      <c r="C288">
        <v>4</v>
      </c>
      <c r="D288">
        <v>1</v>
      </c>
      <c r="E288" t="s">
        <v>23</v>
      </c>
      <c r="F288" t="s">
        <v>30</v>
      </c>
      <c r="G288" t="s">
        <v>10</v>
      </c>
      <c r="H288" s="1">
        <f>VLOOKUP(A288, [1]Orders!A:B, 2, FALSE)</f>
        <v>43185</v>
      </c>
      <c r="I288" t="str">
        <f>VLOOKUP(A288, [1]Orders!A:E, 3, FALSE)</f>
        <v>Kanak</v>
      </c>
      <c r="J288" t="str">
        <f>VLOOKUP(A288, [1]Orders!A:E, 4, FALSE)</f>
        <v>Goa</v>
      </c>
      <c r="K288" t="str">
        <f>VLOOKUP(A288, [1]Orders!A:E, 5, FALSE)</f>
        <v>Goa</v>
      </c>
    </row>
    <row r="289" spans="1:11" x14ac:dyDescent="0.5">
      <c r="A289" t="s">
        <v>173</v>
      </c>
      <c r="B289">
        <v>333</v>
      </c>
      <c r="C289">
        <v>50</v>
      </c>
      <c r="D289">
        <v>2</v>
      </c>
      <c r="E289" t="s">
        <v>8</v>
      </c>
      <c r="F289" t="s">
        <v>21</v>
      </c>
      <c r="G289" t="s">
        <v>10</v>
      </c>
      <c r="H289" s="1">
        <f>VLOOKUP(A289, [1]Orders!A:B, 2, FALSE)</f>
        <v>43135</v>
      </c>
      <c r="I289" t="str">
        <f>VLOOKUP(A289, [1]Orders!A:E, 3, FALSE)</f>
        <v>Prashant</v>
      </c>
      <c r="J289" t="str">
        <f>VLOOKUP(A289, [1]Orders!A:E, 4, FALSE)</f>
        <v>Delhi</v>
      </c>
      <c r="K289" t="str">
        <f>VLOOKUP(A289, [1]Orders!A:E, 5, FALSE)</f>
        <v>Delhi</v>
      </c>
    </row>
    <row r="290" spans="1:11" x14ac:dyDescent="0.5">
      <c r="A290" t="s">
        <v>22</v>
      </c>
      <c r="B290">
        <v>36</v>
      </c>
      <c r="C290">
        <v>7</v>
      </c>
      <c r="D290">
        <v>3</v>
      </c>
      <c r="E290" t="s">
        <v>23</v>
      </c>
      <c r="F290" t="s">
        <v>63</v>
      </c>
      <c r="G290" t="s">
        <v>82</v>
      </c>
      <c r="H290" s="1">
        <f>VLOOKUP(A290, [1]Orders!A:B, 2, FALSE)</f>
        <v>43429</v>
      </c>
      <c r="I290" t="str">
        <f>VLOOKUP(A290, [1]Orders!A:E, 3, FALSE)</f>
        <v>Lalita</v>
      </c>
      <c r="J290" t="str">
        <f>VLOOKUP(A290, [1]Orders!A:E, 4, FALSE)</f>
        <v>Uttar Pradesh</v>
      </c>
      <c r="K290" t="str">
        <f>VLOOKUP(A290, [1]Orders!A:E, 5, FALSE)</f>
        <v>Mathura</v>
      </c>
    </row>
    <row r="291" spans="1:11" x14ac:dyDescent="0.5">
      <c r="A291" t="s">
        <v>239</v>
      </c>
      <c r="B291">
        <v>333</v>
      </c>
      <c r="C291">
        <v>-15</v>
      </c>
      <c r="D291">
        <v>3</v>
      </c>
      <c r="E291" t="s">
        <v>8</v>
      </c>
      <c r="F291" t="s">
        <v>21</v>
      </c>
      <c r="G291" t="s">
        <v>10</v>
      </c>
      <c r="H291" s="1">
        <f>VLOOKUP(A291, [1]Orders!A:B, 2, FALSE)</f>
        <v>43210</v>
      </c>
      <c r="I291" t="str">
        <f>VLOOKUP(A291, [1]Orders!A:E, 3, FALSE)</f>
        <v>Deepak</v>
      </c>
      <c r="J291" t="str">
        <f>VLOOKUP(A291, [1]Orders!A:E, 4, FALSE)</f>
        <v>Madhya Pradesh</v>
      </c>
      <c r="K291" t="str">
        <f>VLOOKUP(A291, [1]Orders!A:E, 5, FALSE)</f>
        <v>Bhopal</v>
      </c>
    </row>
    <row r="292" spans="1:11" x14ac:dyDescent="0.5">
      <c r="A292" t="s">
        <v>240</v>
      </c>
      <c r="B292">
        <v>327</v>
      </c>
      <c r="C292">
        <v>114</v>
      </c>
      <c r="D292">
        <v>4</v>
      </c>
      <c r="E292" t="s">
        <v>23</v>
      </c>
      <c r="F292" t="s">
        <v>24</v>
      </c>
      <c r="G292" t="s">
        <v>10</v>
      </c>
      <c r="H292" s="1">
        <f>VLOOKUP(A292, [1]Orders!A:B, 2, FALSE)</f>
        <v>43303</v>
      </c>
      <c r="I292" t="str">
        <f>VLOOKUP(A292, [1]Orders!A:E, 3, FALSE)</f>
        <v>Turumella</v>
      </c>
      <c r="J292" t="str">
        <f>VLOOKUP(A292, [1]Orders!A:E, 4, FALSE)</f>
        <v>Madhya Pradesh</v>
      </c>
      <c r="K292" t="str">
        <f>VLOOKUP(A292, [1]Orders!A:E, 5, FALSE)</f>
        <v>Indore</v>
      </c>
    </row>
    <row r="293" spans="1:11" x14ac:dyDescent="0.5">
      <c r="A293" t="s">
        <v>241</v>
      </c>
      <c r="B293">
        <v>18</v>
      </c>
      <c r="C293">
        <v>6</v>
      </c>
      <c r="D293">
        <v>3</v>
      </c>
      <c r="E293" t="s">
        <v>23</v>
      </c>
      <c r="F293" t="s">
        <v>30</v>
      </c>
      <c r="G293" t="s">
        <v>28</v>
      </c>
      <c r="H293" s="1">
        <f>VLOOKUP(A293, [1]Orders!A:B, 2, FALSE)</f>
        <v>43407</v>
      </c>
      <c r="I293" t="str">
        <f>VLOOKUP(A293, [1]Orders!A:E, 3, FALSE)</f>
        <v>Mrunal</v>
      </c>
      <c r="J293" t="str">
        <f>VLOOKUP(A293, [1]Orders!A:E, 4, FALSE)</f>
        <v>Maharashtra</v>
      </c>
      <c r="K293" t="str">
        <f>VLOOKUP(A293, [1]Orders!A:E, 5, FALSE)</f>
        <v>Mumbai</v>
      </c>
    </row>
    <row r="294" spans="1:11" x14ac:dyDescent="0.5">
      <c r="A294" t="s">
        <v>230</v>
      </c>
      <c r="B294">
        <v>325</v>
      </c>
      <c r="C294">
        <v>32</v>
      </c>
      <c r="D294">
        <v>7</v>
      </c>
      <c r="E294" t="s">
        <v>23</v>
      </c>
      <c r="F294" t="s">
        <v>81</v>
      </c>
      <c r="G294" t="s">
        <v>10</v>
      </c>
      <c r="H294" s="1">
        <f>VLOOKUP(A294, [1]Orders!A:B, 2, FALSE)</f>
        <v>43165</v>
      </c>
      <c r="I294" t="str">
        <f>VLOOKUP(A294, [1]Orders!A:E, 3, FALSE)</f>
        <v>Paridhi</v>
      </c>
      <c r="J294" t="str">
        <f>VLOOKUP(A294, [1]Orders!A:E, 4, FALSE)</f>
        <v>Rajasthan</v>
      </c>
      <c r="K294" t="str">
        <f>VLOOKUP(A294, [1]Orders!A:E, 5, FALSE)</f>
        <v>Jaipur</v>
      </c>
    </row>
    <row r="295" spans="1:11" x14ac:dyDescent="0.5">
      <c r="A295" t="s">
        <v>242</v>
      </c>
      <c r="B295">
        <v>482</v>
      </c>
      <c r="C295">
        <v>-6</v>
      </c>
      <c r="D295">
        <v>7</v>
      </c>
      <c r="E295" t="s">
        <v>8</v>
      </c>
      <c r="F295" t="s">
        <v>9</v>
      </c>
      <c r="G295" t="s">
        <v>14</v>
      </c>
      <c r="H295" s="1">
        <f>VLOOKUP(A295, [1]Orders!A:B, 2, FALSE)</f>
        <v>43315</v>
      </c>
      <c r="I295" t="str">
        <f>VLOOKUP(A295, [1]Orders!A:E, 3, FALSE)</f>
        <v>Navdeep</v>
      </c>
      <c r="J295" t="str">
        <f>VLOOKUP(A295, [1]Orders!A:E, 4, FALSE)</f>
        <v>Madhya Pradesh</v>
      </c>
      <c r="K295" t="str">
        <f>VLOOKUP(A295, [1]Orders!A:E, 5, FALSE)</f>
        <v>Indore</v>
      </c>
    </row>
    <row r="296" spans="1:11" x14ac:dyDescent="0.5">
      <c r="A296" t="s">
        <v>36</v>
      </c>
      <c r="B296">
        <v>465</v>
      </c>
      <c r="C296">
        <v>-33</v>
      </c>
      <c r="D296">
        <v>4</v>
      </c>
      <c r="E296" t="s">
        <v>8</v>
      </c>
      <c r="F296" t="s">
        <v>21</v>
      </c>
      <c r="G296" t="s">
        <v>14</v>
      </c>
      <c r="H296" s="1">
        <f>VLOOKUP(A296, [1]Orders!A:B, 2, FALSE)</f>
        <v>43332</v>
      </c>
      <c r="I296" t="str">
        <f>VLOOKUP(A296, [1]Orders!A:E, 3, FALSE)</f>
        <v>Mohan</v>
      </c>
      <c r="J296" t="str">
        <f>VLOOKUP(A296, [1]Orders!A:E, 4, FALSE)</f>
        <v>Maharashtra</v>
      </c>
      <c r="K296" t="str">
        <f>VLOOKUP(A296, [1]Orders!A:E, 5, FALSE)</f>
        <v>Mumbai</v>
      </c>
    </row>
    <row r="297" spans="1:11" x14ac:dyDescent="0.5">
      <c r="A297" t="s">
        <v>144</v>
      </c>
      <c r="B297">
        <v>40</v>
      </c>
      <c r="C297">
        <v>-12</v>
      </c>
      <c r="D297">
        <v>3</v>
      </c>
      <c r="E297" t="s">
        <v>23</v>
      </c>
      <c r="F297" t="s">
        <v>142</v>
      </c>
      <c r="G297" t="s">
        <v>10</v>
      </c>
      <c r="H297" s="1">
        <f>VLOOKUP(A297, [1]Orders!A:B, 2, FALSE)</f>
        <v>43363</v>
      </c>
      <c r="I297" t="str">
        <f>VLOOKUP(A297, [1]Orders!A:E, 3, FALSE)</f>
        <v>Asish</v>
      </c>
      <c r="J297" t="str">
        <f>VLOOKUP(A297, [1]Orders!A:E, 4, FALSE)</f>
        <v>Jammu and Kashmir</v>
      </c>
      <c r="K297" t="str">
        <f>VLOOKUP(A297, [1]Orders!A:E, 5, FALSE)</f>
        <v>Kashmir</v>
      </c>
    </row>
    <row r="298" spans="1:11" x14ac:dyDescent="0.5">
      <c r="A298" t="s">
        <v>149</v>
      </c>
      <c r="B298">
        <v>107</v>
      </c>
      <c r="C298">
        <v>36</v>
      </c>
      <c r="D298">
        <v>6</v>
      </c>
      <c r="E298" t="s">
        <v>23</v>
      </c>
      <c r="F298" t="s">
        <v>57</v>
      </c>
      <c r="G298" t="s">
        <v>10</v>
      </c>
      <c r="H298" s="1">
        <f>VLOOKUP(A298, [1]Orders!A:B, 2, FALSE)</f>
        <v>43193</v>
      </c>
      <c r="I298" t="str">
        <f>VLOOKUP(A298, [1]Orders!A:E, 3, FALSE)</f>
        <v>Jahan</v>
      </c>
      <c r="J298" t="str">
        <f>VLOOKUP(A298, [1]Orders!A:E, 4, FALSE)</f>
        <v>Madhya Pradesh</v>
      </c>
      <c r="K298" t="str">
        <f>VLOOKUP(A298, [1]Orders!A:E, 5, FALSE)</f>
        <v>Bhopal</v>
      </c>
    </row>
    <row r="299" spans="1:11" x14ac:dyDescent="0.5">
      <c r="A299" t="s">
        <v>38</v>
      </c>
      <c r="B299">
        <v>312</v>
      </c>
      <c r="C299">
        <v>-312</v>
      </c>
      <c r="D299">
        <v>7</v>
      </c>
      <c r="E299" t="s">
        <v>12</v>
      </c>
      <c r="F299" t="s">
        <v>13</v>
      </c>
      <c r="G299" t="s">
        <v>10</v>
      </c>
      <c r="H299" s="1">
        <f>VLOOKUP(A299, [1]Orders!A:B, 2, FALSE)</f>
        <v>43231</v>
      </c>
      <c r="I299" t="str">
        <f>VLOOKUP(A299, [1]Orders!A:E, 3, FALSE)</f>
        <v>Nida</v>
      </c>
      <c r="J299" t="str">
        <f>VLOOKUP(A299, [1]Orders!A:E, 4, FALSE)</f>
        <v>Madhya Pradesh</v>
      </c>
      <c r="K299" t="str">
        <f>VLOOKUP(A299, [1]Orders!A:E, 5, FALSE)</f>
        <v>Indore</v>
      </c>
    </row>
    <row r="300" spans="1:11" x14ac:dyDescent="0.5">
      <c r="A300" t="s">
        <v>243</v>
      </c>
      <c r="B300">
        <v>451</v>
      </c>
      <c r="C300">
        <v>25</v>
      </c>
      <c r="D300">
        <v>3</v>
      </c>
      <c r="E300" t="s">
        <v>8</v>
      </c>
      <c r="F300" t="s">
        <v>21</v>
      </c>
      <c r="G300" t="s">
        <v>14</v>
      </c>
      <c r="H300" s="1">
        <f>VLOOKUP(A300, [1]Orders!A:B, 2, FALSE)</f>
        <v>43187</v>
      </c>
      <c r="I300" t="str">
        <f>VLOOKUP(A300, [1]Orders!A:E, 3, FALSE)</f>
        <v>Atharv</v>
      </c>
      <c r="J300" t="str">
        <f>VLOOKUP(A300, [1]Orders!A:E, 4, FALSE)</f>
        <v>West Bengal</v>
      </c>
      <c r="K300" t="str">
        <f>VLOOKUP(A300, [1]Orders!A:E, 5, FALSE)</f>
        <v>Kolkata</v>
      </c>
    </row>
    <row r="301" spans="1:11" x14ac:dyDescent="0.5">
      <c r="A301" t="s">
        <v>177</v>
      </c>
      <c r="B301">
        <v>312</v>
      </c>
      <c r="C301">
        <v>62</v>
      </c>
      <c r="D301">
        <v>1</v>
      </c>
      <c r="E301" t="s">
        <v>8</v>
      </c>
      <c r="F301" t="s">
        <v>9</v>
      </c>
      <c r="G301" t="s">
        <v>10</v>
      </c>
      <c r="H301" s="1">
        <f>VLOOKUP(A301, [1]Orders!A:B, 2, FALSE)</f>
        <v>43119</v>
      </c>
      <c r="I301" t="str">
        <f>VLOOKUP(A301, [1]Orders!A:E, 3, FALSE)</f>
        <v>Tejeswini</v>
      </c>
      <c r="J301" t="str">
        <f>VLOOKUP(A301, [1]Orders!A:E, 4, FALSE)</f>
        <v>Maharashtra</v>
      </c>
      <c r="K301" t="str">
        <f>VLOOKUP(A301, [1]Orders!A:E, 5, FALSE)</f>
        <v>Pune</v>
      </c>
    </row>
    <row r="302" spans="1:11" x14ac:dyDescent="0.5">
      <c r="A302" t="s">
        <v>244</v>
      </c>
      <c r="B302">
        <v>311</v>
      </c>
      <c r="C302">
        <v>72</v>
      </c>
      <c r="D302">
        <v>2</v>
      </c>
      <c r="E302" t="s">
        <v>12</v>
      </c>
      <c r="F302" t="s">
        <v>16</v>
      </c>
      <c r="G302" t="s">
        <v>10</v>
      </c>
      <c r="H302" s="1">
        <f>VLOOKUP(A302, [1]Orders!A:B, 2, FALSE)</f>
        <v>43140</v>
      </c>
      <c r="I302" t="str">
        <f>VLOOKUP(A302, [1]Orders!A:E, 3, FALSE)</f>
        <v>Shubham</v>
      </c>
      <c r="J302" t="str">
        <f>VLOOKUP(A302, [1]Orders!A:E, 4, FALSE)</f>
        <v>Jammu and Kashmir</v>
      </c>
      <c r="K302" t="str">
        <f>VLOOKUP(A302, [1]Orders!A:E, 5, FALSE)</f>
        <v>Kashmir</v>
      </c>
    </row>
    <row r="303" spans="1:11" x14ac:dyDescent="0.5">
      <c r="A303" t="s">
        <v>245</v>
      </c>
      <c r="B303">
        <v>11</v>
      </c>
      <c r="C303">
        <v>5</v>
      </c>
      <c r="D303">
        <v>2</v>
      </c>
      <c r="E303" t="s">
        <v>23</v>
      </c>
      <c r="F303" t="s">
        <v>30</v>
      </c>
      <c r="G303" t="s">
        <v>28</v>
      </c>
      <c r="H303" s="1">
        <f>VLOOKUP(A303, [1]Orders!A:B, 2, FALSE)</f>
        <v>43185</v>
      </c>
      <c r="I303" t="str">
        <f>VLOOKUP(A303, [1]Orders!A:E, 3, FALSE)</f>
        <v>Bhavna</v>
      </c>
      <c r="J303" t="str">
        <f>VLOOKUP(A303, [1]Orders!A:E, 4, FALSE)</f>
        <v>Sikkim</v>
      </c>
      <c r="K303" t="str">
        <f>VLOOKUP(A303, [1]Orders!A:E, 5, FALSE)</f>
        <v>Gangtok</v>
      </c>
    </row>
    <row r="304" spans="1:11" x14ac:dyDescent="0.5">
      <c r="A304" t="s">
        <v>221</v>
      </c>
      <c r="B304">
        <v>37</v>
      </c>
      <c r="C304">
        <v>-5</v>
      </c>
      <c r="D304">
        <v>3</v>
      </c>
      <c r="E304" t="s">
        <v>23</v>
      </c>
      <c r="F304" t="s">
        <v>81</v>
      </c>
      <c r="G304" t="s">
        <v>82</v>
      </c>
      <c r="H304" s="1">
        <f>VLOOKUP(A304, [1]Orders!A:B, 2, FALSE)</f>
        <v>43248</v>
      </c>
      <c r="I304" t="str">
        <f>VLOOKUP(A304, [1]Orders!A:E, 3, FALSE)</f>
        <v>Arsheen</v>
      </c>
      <c r="J304" t="str">
        <f>VLOOKUP(A304, [1]Orders!A:E, 4, FALSE)</f>
        <v>Gujarat</v>
      </c>
      <c r="K304" t="str">
        <f>VLOOKUP(A304, [1]Orders!A:E, 5, FALSE)</f>
        <v>Ahmedabad</v>
      </c>
    </row>
    <row r="305" spans="1:11" x14ac:dyDescent="0.5">
      <c r="A305" t="s">
        <v>246</v>
      </c>
      <c r="B305">
        <v>444</v>
      </c>
      <c r="C305">
        <v>-200</v>
      </c>
      <c r="D305">
        <v>4</v>
      </c>
      <c r="E305" t="s">
        <v>8</v>
      </c>
      <c r="F305" t="s">
        <v>21</v>
      </c>
      <c r="G305" t="s">
        <v>14</v>
      </c>
      <c r="H305" s="1">
        <f>VLOOKUP(A305, [1]Orders!A:B, 2, FALSE)</f>
        <v>43240</v>
      </c>
      <c r="I305" t="str">
        <f>VLOOKUP(A305, [1]Orders!A:E, 3, FALSE)</f>
        <v>Pratyusmita</v>
      </c>
      <c r="J305" t="str">
        <f>VLOOKUP(A305, [1]Orders!A:E, 4, FALSE)</f>
        <v>Bihar</v>
      </c>
      <c r="K305" t="str">
        <f>VLOOKUP(A305, [1]Orders!A:E, 5, FALSE)</f>
        <v>Patna</v>
      </c>
    </row>
    <row r="306" spans="1:11" x14ac:dyDescent="0.5">
      <c r="A306" t="s">
        <v>247</v>
      </c>
      <c r="B306">
        <v>434</v>
      </c>
      <c r="C306">
        <v>26</v>
      </c>
      <c r="D306">
        <v>11</v>
      </c>
      <c r="E306" t="s">
        <v>23</v>
      </c>
      <c r="F306" t="s">
        <v>142</v>
      </c>
      <c r="G306" t="s">
        <v>19</v>
      </c>
      <c r="H306" s="1">
        <f>VLOOKUP(A306, [1]Orders!A:B, 2, FALSE)</f>
        <v>43218</v>
      </c>
      <c r="I306" t="str">
        <f>VLOOKUP(A306, [1]Orders!A:E, 3, FALSE)</f>
        <v>Ajay</v>
      </c>
      <c r="J306" t="str">
        <f>VLOOKUP(A306, [1]Orders!A:E, 4, FALSE)</f>
        <v>Karnataka</v>
      </c>
      <c r="K306" t="str">
        <f>VLOOKUP(A306, [1]Orders!A:E, 5, FALSE)</f>
        <v>Bangalore</v>
      </c>
    </row>
    <row r="307" spans="1:11" x14ac:dyDescent="0.5">
      <c r="A307" t="s">
        <v>248</v>
      </c>
      <c r="B307">
        <v>299</v>
      </c>
      <c r="C307">
        <v>0</v>
      </c>
      <c r="D307">
        <v>6</v>
      </c>
      <c r="E307" t="s">
        <v>23</v>
      </c>
      <c r="F307" t="s">
        <v>57</v>
      </c>
      <c r="G307" t="s">
        <v>10</v>
      </c>
      <c r="H307" s="1">
        <f>VLOOKUP(A307, [1]Orders!A:B, 2, FALSE)</f>
        <v>43131</v>
      </c>
      <c r="I307" t="str">
        <f>VLOOKUP(A307, [1]Orders!A:E, 3, FALSE)</f>
        <v>Manjiri</v>
      </c>
      <c r="J307" t="str">
        <f>VLOOKUP(A307, [1]Orders!A:E, 4, FALSE)</f>
        <v>Delhi</v>
      </c>
      <c r="K307" t="str">
        <f>VLOOKUP(A307, [1]Orders!A:E, 5, FALSE)</f>
        <v>Delhi</v>
      </c>
    </row>
    <row r="308" spans="1:11" x14ac:dyDescent="0.5">
      <c r="A308" t="s">
        <v>134</v>
      </c>
      <c r="B308">
        <v>37</v>
      </c>
      <c r="C308">
        <v>17</v>
      </c>
      <c r="D308">
        <v>3</v>
      </c>
      <c r="E308" t="s">
        <v>23</v>
      </c>
      <c r="F308" t="s">
        <v>30</v>
      </c>
      <c r="G308" t="s">
        <v>82</v>
      </c>
      <c r="H308" s="1">
        <f>VLOOKUP(A308, [1]Orders!A:B, 2, FALSE)</f>
        <v>43444</v>
      </c>
      <c r="I308" t="str">
        <f>VLOOKUP(A308, [1]Orders!A:E, 3, FALSE)</f>
        <v>Amlan</v>
      </c>
      <c r="J308" t="str">
        <f>VLOOKUP(A308, [1]Orders!A:E, 4, FALSE)</f>
        <v>Madhya Pradesh</v>
      </c>
      <c r="K308" t="str">
        <f>VLOOKUP(A308, [1]Orders!A:E, 5, FALSE)</f>
        <v>Indore</v>
      </c>
    </row>
    <row r="309" spans="1:11" x14ac:dyDescent="0.5">
      <c r="A309" t="s">
        <v>249</v>
      </c>
      <c r="B309">
        <v>299</v>
      </c>
      <c r="C309">
        <v>113</v>
      </c>
      <c r="D309">
        <v>2</v>
      </c>
      <c r="E309" t="s">
        <v>12</v>
      </c>
      <c r="F309" t="s">
        <v>16</v>
      </c>
      <c r="G309" t="s">
        <v>10</v>
      </c>
      <c r="H309" s="1">
        <f>VLOOKUP(A309, [1]Orders!A:B, 2, FALSE)</f>
        <v>43345</v>
      </c>
      <c r="I309" t="str">
        <f>VLOOKUP(A309, [1]Orders!A:E, 3, FALSE)</f>
        <v>Sakshi</v>
      </c>
      <c r="J309" t="str">
        <f>VLOOKUP(A309, [1]Orders!A:E, 4, FALSE)</f>
        <v>Madhya Pradesh</v>
      </c>
      <c r="K309" t="str">
        <f>VLOOKUP(A309, [1]Orders!A:E, 5, FALSE)</f>
        <v>Indore</v>
      </c>
    </row>
    <row r="310" spans="1:11" x14ac:dyDescent="0.5">
      <c r="A310" t="s">
        <v>250</v>
      </c>
      <c r="B310">
        <v>298</v>
      </c>
      <c r="C310">
        <v>74</v>
      </c>
      <c r="D310">
        <v>2</v>
      </c>
      <c r="E310" t="s">
        <v>12</v>
      </c>
      <c r="F310" t="s">
        <v>16</v>
      </c>
      <c r="G310" t="s">
        <v>10</v>
      </c>
      <c r="H310" s="1">
        <f>VLOOKUP(A310, [1]Orders!A:B, 2, FALSE)</f>
        <v>43404</v>
      </c>
      <c r="I310" t="str">
        <f>VLOOKUP(A310, [1]Orders!A:E, 3, FALSE)</f>
        <v>Sneha</v>
      </c>
      <c r="J310" t="str">
        <f>VLOOKUP(A310, [1]Orders!A:E, 4, FALSE)</f>
        <v>Karnataka</v>
      </c>
      <c r="K310" t="str">
        <f>VLOOKUP(A310, [1]Orders!A:E, 5, FALSE)</f>
        <v>Bangalore</v>
      </c>
    </row>
    <row r="311" spans="1:11" x14ac:dyDescent="0.5">
      <c r="A311" t="s">
        <v>251</v>
      </c>
      <c r="B311">
        <v>94</v>
      </c>
      <c r="C311">
        <v>7</v>
      </c>
      <c r="D311">
        <v>7</v>
      </c>
      <c r="E311" t="s">
        <v>23</v>
      </c>
      <c r="F311" t="s">
        <v>63</v>
      </c>
      <c r="G311" t="s">
        <v>28</v>
      </c>
      <c r="H311" s="1">
        <f>VLOOKUP(A311, [1]Orders!A:B, 2, FALSE)</f>
        <v>43407</v>
      </c>
      <c r="I311" t="str">
        <f>VLOOKUP(A311, [1]Orders!A:E, 3, FALSE)</f>
        <v>Soodesh</v>
      </c>
      <c r="J311" t="str">
        <f>VLOOKUP(A311, [1]Orders!A:E, 4, FALSE)</f>
        <v>Punjab</v>
      </c>
      <c r="K311" t="str">
        <f>VLOOKUP(A311, [1]Orders!A:E, 5, FALSE)</f>
        <v>Chandigarh</v>
      </c>
    </row>
    <row r="312" spans="1:11" x14ac:dyDescent="0.5">
      <c r="A312" t="s">
        <v>252</v>
      </c>
      <c r="B312">
        <v>296</v>
      </c>
      <c r="C312">
        <v>225</v>
      </c>
      <c r="D312">
        <v>11</v>
      </c>
      <c r="E312" t="s">
        <v>23</v>
      </c>
      <c r="F312" t="s">
        <v>26</v>
      </c>
      <c r="G312" t="s">
        <v>10</v>
      </c>
      <c r="H312" s="1">
        <f>VLOOKUP(A312, [1]Orders!A:B, 2, FALSE)</f>
        <v>43321</v>
      </c>
      <c r="I312" t="str">
        <f>VLOOKUP(A312, [1]Orders!A:E, 3, FALSE)</f>
        <v>Kartik</v>
      </c>
      <c r="J312" t="str">
        <f>VLOOKUP(A312, [1]Orders!A:E, 4, FALSE)</f>
        <v>Gujarat</v>
      </c>
      <c r="K312" t="str">
        <f>VLOOKUP(A312, [1]Orders!A:E, 5, FALSE)</f>
        <v>Ahmedabad</v>
      </c>
    </row>
    <row r="313" spans="1:11" x14ac:dyDescent="0.5">
      <c r="A313" t="s">
        <v>253</v>
      </c>
      <c r="B313">
        <v>37</v>
      </c>
      <c r="C313">
        <v>17</v>
      </c>
      <c r="D313">
        <v>3</v>
      </c>
      <c r="E313" t="s">
        <v>23</v>
      </c>
      <c r="F313" t="s">
        <v>30</v>
      </c>
      <c r="G313" t="s">
        <v>82</v>
      </c>
      <c r="H313" s="1">
        <f>VLOOKUP(A313, [1]Orders!A:B, 2, FALSE)</f>
        <v>43180</v>
      </c>
      <c r="I313" t="str">
        <f>VLOOKUP(A313, [1]Orders!A:E, 3, FALSE)</f>
        <v>Pournamasi</v>
      </c>
      <c r="J313" t="str">
        <f>VLOOKUP(A313, [1]Orders!A:E, 4, FALSE)</f>
        <v>Madhya Pradesh</v>
      </c>
      <c r="K313" t="str">
        <f>VLOOKUP(A313, [1]Orders!A:E, 5, FALSE)</f>
        <v>Indore</v>
      </c>
    </row>
    <row r="314" spans="1:11" x14ac:dyDescent="0.5">
      <c r="A314" t="s">
        <v>254</v>
      </c>
      <c r="B314">
        <v>291</v>
      </c>
      <c r="C314">
        <v>93</v>
      </c>
      <c r="D314">
        <v>2</v>
      </c>
      <c r="E314" t="s">
        <v>8</v>
      </c>
      <c r="F314" t="s">
        <v>18</v>
      </c>
      <c r="G314" t="s">
        <v>10</v>
      </c>
      <c r="H314" s="1">
        <f>VLOOKUP(A314, [1]Orders!A:B, 2, FALSE)</f>
        <v>43152</v>
      </c>
      <c r="I314" t="str">
        <f>VLOOKUP(A314, [1]Orders!A:E, 3, FALSE)</f>
        <v>Sarita</v>
      </c>
      <c r="J314" t="str">
        <f>VLOOKUP(A314, [1]Orders!A:E, 4, FALSE)</f>
        <v>Maharashtra</v>
      </c>
      <c r="K314" t="str">
        <f>VLOOKUP(A314, [1]Orders!A:E, 5, FALSE)</f>
        <v>Pune</v>
      </c>
    </row>
    <row r="315" spans="1:11" x14ac:dyDescent="0.5">
      <c r="A315" t="s">
        <v>215</v>
      </c>
      <c r="B315">
        <v>327</v>
      </c>
      <c r="C315">
        <v>-39</v>
      </c>
      <c r="D315">
        <v>1</v>
      </c>
      <c r="E315" t="s">
        <v>8</v>
      </c>
      <c r="F315" t="s">
        <v>21</v>
      </c>
      <c r="G315" t="s">
        <v>10</v>
      </c>
      <c r="H315" s="1">
        <f>VLOOKUP(A315, [1]Orders!A:B, 2, FALSE)</f>
        <v>43254</v>
      </c>
      <c r="I315" t="str">
        <f>VLOOKUP(A315, [1]Orders!A:E, 3, FALSE)</f>
        <v>Bathina</v>
      </c>
      <c r="J315" t="str">
        <f>VLOOKUP(A315, [1]Orders!A:E, 4, FALSE)</f>
        <v>Karnataka</v>
      </c>
      <c r="K315" t="str">
        <f>VLOOKUP(A315, [1]Orders!A:E, 5, FALSE)</f>
        <v>Bangalore</v>
      </c>
    </row>
    <row r="316" spans="1:11" x14ac:dyDescent="0.5">
      <c r="A316" t="s">
        <v>231</v>
      </c>
      <c r="B316">
        <v>291</v>
      </c>
      <c r="C316">
        <v>119</v>
      </c>
      <c r="D316">
        <v>11</v>
      </c>
      <c r="E316" t="s">
        <v>23</v>
      </c>
      <c r="F316" t="s">
        <v>26</v>
      </c>
      <c r="G316" t="s">
        <v>10</v>
      </c>
      <c r="H316" s="1">
        <f>VLOOKUP(A316, [1]Orders!A:B, 2, FALSE)</f>
        <v>43154</v>
      </c>
      <c r="I316" t="str">
        <f>VLOOKUP(A316, [1]Orders!A:E, 3, FALSE)</f>
        <v>Pinky</v>
      </c>
      <c r="J316" t="str">
        <f>VLOOKUP(A316, [1]Orders!A:E, 4, FALSE)</f>
        <v>Jammu and Kashmir</v>
      </c>
      <c r="K316" t="str">
        <f>VLOOKUP(A316, [1]Orders!A:E, 5, FALSE)</f>
        <v>Kashmir</v>
      </c>
    </row>
    <row r="317" spans="1:11" x14ac:dyDescent="0.5">
      <c r="A317" t="s">
        <v>191</v>
      </c>
      <c r="B317">
        <v>287</v>
      </c>
      <c r="C317">
        <v>-66</v>
      </c>
      <c r="D317">
        <v>6</v>
      </c>
      <c r="E317" t="s">
        <v>23</v>
      </c>
      <c r="F317" t="s">
        <v>32</v>
      </c>
      <c r="G317" t="s">
        <v>10</v>
      </c>
      <c r="H317" s="1">
        <f>VLOOKUP(A317, [1]Orders!A:B, 2, FALSE)</f>
        <v>43439</v>
      </c>
      <c r="I317" t="str">
        <f>VLOOKUP(A317, [1]Orders!A:E, 3, FALSE)</f>
        <v>Aman</v>
      </c>
      <c r="J317" t="str">
        <f>VLOOKUP(A317, [1]Orders!A:E, 4, FALSE)</f>
        <v>Maharashtra</v>
      </c>
      <c r="K317" t="str">
        <f>VLOOKUP(A317, [1]Orders!A:E, 5, FALSE)</f>
        <v>Mumbai</v>
      </c>
    </row>
    <row r="318" spans="1:11" x14ac:dyDescent="0.5">
      <c r="A318" t="s">
        <v>255</v>
      </c>
      <c r="B318">
        <v>42</v>
      </c>
      <c r="C318">
        <v>15</v>
      </c>
      <c r="D318">
        <v>1</v>
      </c>
      <c r="E318" t="s">
        <v>8</v>
      </c>
      <c r="F318" t="s">
        <v>73</v>
      </c>
      <c r="G318" t="s">
        <v>28</v>
      </c>
      <c r="H318" s="1">
        <f>VLOOKUP(A318, [1]Orders!A:B, 2, FALSE)</f>
        <v>43132</v>
      </c>
      <c r="I318" t="str">
        <f>VLOOKUP(A318, [1]Orders!A:E, 3, FALSE)</f>
        <v>Anjali</v>
      </c>
      <c r="J318" t="str">
        <f>VLOOKUP(A318, [1]Orders!A:E, 4, FALSE)</f>
        <v>Delhi</v>
      </c>
      <c r="K318" t="str">
        <f>VLOOKUP(A318, [1]Orders!A:E, 5, FALSE)</f>
        <v>Delhi</v>
      </c>
    </row>
    <row r="319" spans="1:11" x14ac:dyDescent="0.5">
      <c r="A319" t="s">
        <v>212</v>
      </c>
      <c r="B319">
        <v>429</v>
      </c>
      <c r="C319">
        <v>61</v>
      </c>
      <c r="D319">
        <v>3</v>
      </c>
      <c r="E319" t="s">
        <v>8</v>
      </c>
      <c r="F319" t="s">
        <v>9</v>
      </c>
      <c r="G319" t="s">
        <v>19</v>
      </c>
      <c r="H319" s="1">
        <f>VLOOKUP(A319, [1]Orders!A:B, 2, FALSE)</f>
        <v>43145</v>
      </c>
      <c r="I319" t="str">
        <f>VLOOKUP(A319, [1]Orders!A:E, 3, FALSE)</f>
        <v>Hazel</v>
      </c>
      <c r="J319" t="str">
        <f>VLOOKUP(A319, [1]Orders!A:E, 4, FALSE)</f>
        <v>Karnataka</v>
      </c>
      <c r="K319" t="str">
        <f>VLOOKUP(A319, [1]Orders!A:E, 5, FALSE)</f>
        <v>Bangalore</v>
      </c>
    </row>
    <row r="320" spans="1:11" x14ac:dyDescent="0.5">
      <c r="A320" t="s">
        <v>256</v>
      </c>
      <c r="B320">
        <v>285</v>
      </c>
      <c r="C320">
        <v>128</v>
      </c>
      <c r="D320">
        <v>2</v>
      </c>
      <c r="E320" t="s">
        <v>8</v>
      </c>
      <c r="F320" t="s">
        <v>18</v>
      </c>
      <c r="G320" t="s">
        <v>10</v>
      </c>
      <c r="H320" s="1">
        <f>VLOOKUP(A320, [1]Orders!A:B, 2, FALSE)</f>
        <v>43141</v>
      </c>
      <c r="I320" t="str">
        <f>VLOOKUP(A320, [1]Orders!A:E, 3, FALSE)</f>
        <v>Komal</v>
      </c>
      <c r="J320" t="str">
        <f>VLOOKUP(A320, [1]Orders!A:E, 4, FALSE)</f>
        <v>Uttar Pradesh</v>
      </c>
      <c r="K320" t="str">
        <f>VLOOKUP(A320, [1]Orders!A:E, 5, FALSE)</f>
        <v>Lucknow</v>
      </c>
    </row>
    <row r="321" spans="1:11" x14ac:dyDescent="0.5">
      <c r="A321" t="s">
        <v>257</v>
      </c>
      <c r="B321">
        <v>277</v>
      </c>
      <c r="C321">
        <v>3</v>
      </c>
      <c r="D321">
        <v>1</v>
      </c>
      <c r="E321" t="s">
        <v>8</v>
      </c>
      <c r="F321" t="s">
        <v>9</v>
      </c>
      <c r="G321" t="s">
        <v>10</v>
      </c>
      <c r="H321" s="1">
        <f>VLOOKUP(A321, [1]Orders!A:B, 2, FALSE)</f>
        <v>43453</v>
      </c>
      <c r="I321" t="str">
        <f>VLOOKUP(A321, [1]Orders!A:E, 3, FALSE)</f>
        <v>Sukruta</v>
      </c>
      <c r="J321" t="str">
        <f>VLOOKUP(A321, [1]Orders!A:E, 4, FALSE)</f>
        <v>Punjab</v>
      </c>
      <c r="K321" t="str">
        <f>VLOOKUP(A321, [1]Orders!A:E, 5, FALSE)</f>
        <v>Amritsar</v>
      </c>
    </row>
    <row r="322" spans="1:11" x14ac:dyDescent="0.5">
      <c r="A322" t="s">
        <v>48</v>
      </c>
      <c r="B322">
        <v>274</v>
      </c>
      <c r="C322">
        <v>-7</v>
      </c>
      <c r="D322">
        <v>4</v>
      </c>
      <c r="E322" t="s">
        <v>8</v>
      </c>
      <c r="F322" t="s">
        <v>21</v>
      </c>
      <c r="G322" t="s">
        <v>10</v>
      </c>
      <c r="H322" s="1">
        <f>VLOOKUP(A322, [1]Orders!A:B, 2, FALSE)</f>
        <v>43407</v>
      </c>
      <c r="I322" t="str">
        <f>VLOOKUP(A322, [1]Orders!A:E, 3, FALSE)</f>
        <v>Snel</v>
      </c>
      <c r="J322" t="str">
        <f>VLOOKUP(A322, [1]Orders!A:E, 4, FALSE)</f>
        <v xml:space="preserve">Kerala </v>
      </c>
      <c r="K322" t="str">
        <f>VLOOKUP(A322, [1]Orders!A:E, 5, FALSE)</f>
        <v>Thiruvananthapuram</v>
      </c>
    </row>
    <row r="323" spans="1:11" x14ac:dyDescent="0.5">
      <c r="A323" t="s">
        <v>258</v>
      </c>
      <c r="B323">
        <v>273</v>
      </c>
      <c r="C323">
        <v>-87</v>
      </c>
      <c r="D323">
        <v>4</v>
      </c>
      <c r="E323" t="s">
        <v>8</v>
      </c>
      <c r="F323" t="s">
        <v>21</v>
      </c>
      <c r="G323" t="s">
        <v>10</v>
      </c>
      <c r="H323" s="1">
        <f>VLOOKUP(A323, [1]Orders!A:B, 2, FALSE)</f>
        <v>43221</v>
      </c>
      <c r="I323" t="str">
        <f>VLOOKUP(A323, [1]Orders!A:E, 3, FALSE)</f>
        <v>Yaanvi</v>
      </c>
      <c r="J323" t="str">
        <f>VLOOKUP(A323, [1]Orders!A:E, 4, FALSE)</f>
        <v>Madhya Pradesh</v>
      </c>
      <c r="K323" t="str">
        <f>VLOOKUP(A323, [1]Orders!A:E, 5, FALSE)</f>
        <v>Indore</v>
      </c>
    </row>
    <row r="324" spans="1:11" x14ac:dyDescent="0.5">
      <c r="A324" t="s">
        <v>172</v>
      </c>
      <c r="B324">
        <v>269</v>
      </c>
      <c r="C324">
        <v>91</v>
      </c>
      <c r="D324">
        <v>1</v>
      </c>
      <c r="E324" t="s">
        <v>8</v>
      </c>
      <c r="F324" t="s">
        <v>9</v>
      </c>
      <c r="G324" t="s">
        <v>10</v>
      </c>
      <c r="H324" s="1">
        <f>VLOOKUP(A324, [1]Orders!A:B, 2, FALSE)</f>
        <v>43378</v>
      </c>
      <c r="I324" t="str">
        <f>VLOOKUP(A324, [1]Orders!A:E, 3, FALSE)</f>
        <v>Shivanshu</v>
      </c>
      <c r="J324" t="str">
        <f>VLOOKUP(A324, [1]Orders!A:E, 4, FALSE)</f>
        <v>Madhya Pradesh</v>
      </c>
      <c r="K324" t="str">
        <f>VLOOKUP(A324, [1]Orders!A:E, 5, FALSE)</f>
        <v>Indore</v>
      </c>
    </row>
    <row r="325" spans="1:11" x14ac:dyDescent="0.5">
      <c r="A325" t="s">
        <v>254</v>
      </c>
      <c r="B325">
        <v>11</v>
      </c>
      <c r="C325">
        <v>5</v>
      </c>
      <c r="D325">
        <v>1</v>
      </c>
      <c r="E325" t="s">
        <v>23</v>
      </c>
      <c r="F325" t="s">
        <v>43</v>
      </c>
      <c r="G325" t="s">
        <v>10</v>
      </c>
      <c r="H325" s="1">
        <f>VLOOKUP(A325, [1]Orders!A:B, 2, FALSE)</f>
        <v>43152</v>
      </c>
      <c r="I325" t="str">
        <f>VLOOKUP(A325, [1]Orders!A:E, 3, FALSE)</f>
        <v>Sarita</v>
      </c>
      <c r="J325" t="str">
        <f>VLOOKUP(A325, [1]Orders!A:E, 4, FALSE)</f>
        <v>Maharashtra</v>
      </c>
      <c r="K325" t="str">
        <f>VLOOKUP(A325, [1]Orders!A:E, 5, FALSE)</f>
        <v>Pune</v>
      </c>
    </row>
    <row r="326" spans="1:11" x14ac:dyDescent="0.5">
      <c r="A326" t="s">
        <v>15</v>
      </c>
      <c r="B326">
        <v>39</v>
      </c>
      <c r="C326">
        <v>2</v>
      </c>
      <c r="D326">
        <v>2</v>
      </c>
      <c r="E326" t="s">
        <v>23</v>
      </c>
      <c r="F326" t="s">
        <v>26</v>
      </c>
      <c r="G326" t="s">
        <v>82</v>
      </c>
      <c r="H326" s="1">
        <f>VLOOKUP(A326, [1]Orders!A:B, 2, FALSE)</f>
        <v>43116</v>
      </c>
      <c r="I326" t="str">
        <f>VLOOKUP(A326, [1]Orders!A:E, 3, FALSE)</f>
        <v>Shiva</v>
      </c>
      <c r="J326" t="str">
        <f>VLOOKUP(A326, [1]Orders!A:E, 4, FALSE)</f>
        <v>Maharashtra</v>
      </c>
      <c r="K326" t="str">
        <f>VLOOKUP(A326, [1]Orders!A:E, 5, FALSE)</f>
        <v>Pune</v>
      </c>
    </row>
    <row r="327" spans="1:11" x14ac:dyDescent="0.5">
      <c r="A327" t="s">
        <v>243</v>
      </c>
      <c r="B327">
        <v>264</v>
      </c>
      <c r="C327">
        <v>-26</v>
      </c>
      <c r="D327">
        <v>3</v>
      </c>
      <c r="E327" t="s">
        <v>23</v>
      </c>
      <c r="F327" t="s">
        <v>24</v>
      </c>
      <c r="G327" t="s">
        <v>10</v>
      </c>
      <c r="H327" s="1">
        <f>VLOOKUP(A327, [1]Orders!A:B, 2, FALSE)</f>
        <v>43187</v>
      </c>
      <c r="I327" t="str">
        <f>VLOOKUP(A327, [1]Orders!A:E, 3, FALSE)</f>
        <v>Atharv</v>
      </c>
      <c r="J327" t="str">
        <f>VLOOKUP(A327, [1]Orders!A:E, 4, FALSE)</f>
        <v>West Bengal</v>
      </c>
      <c r="K327" t="str">
        <f>VLOOKUP(A327, [1]Orders!A:E, 5, FALSE)</f>
        <v>Kolkata</v>
      </c>
    </row>
    <row r="328" spans="1:11" x14ac:dyDescent="0.5">
      <c r="A328" t="s">
        <v>259</v>
      </c>
      <c r="B328">
        <v>40</v>
      </c>
      <c r="C328">
        <v>16</v>
      </c>
      <c r="D328">
        <v>3</v>
      </c>
      <c r="E328" t="s">
        <v>23</v>
      </c>
      <c r="F328" t="s">
        <v>30</v>
      </c>
      <c r="G328" t="s">
        <v>82</v>
      </c>
      <c r="H328" s="1">
        <f>VLOOKUP(A328, [1]Orders!A:B, 2, FALSE)</f>
        <v>43216</v>
      </c>
      <c r="I328" t="str">
        <f>VLOOKUP(A328, [1]Orders!A:E, 3, FALSE)</f>
        <v>Nidhi</v>
      </c>
      <c r="J328" t="str">
        <f>VLOOKUP(A328, [1]Orders!A:E, 4, FALSE)</f>
        <v>Nagaland</v>
      </c>
      <c r="K328" t="str">
        <f>VLOOKUP(A328, [1]Orders!A:E, 5, FALSE)</f>
        <v>Kohima</v>
      </c>
    </row>
    <row r="329" spans="1:11" x14ac:dyDescent="0.5">
      <c r="A329" t="s">
        <v>260</v>
      </c>
      <c r="B329">
        <v>41</v>
      </c>
      <c r="C329">
        <v>19</v>
      </c>
      <c r="D329">
        <v>2</v>
      </c>
      <c r="E329" t="s">
        <v>23</v>
      </c>
      <c r="F329" t="s">
        <v>81</v>
      </c>
      <c r="G329" t="s">
        <v>82</v>
      </c>
      <c r="H329" s="1">
        <f>VLOOKUP(A329, [1]Orders!A:B, 2, FALSE)</f>
        <v>43155</v>
      </c>
      <c r="I329" t="str">
        <f>VLOOKUP(A329, [1]Orders!A:E, 3, FALSE)</f>
        <v>Pooja</v>
      </c>
      <c r="J329" t="str">
        <f>VLOOKUP(A329, [1]Orders!A:E, 4, FALSE)</f>
        <v>Bihar</v>
      </c>
      <c r="K329" t="str">
        <f>VLOOKUP(A329, [1]Orders!A:E, 5, FALSE)</f>
        <v>Patna</v>
      </c>
    </row>
    <row r="330" spans="1:11" x14ac:dyDescent="0.5">
      <c r="A330" t="s">
        <v>222</v>
      </c>
      <c r="B330">
        <v>253</v>
      </c>
      <c r="C330">
        <v>-63</v>
      </c>
      <c r="D330">
        <v>2</v>
      </c>
      <c r="E330" t="s">
        <v>23</v>
      </c>
      <c r="F330" t="s">
        <v>26</v>
      </c>
      <c r="G330" t="s">
        <v>28</v>
      </c>
      <c r="H330" s="1">
        <f>VLOOKUP(A330, [1]Orders!A:B, 2, FALSE)</f>
        <v>43367</v>
      </c>
      <c r="I330" t="str">
        <f>VLOOKUP(A330, [1]Orders!A:E, 3, FALSE)</f>
        <v>Avish</v>
      </c>
      <c r="J330" t="str">
        <f>VLOOKUP(A330, [1]Orders!A:E, 4, FALSE)</f>
        <v xml:space="preserve">Kerala </v>
      </c>
      <c r="K330" t="str">
        <f>VLOOKUP(A330, [1]Orders!A:E, 5, FALSE)</f>
        <v>Thiruvananthapuram</v>
      </c>
    </row>
    <row r="331" spans="1:11" x14ac:dyDescent="0.5">
      <c r="A331" t="s">
        <v>261</v>
      </c>
      <c r="B331">
        <v>406</v>
      </c>
      <c r="C331">
        <v>97</v>
      </c>
      <c r="D331">
        <v>7</v>
      </c>
      <c r="E331" t="s">
        <v>12</v>
      </c>
      <c r="F331" t="s">
        <v>13</v>
      </c>
      <c r="G331" t="s">
        <v>19</v>
      </c>
      <c r="H331" s="1">
        <f>VLOOKUP(A331, [1]Orders!A:B, 2, FALSE)</f>
        <v>43144</v>
      </c>
      <c r="I331" t="str">
        <f>VLOOKUP(A331, [1]Orders!A:E, 3, FALSE)</f>
        <v>Divsha</v>
      </c>
      <c r="J331" t="str">
        <f>VLOOKUP(A331, [1]Orders!A:E, 4, FALSE)</f>
        <v>Rajasthan</v>
      </c>
      <c r="K331" t="str">
        <f>VLOOKUP(A331, [1]Orders!A:E, 5, FALSE)</f>
        <v>Jaipur</v>
      </c>
    </row>
    <row r="332" spans="1:11" x14ac:dyDescent="0.5">
      <c r="A332" t="s">
        <v>262</v>
      </c>
      <c r="B332">
        <v>32</v>
      </c>
      <c r="C332">
        <v>7</v>
      </c>
      <c r="D332">
        <v>3</v>
      </c>
      <c r="E332" t="s">
        <v>23</v>
      </c>
      <c r="F332" t="s">
        <v>30</v>
      </c>
      <c r="G332" t="s">
        <v>10</v>
      </c>
      <c r="H332" s="1">
        <f>VLOOKUP(A332, [1]Orders!A:B, 2, FALSE)</f>
        <v>43326</v>
      </c>
      <c r="I332" t="str">
        <f>VLOOKUP(A332, [1]Orders!A:E, 3, FALSE)</f>
        <v>Nishant</v>
      </c>
      <c r="J332" t="str">
        <f>VLOOKUP(A332, [1]Orders!A:E, 4, FALSE)</f>
        <v>Maharashtra</v>
      </c>
      <c r="K332" t="str">
        <f>VLOOKUP(A332, [1]Orders!A:E, 5, FALSE)</f>
        <v>Mumbai</v>
      </c>
    </row>
    <row r="333" spans="1:11" x14ac:dyDescent="0.5">
      <c r="A333" t="s">
        <v>177</v>
      </c>
      <c r="B333">
        <v>260</v>
      </c>
      <c r="C333">
        <v>68</v>
      </c>
      <c r="D333">
        <v>2</v>
      </c>
      <c r="E333" t="s">
        <v>8</v>
      </c>
      <c r="F333" t="s">
        <v>18</v>
      </c>
      <c r="G333" t="s">
        <v>10</v>
      </c>
      <c r="H333" s="1">
        <f>VLOOKUP(A333, [1]Orders!A:B, 2, FALSE)</f>
        <v>43119</v>
      </c>
      <c r="I333" t="str">
        <f>VLOOKUP(A333, [1]Orders!A:E, 3, FALSE)</f>
        <v>Tejeswini</v>
      </c>
      <c r="J333" t="str">
        <f>VLOOKUP(A333, [1]Orders!A:E, 4, FALSE)</f>
        <v>Maharashtra</v>
      </c>
      <c r="K333" t="str">
        <f>VLOOKUP(A333, [1]Orders!A:E, 5, FALSE)</f>
        <v>Pune</v>
      </c>
    </row>
    <row r="334" spans="1:11" x14ac:dyDescent="0.5">
      <c r="A334" t="s">
        <v>263</v>
      </c>
      <c r="B334">
        <v>41</v>
      </c>
      <c r="C334">
        <v>19</v>
      </c>
      <c r="D334">
        <v>5</v>
      </c>
      <c r="E334" t="s">
        <v>23</v>
      </c>
      <c r="F334" t="s">
        <v>30</v>
      </c>
      <c r="G334" t="s">
        <v>82</v>
      </c>
      <c r="H334" s="1">
        <f>VLOOKUP(A334, [1]Orders!A:B, 2, FALSE)</f>
        <v>43150</v>
      </c>
      <c r="I334" t="str">
        <f>VLOOKUP(A334, [1]Orders!A:E, 3, FALSE)</f>
        <v>Bhavna</v>
      </c>
      <c r="J334" t="str">
        <f>VLOOKUP(A334, [1]Orders!A:E, 4, FALSE)</f>
        <v>Sikkim</v>
      </c>
      <c r="K334" t="str">
        <f>VLOOKUP(A334, [1]Orders!A:E, 5, FALSE)</f>
        <v>Gangtok</v>
      </c>
    </row>
    <row r="335" spans="1:11" x14ac:dyDescent="0.5">
      <c r="A335" t="s">
        <v>55</v>
      </c>
      <c r="B335">
        <v>401</v>
      </c>
      <c r="C335">
        <v>13</v>
      </c>
      <c r="D335">
        <v>6</v>
      </c>
      <c r="E335" t="s">
        <v>12</v>
      </c>
      <c r="F335" t="s">
        <v>13</v>
      </c>
      <c r="G335" t="s">
        <v>19</v>
      </c>
      <c r="H335" s="1">
        <f>VLOOKUP(A335, [1]Orders!A:B, 2, FALSE)</f>
        <v>43163</v>
      </c>
      <c r="I335" t="str">
        <f>VLOOKUP(A335, [1]Orders!A:E, 3, FALSE)</f>
        <v>Parth</v>
      </c>
      <c r="J335" t="str">
        <f>VLOOKUP(A335, [1]Orders!A:E, 4, FALSE)</f>
        <v>Maharashtra</v>
      </c>
      <c r="K335" t="str">
        <f>VLOOKUP(A335, [1]Orders!A:E, 5, FALSE)</f>
        <v>Pune</v>
      </c>
    </row>
    <row r="336" spans="1:11" x14ac:dyDescent="0.5">
      <c r="A336" t="s">
        <v>259</v>
      </c>
      <c r="B336">
        <v>382</v>
      </c>
      <c r="C336">
        <v>30</v>
      </c>
      <c r="D336">
        <v>3</v>
      </c>
      <c r="E336" t="s">
        <v>23</v>
      </c>
      <c r="F336" t="s">
        <v>26</v>
      </c>
      <c r="G336" t="s">
        <v>19</v>
      </c>
      <c r="H336" s="1">
        <f>VLOOKUP(A336, [1]Orders!A:B, 2, FALSE)</f>
        <v>43216</v>
      </c>
      <c r="I336" t="str">
        <f>VLOOKUP(A336, [1]Orders!A:E, 3, FALSE)</f>
        <v>Nidhi</v>
      </c>
      <c r="J336" t="str">
        <f>VLOOKUP(A336, [1]Orders!A:E, 4, FALSE)</f>
        <v>Nagaland</v>
      </c>
      <c r="K336" t="str">
        <f>VLOOKUP(A336, [1]Orders!A:E, 5, FALSE)</f>
        <v>Kohima</v>
      </c>
    </row>
    <row r="337" spans="1:11" x14ac:dyDescent="0.5">
      <c r="A337" t="s">
        <v>264</v>
      </c>
      <c r="B337">
        <v>867</v>
      </c>
      <c r="C337">
        <v>251</v>
      </c>
      <c r="D337">
        <v>5</v>
      </c>
      <c r="E337" t="s">
        <v>8</v>
      </c>
      <c r="F337" t="s">
        <v>21</v>
      </c>
      <c r="G337" t="s">
        <v>10</v>
      </c>
      <c r="H337" s="1">
        <f>VLOOKUP(A337, [1]Orders!A:B, 2, FALSE)</f>
        <v>43128</v>
      </c>
      <c r="I337" t="str">
        <f>VLOOKUP(A337, [1]Orders!A:E, 3, FALSE)</f>
        <v>Amruta</v>
      </c>
      <c r="J337" t="str">
        <f>VLOOKUP(A337, [1]Orders!A:E, 4, FALSE)</f>
        <v>Delhi</v>
      </c>
      <c r="K337" t="str">
        <f>VLOOKUP(A337, [1]Orders!A:E, 5, FALSE)</f>
        <v>Delhi</v>
      </c>
    </row>
    <row r="338" spans="1:11" x14ac:dyDescent="0.5">
      <c r="A338" t="s">
        <v>265</v>
      </c>
      <c r="B338">
        <v>43</v>
      </c>
      <c r="C338">
        <v>0</v>
      </c>
      <c r="D338">
        <v>3</v>
      </c>
      <c r="E338" t="s">
        <v>23</v>
      </c>
      <c r="F338" t="s">
        <v>26</v>
      </c>
      <c r="G338" t="s">
        <v>82</v>
      </c>
      <c r="H338" s="1">
        <f>VLOOKUP(A338, [1]Orders!A:B, 2, FALSE)</f>
        <v>43199</v>
      </c>
      <c r="I338" t="str">
        <f>VLOOKUP(A338, [1]Orders!A:E, 3, FALSE)</f>
        <v>Yogesh</v>
      </c>
      <c r="J338" t="str">
        <f>VLOOKUP(A338, [1]Orders!A:E, 4, FALSE)</f>
        <v>Bihar</v>
      </c>
      <c r="K338" t="str">
        <f>VLOOKUP(A338, [1]Orders!A:E, 5, FALSE)</f>
        <v>Patna</v>
      </c>
    </row>
    <row r="339" spans="1:11" x14ac:dyDescent="0.5">
      <c r="A339" t="s">
        <v>266</v>
      </c>
      <c r="B339">
        <v>43</v>
      </c>
      <c r="C339">
        <v>-43</v>
      </c>
      <c r="D339">
        <v>7</v>
      </c>
      <c r="E339" t="s">
        <v>23</v>
      </c>
      <c r="F339" t="s">
        <v>57</v>
      </c>
      <c r="G339" t="s">
        <v>82</v>
      </c>
      <c r="H339" s="1">
        <f>VLOOKUP(A339, [1]Orders!A:B, 2, FALSE)</f>
        <v>43309</v>
      </c>
      <c r="I339" t="str">
        <f>VLOOKUP(A339, [1]Orders!A:E, 3, FALSE)</f>
        <v>Dhirajendu</v>
      </c>
      <c r="J339" t="str">
        <f>VLOOKUP(A339, [1]Orders!A:E, 4, FALSE)</f>
        <v>Maharashtra</v>
      </c>
      <c r="K339" t="str">
        <f>VLOOKUP(A339, [1]Orders!A:E, 5, FALSE)</f>
        <v>Mumbai</v>
      </c>
    </row>
    <row r="340" spans="1:11" x14ac:dyDescent="0.5">
      <c r="A340" t="s">
        <v>217</v>
      </c>
      <c r="B340">
        <v>74</v>
      </c>
      <c r="C340">
        <v>29</v>
      </c>
      <c r="D340">
        <v>3</v>
      </c>
      <c r="E340" t="s">
        <v>23</v>
      </c>
      <c r="F340" t="s">
        <v>57</v>
      </c>
      <c r="G340" t="s">
        <v>10</v>
      </c>
      <c r="H340" s="1">
        <f>VLOOKUP(A340, [1]Orders!A:B, 2, FALSE)</f>
        <v>43127</v>
      </c>
      <c r="I340" t="str">
        <f>VLOOKUP(A340, [1]Orders!A:E, 3, FALSE)</f>
        <v>Aayushi</v>
      </c>
      <c r="J340" t="str">
        <f>VLOOKUP(A340, [1]Orders!A:E, 4, FALSE)</f>
        <v>Gujarat</v>
      </c>
      <c r="K340" t="str">
        <f>VLOOKUP(A340, [1]Orders!A:E, 5, FALSE)</f>
        <v>Surat</v>
      </c>
    </row>
    <row r="341" spans="1:11" x14ac:dyDescent="0.5">
      <c r="A341" t="s">
        <v>38</v>
      </c>
      <c r="B341">
        <v>44</v>
      </c>
      <c r="C341">
        <v>-26</v>
      </c>
      <c r="D341">
        <v>3</v>
      </c>
      <c r="E341" t="s">
        <v>23</v>
      </c>
      <c r="F341" t="s">
        <v>30</v>
      </c>
      <c r="G341" t="s">
        <v>82</v>
      </c>
      <c r="H341" s="1">
        <f>VLOOKUP(A341, [1]Orders!A:B, 2, FALSE)</f>
        <v>43231</v>
      </c>
      <c r="I341" t="str">
        <f>VLOOKUP(A341, [1]Orders!A:E, 3, FALSE)</f>
        <v>Nida</v>
      </c>
      <c r="J341" t="str">
        <f>VLOOKUP(A341, [1]Orders!A:E, 4, FALSE)</f>
        <v>Madhya Pradesh</v>
      </c>
      <c r="K341" t="str">
        <f>VLOOKUP(A341, [1]Orders!A:E, 5, FALSE)</f>
        <v>Indore</v>
      </c>
    </row>
    <row r="342" spans="1:11" x14ac:dyDescent="0.5">
      <c r="A342" t="s">
        <v>267</v>
      </c>
      <c r="B342">
        <v>259</v>
      </c>
      <c r="C342">
        <v>-55</v>
      </c>
      <c r="D342">
        <v>2</v>
      </c>
      <c r="E342" t="s">
        <v>12</v>
      </c>
      <c r="F342" t="s">
        <v>13</v>
      </c>
      <c r="G342" t="s">
        <v>10</v>
      </c>
      <c r="H342" s="1">
        <f>VLOOKUP(A342, [1]Orders!A:B, 2, FALSE)</f>
        <v>43202</v>
      </c>
      <c r="I342" t="str">
        <f>VLOOKUP(A342, [1]Orders!A:E, 3, FALSE)</f>
        <v>Shrichand</v>
      </c>
      <c r="J342" t="str">
        <f>VLOOKUP(A342, [1]Orders!A:E, 4, FALSE)</f>
        <v>Punjab</v>
      </c>
      <c r="K342" t="str">
        <f>VLOOKUP(A342, [1]Orders!A:E, 5, FALSE)</f>
        <v>Chandigarh</v>
      </c>
    </row>
    <row r="343" spans="1:11" x14ac:dyDescent="0.5">
      <c r="A343" t="s">
        <v>87</v>
      </c>
      <c r="B343">
        <v>257</v>
      </c>
      <c r="C343">
        <v>23</v>
      </c>
      <c r="D343">
        <v>5</v>
      </c>
      <c r="E343" t="s">
        <v>23</v>
      </c>
      <c r="F343" t="s">
        <v>30</v>
      </c>
      <c r="G343" t="s">
        <v>10</v>
      </c>
      <c r="H343" s="1">
        <f>VLOOKUP(A343, [1]Orders!A:B, 2, FALSE)</f>
        <v>43198</v>
      </c>
      <c r="I343" t="str">
        <f>VLOOKUP(A343, [1]Orders!A:E, 3, FALSE)</f>
        <v>Aarushi</v>
      </c>
      <c r="J343" t="str">
        <f>VLOOKUP(A343, [1]Orders!A:E, 4, FALSE)</f>
        <v>Tamil Nadu</v>
      </c>
      <c r="K343" t="str">
        <f>VLOOKUP(A343, [1]Orders!A:E, 5, FALSE)</f>
        <v>Chennai</v>
      </c>
    </row>
    <row r="344" spans="1:11" x14ac:dyDescent="0.5">
      <c r="A344" t="s">
        <v>127</v>
      </c>
      <c r="B344">
        <v>76</v>
      </c>
      <c r="C344">
        <v>27</v>
      </c>
      <c r="D344">
        <v>5</v>
      </c>
      <c r="E344" t="s">
        <v>23</v>
      </c>
      <c r="F344" t="s">
        <v>57</v>
      </c>
      <c r="G344" t="s">
        <v>10</v>
      </c>
      <c r="H344" s="1">
        <f>VLOOKUP(A344, [1]Orders!A:B, 2, FALSE)</f>
        <v>43326</v>
      </c>
      <c r="I344" t="str">
        <f>VLOOKUP(A344, [1]Orders!A:E, 3, FALSE)</f>
        <v>Vaibhav</v>
      </c>
      <c r="J344" t="str">
        <f>VLOOKUP(A344, [1]Orders!A:E, 4, FALSE)</f>
        <v>Madhya Pradesh</v>
      </c>
      <c r="K344" t="str">
        <f>VLOOKUP(A344, [1]Orders!A:E, 5, FALSE)</f>
        <v>Indore</v>
      </c>
    </row>
    <row r="345" spans="1:11" x14ac:dyDescent="0.5">
      <c r="A345" t="s">
        <v>268</v>
      </c>
      <c r="B345">
        <v>44</v>
      </c>
      <c r="C345">
        <v>-32</v>
      </c>
      <c r="D345">
        <v>3</v>
      </c>
      <c r="E345" t="s">
        <v>23</v>
      </c>
      <c r="F345" t="s">
        <v>57</v>
      </c>
      <c r="G345" t="s">
        <v>82</v>
      </c>
      <c r="H345" s="1">
        <f>VLOOKUP(A345, [1]Orders!A:B, 2, FALSE)</f>
        <v>43276</v>
      </c>
      <c r="I345" t="str">
        <f>VLOOKUP(A345, [1]Orders!A:E, 3, FALSE)</f>
        <v>Shubhi</v>
      </c>
      <c r="J345" t="str">
        <f>VLOOKUP(A345, [1]Orders!A:E, 4, FALSE)</f>
        <v>Maharashtra</v>
      </c>
      <c r="K345" t="str">
        <f>VLOOKUP(A345, [1]Orders!A:E, 5, FALSE)</f>
        <v>Mumbai</v>
      </c>
    </row>
    <row r="346" spans="1:11" x14ac:dyDescent="0.5">
      <c r="A346" t="s">
        <v>269</v>
      </c>
      <c r="B346">
        <v>257</v>
      </c>
      <c r="C346">
        <v>3</v>
      </c>
      <c r="D346">
        <v>2</v>
      </c>
      <c r="E346" t="s">
        <v>23</v>
      </c>
      <c r="F346" t="s">
        <v>26</v>
      </c>
      <c r="G346" t="s">
        <v>10</v>
      </c>
      <c r="H346" s="1">
        <f>VLOOKUP(A346, [1]Orders!A:B, 2, FALSE)</f>
        <v>43414</v>
      </c>
      <c r="I346" t="str">
        <f>VLOOKUP(A346, [1]Orders!A:E, 3, FALSE)</f>
        <v>Abhijeet</v>
      </c>
      <c r="J346" t="str">
        <f>VLOOKUP(A346, [1]Orders!A:E, 4, FALSE)</f>
        <v>Maharashtra</v>
      </c>
      <c r="K346" t="str">
        <f>VLOOKUP(A346, [1]Orders!A:E, 5, FALSE)</f>
        <v>Mumbai</v>
      </c>
    </row>
    <row r="347" spans="1:11" x14ac:dyDescent="0.5">
      <c r="A347" t="s">
        <v>270</v>
      </c>
      <c r="B347">
        <v>255</v>
      </c>
      <c r="C347">
        <v>76</v>
      </c>
      <c r="D347">
        <v>9</v>
      </c>
      <c r="E347" t="s">
        <v>23</v>
      </c>
      <c r="F347" t="s">
        <v>30</v>
      </c>
      <c r="G347" t="s">
        <v>10</v>
      </c>
      <c r="H347" s="1">
        <f>VLOOKUP(A347, [1]Orders!A:B, 2, FALSE)</f>
        <v>43150</v>
      </c>
      <c r="I347" t="str">
        <f>VLOOKUP(A347, [1]Orders!A:E, 3, FALSE)</f>
        <v>Kanak</v>
      </c>
      <c r="J347" t="str">
        <f>VLOOKUP(A347, [1]Orders!A:E, 4, FALSE)</f>
        <v>Goa</v>
      </c>
      <c r="K347" t="str">
        <f>VLOOKUP(A347, [1]Orders!A:E, 5, FALSE)</f>
        <v>Goa</v>
      </c>
    </row>
    <row r="348" spans="1:11" x14ac:dyDescent="0.5">
      <c r="A348" t="s">
        <v>271</v>
      </c>
      <c r="B348">
        <v>44</v>
      </c>
      <c r="C348">
        <v>14</v>
      </c>
      <c r="D348">
        <v>3</v>
      </c>
      <c r="E348" t="s">
        <v>23</v>
      </c>
      <c r="F348" t="s">
        <v>30</v>
      </c>
      <c r="G348" t="s">
        <v>82</v>
      </c>
      <c r="H348" s="1">
        <f>VLOOKUP(A348, [1]Orders!A:B, 2, FALSE)</f>
        <v>43419</v>
      </c>
      <c r="I348" t="str">
        <f>VLOOKUP(A348, [1]Orders!A:E, 3, FALSE)</f>
        <v>Aayush</v>
      </c>
      <c r="J348" t="str">
        <f>VLOOKUP(A348, [1]Orders!A:E, 4, FALSE)</f>
        <v>Uttar Pradesh</v>
      </c>
      <c r="K348" t="str">
        <f>VLOOKUP(A348, [1]Orders!A:E, 5, FALSE)</f>
        <v>Lucknow</v>
      </c>
    </row>
    <row r="349" spans="1:11" x14ac:dyDescent="0.5">
      <c r="A349" t="s">
        <v>221</v>
      </c>
      <c r="B349">
        <v>45</v>
      </c>
      <c r="C349">
        <v>-2</v>
      </c>
      <c r="D349">
        <v>4</v>
      </c>
      <c r="E349" t="s">
        <v>23</v>
      </c>
      <c r="F349" t="s">
        <v>142</v>
      </c>
      <c r="G349" t="s">
        <v>10</v>
      </c>
      <c r="H349" s="1">
        <f>VLOOKUP(A349, [1]Orders!A:B, 2, FALSE)</f>
        <v>43248</v>
      </c>
      <c r="I349" t="str">
        <f>VLOOKUP(A349, [1]Orders!A:E, 3, FALSE)</f>
        <v>Arsheen</v>
      </c>
      <c r="J349" t="str">
        <f>VLOOKUP(A349, [1]Orders!A:E, 4, FALSE)</f>
        <v>Gujarat</v>
      </c>
      <c r="K349" t="str">
        <f>VLOOKUP(A349, [1]Orders!A:E, 5, FALSE)</f>
        <v>Ahmedabad</v>
      </c>
    </row>
    <row r="350" spans="1:11" x14ac:dyDescent="0.5">
      <c r="A350" t="s">
        <v>7</v>
      </c>
      <c r="B350">
        <v>44</v>
      </c>
      <c r="C350">
        <v>-3</v>
      </c>
      <c r="D350">
        <v>1</v>
      </c>
      <c r="E350" t="s">
        <v>23</v>
      </c>
      <c r="F350" t="s">
        <v>26</v>
      </c>
      <c r="G350" t="s">
        <v>82</v>
      </c>
      <c r="H350" s="1">
        <f>VLOOKUP(A350, [1]Orders!A:B, 2, FALSE)</f>
        <v>43255</v>
      </c>
      <c r="I350" t="str">
        <f>VLOOKUP(A350, [1]Orders!A:E, 3, FALSE)</f>
        <v>Bhawna</v>
      </c>
      <c r="J350" t="str">
        <f>VLOOKUP(A350, [1]Orders!A:E, 4, FALSE)</f>
        <v>Madhya Pradesh</v>
      </c>
      <c r="K350" t="str">
        <f>VLOOKUP(A350, [1]Orders!A:E, 5, FALSE)</f>
        <v>Indore</v>
      </c>
    </row>
    <row r="351" spans="1:11" x14ac:dyDescent="0.5">
      <c r="A351" t="s">
        <v>88</v>
      </c>
      <c r="B351">
        <v>382</v>
      </c>
      <c r="C351">
        <v>119</v>
      </c>
      <c r="D351">
        <v>2</v>
      </c>
      <c r="E351" t="s">
        <v>23</v>
      </c>
      <c r="F351" t="s">
        <v>26</v>
      </c>
      <c r="G351" t="s">
        <v>19</v>
      </c>
      <c r="H351" s="1">
        <f>VLOOKUP(A351, [1]Orders!A:B, 2, FALSE)</f>
        <v>43166</v>
      </c>
      <c r="I351" t="str">
        <f>VLOOKUP(A351, [1]Orders!A:E, 3, FALSE)</f>
        <v>Parishi</v>
      </c>
      <c r="J351" t="str">
        <f>VLOOKUP(A351, [1]Orders!A:E, 4, FALSE)</f>
        <v>West Bengal</v>
      </c>
      <c r="K351" t="str">
        <f>VLOOKUP(A351, [1]Orders!A:E, 5, FALSE)</f>
        <v>Kolkata</v>
      </c>
    </row>
    <row r="352" spans="1:11" x14ac:dyDescent="0.5">
      <c r="A352" t="s">
        <v>179</v>
      </c>
      <c r="B352">
        <v>250</v>
      </c>
      <c r="C352">
        <v>100</v>
      </c>
      <c r="D352">
        <v>3</v>
      </c>
      <c r="E352" t="s">
        <v>23</v>
      </c>
      <c r="F352" t="s">
        <v>24</v>
      </c>
      <c r="G352" t="s">
        <v>10</v>
      </c>
      <c r="H352" s="1">
        <f>VLOOKUP(A352, [1]Orders!A:B, 2, FALSE)</f>
        <v>43113</v>
      </c>
      <c r="I352" t="str">
        <f>VLOOKUP(A352, [1]Orders!A:E, 3, FALSE)</f>
        <v>Jesal</v>
      </c>
      <c r="J352" t="str">
        <f>VLOOKUP(A352, [1]Orders!A:E, 4, FALSE)</f>
        <v>West Bengal</v>
      </c>
      <c r="K352" t="str">
        <f>VLOOKUP(A352, [1]Orders!A:E, 5, FALSE)</f>
        <v>Kolkata</v>
      </c>
    </row>
    <row r="353" spans="1:11" x14ac:dyDescent="0.5">
      <c r="A353" t="s">
        <v>272</v>
      </c>
      <c r="B353">
        <v>45</v>
      </c>
      <c r="C353">
        <v>-15</v>
      </c>
      <c r="D353">
        <v>2</v>
      </c>
      <c r="E353" t="s">
        <v>12</v>
      </c>
      <c r="F353" t="s">
        <v>13</v>
      </c>
      <c r="G353" t="s">
        <v>10</v>
      </c>
      <c r="H353" s="1">
        <f>VLOOKUP(A353, [1]Orders!A:B, 2, FALSE)</f>
        <v>43374</v>
      </c>
      <c r="I353" t="str">
        <f>VLOOKUP(A353, [1]Orders!A:E, 3, FALSE)</f>
        <v>Divyansh</v>
      </c>
      <c r="J353" t="str">
        <f>VLOOKUP(A353, [1]Orders!A:E, 4, FALSE)</f>
        <v>Gujarat</v>
      </c>
      <c r="K353" t="str">
        <f>VLOOKUP(A353, [1]Orders!A:E, 5, FALSE)</f>
        <v>Ahmedabad</v>
      </c>
    </row>
    <row r="354" spans="1:11" x14ac:dyDescent="0.5">
      <c r="A354" t="s">
        <v>167</v>
      </c>
      <c r="B354">
        <v>246</v>
      </c>
      <c r="C354">
        <v>61</v>
      </c>
      <c r="D354">
        <v>2</v>
      </c>
      <c r="E354" t="s">
        <v>12</v>
      </c>
      <c r="F354" t="s">
        <v>16</v>
      </c>
      <c r="G354" t="s">
        <v>10</v>
      </c>
      <c r="H354" s="1">
        <f>VLOOKUP(A354, [1]Orders!A:B, 2, FALSE)</f>
        <v>43168</v>
      </c>
      <c r="I354" t="str">
        <f>VLOOKUP(A354, [1]Orders!A:E, 3, FALSE)</f>
        <v>Kirti</v>
      </c>
      <c r="J354" t="str">
        <f>VLOOKUP(A354, [1]Orders!A:E, 4, FALSE)</f>
        <v>Jammu and Kashmir</v>
      </c>
      <c r="K354" t="str">
        <f>VLOOKUP(A354, [1]Orders!A:E, 5, FALSE)</f>
        <v>Kashmir</v>
      </c>
    </row>
    <row r="355" spans="1:11" x14ac:dyDescent="0.5">
      <c r="A355" t="s">
        <v>254</v>
      </c>
      <c r="B355">
        <v>50</v>
      </c>
      <c r="C355">
        <v>25</v>
      </c>
      <c r="D355">
        <v>5</v>
      </c>
      <c r="E355" t="s">
        <v>23</v>
      </c>
      <c r="F355" t="s">
        <v>57</v>
      </c>
      <c r="G355" t="s">
        <v>10</v>
      </c>
      <c r="H355" s="1">
        <f>VLOOKUP(A355, [1]Orders!A:B, 2, FALSE)</f>
        <v>43152</v>
      </c>
      <c r="I355" t="str">
        <f>VLOOKUP(A355, [1]Orders!A:E, 3, FALSE)</f>
        <v>Sarita</v>
      </c>
      <c r="J355" t="str">
        <f>VLOOKUP(A355, [1]Orders!A:E, 4, FALSE)</f>
        <v>Maharashtra</v>
      </c>
      <c r="K355" t="str">
        <f>VLOOKUP(A355, [1]Orders!A:E, 5, FALSE)</f>
        <v>Pune</v>
      </c>
    </row>
    <row r="356" spans="1:11" x14ac:dyDescent="0.5">
      <c r="A356" t="s">
        <v>273</v>
      </c>
      <c r="B356">
        <v>246</v>
      </c>
      <c r="C356">
        <v>98</v>
      </c>
      <c r="D356">
        <v>5</v>
      </c>
      <c r="E356" t="s">
        <v>23</v>
      </c>
      <c r="F356" t="s">
        <v>30</v>
      </c>
      <c r="G356" t="s">
        <v>10</v>
      </c>
      <c r="H356" s="1">
        <f>VLOOKUP(A356, [1]Orders!A:B, 2, FALSE)</f>
        <v>43169</v>
      </c>
      <c r="I356" t="str">
        <f>VLOOKUP(A356, [1]Orders!A:E, 3, FALSE)</f>
        <v>Mayank</v>
      </c>
      <c r="J356" t="str">
        <f>VLOOKUP(A356, [1]Orders!A:E, 4, FALSE)</f>
        <v>Maharashtra</v>
      </c>
      <c r="K356" t="str">
        <f>VLOOKUP(A356, [1]Orders!A:E, 5, FALSE)</f>
        <v>Mumbai</v>
      </c>
    </row>
    <row r="357" spans="1:11" x14ac:dyDescent="0.5">
      <c r="A357" t="s">
        <v>25</v>
      </c>
      <c r="B357">
        <v>44</v>
      </c>
      <c r="C357">
        <v>99</v>
      </c>
      <c r="D357">
        <v>3</v>
      </c>
      <c r="E357" t="s">
        <v>23</v>
      </c>
      <c r="F357" t="s">
        <v>32</v>
      </c>
      <c r="G357" t="s">
        <v>82</v>
      </c>
      <c r="H357" s="1">
        <f>VLOOKUP(A357, [1]Orders!A:B, 2, FALSE)</f>
        <v>43272</v>
      </c>
      <c r="I357" t="str">
        <f>VLOOKUP(A357, [1]Orders!A:E, 3, FALSE)</f>
        <v>Noopur</v>
      </c>
      <c r="J357" t="str">
        <f>VLOOKUP(A357, [1]Orders!A:E, 4, FALSE)</f>
        <v>Karnataka</v>
      </c>
      <c r="K357" t="str">
        <f>VLOOKUP(A357, [1]Orders!A:E, 5, FALSE)</f>
        <v>Bangalore</v>
      </c>
    </row>
    <row r="358" spans="1:11" x14ac:dyDescent="0.5">
      <c r="A358" t="s">
        <v>274</v>
      </c>
      <c r="B358">
        <v>245</v>
      </c>
      <c r="C358">
        <v>-78</v>
      </c>
      <c r="D358">
        <v>3</v>
      </c>
      <c r="E358" t="s">
        <v>23</v>
      </c>
      <c r="F358" t="s">
        <v>26</v>
      </c>
      <c r="G358" t="s">
        <v>10</v>
      </c>
      <c r="H358" s="1">
        <f>VLOOKUP(A358, [1]Orders!A:B, 2, FALSE)</f>
        <v>43236</v>
      </c>
      <c r="I358" t="str">
        <f>VLOOKUP(A358, [1]Orders!A:E, 3, FALSE)</f>
        <v>Shruti</v>
      </c>
      <c r="J358" t="str">
        <f>VLOOKUP(A358, [1]Orders!A:E, 4, FALSE)</f>
        <v>Karnataka</v>
      </c>
      <c r="K358" t="str">
        <f>VLOOKUP(A358, [1]Orders!A:E, 5, FALSE)</f>
        <v>Bangalore</v>
      </c>
    </row>
    <row r="359" spans="1:11" x14ac:dyDescent="0.5">
      <c r="A359" t="s">
        <v>187</v>
      </c>
      <c r="B359">
        <v>245</v>
      </c>
      <c r="C359">
        <v>30</v>
      </c>
      <c r="D359">
        <v>2</v>
      </c>
      <c r="E359" t="s">
        <v>23</v>
      </c>
      <c r="F359" t="s">
        <v>26</v>
      </c>
      <c r="G359" t="s">
        <v>10</v>
      </c>
      <c r="H359" s="1">
        <f>VLOOKUP(A359, [1]Orders!A:B, 2, FALSE)</f>
        <v>43417</v>
      </c>
      <c r="I359" t="str">
        <f>VLOOKUP(A359, [1]Orders!A:E, 3, FALSE)</f>
        <v>Uudhav</v>
      </c>
      <c r="J359" t="str">
        <f>VLOOKUP(A359, [1]Orders!A:E, 4, FALSE)</f>
        <v>Maharashtra</v>
      </c>
      <c r="K359" t="str">
        <f>VLOOKUP(A359, [1]Orders!A:E, 5, FALSE)</f>
        <v>Mumbai</v>
      </c>
    </row>
    <row r="360" spans="1:11" x14ac:dyDescent="0.5">
      <c r="A360" t="s">
        <v>275</v>
      </c>
      <c r="B360">
        <v>376</v>
      </c>
      <c r="C360">
        <v>0</v>
      </c>
      <c r="D360">
        <v>7</v>
      </c>
      <c r="E360" t="s">
        <v>23</v>
      </c>
      <c r="F360" t="s">
        <v>57</v>
      </c>
      <c r="G360" t="s">
        <v>19</v>
      </c>
      <c r="H360" s="1">
        <f>VLOOKUP(A360, [1]Orders!A:B, 2, FALSE)</f>
        <v>43162</v>
      </c>
      <c r="I360" t="str">
        <f>VLOOKUP(A360, [1]Orders!A:E, 3, FALSE)</f>
        <v>Nidhi</v>
      </c>
      <c r="J360" t="str">
        <f>VLOOKUP(A360, [1]Orders!A:E, 4, FALSE)</f>
        <v>Nagaland</v>
      </c>
      <c r="K360" t="str">
        <f>VLOOKUP(A360, [1]Orders!A:E, 5, FALSE)</f>
        <v>Kohima</v>
      </c>
    </row>
    <row r="361" spans="1:11" x14ac:dyDescent="0.5">
      <c r="A361" t="s">
        <v>111</v>
      </c>
      <c r="B361">
        <v>45</v>
      </c>
      <c r="C361">
        <v>1</v>
      </c>
      <c r="D361">
        <v>3</v>
      </c>
      <c r="E361" t="s">
        <v>23</v>
      </c>
      <c r="F361" t="s">
        <v>81</v>
      </c>
      <c r="G361" t="s">
        <v>82</v>
      </c>
      <c r="H361" s="1">
        <f>VLOOKUP(A361, [1]Orders!A:B, 2, FALSE)</f>
        <v>43409</v>
      </c>
      <c r="I361" t="str">
        <f>VLOOKUP(A361, [1]Orders!A:E, 3, FALSE)</f>
        <v>Abhishek</v>
      </c>
      <c r="J361" t="str">
        <f>VLOOKUP(A361, [1]Orders!A:E, 4, FALSE)</f>
        <v>Goa</v>
      </c>
      <c r="K361" t="str">
        <f>VLOOKUP(A361, [1]Orders!A:E, 5, FALSE)</f>
        <v>Goa</v>
      </c>
    </row>
    <row r="362" spans="1:11" x14ac:dyDescent="0.5">
      <c r="A362" t="s">
        <v>276</v>
      </c>
      <c r="B362">
        <v>45</v>
      </c>
      <c r="C362">
        <v>-28</v>
      </c>
      <c r="D362">
        <v>2</v>
      </c>
      <c r="E362" t="s">
        <v>23</v>
      </c>
      <c r="F362" t="s">
        <v>57</v>
      </c>
      <c r="G362" t="s">
        <v>82</v>
      </c>
      <c r="H362" s="1">
        <f>VLOOKUP(A362, [1]Orders!A:B, 2, FALSE)</f>
        <v>43357</v>
      </c>
      <c r="I362" t="str">
        <f>VLOOKUP(A362, [1]Orders!A:E, 3, FALSE)</f>
        <v>Rutuja</v>
      </c>
      <c r="J362" t="str">
        <f>VLOOKUP(A362, [1]Orders!A:E, 4, FALSE)</f>
        <v>Gujarat</v>
      </c>
      <c r="K362" t="str">
        <f>VLOOKUP(A362, [1]Orders!A:E, 5, FALSE)</f>
        <v>Ahmedabad</v>
      </c>
    </row>
    <row r="363" spans="1:11" x14ac:dyDescent="0.5">
      <c r="A363" t="s">
        <v>277</v>
      </c>
      <c r="B363">
        <v>244</v>
      </c>
      <c r="C363">
        <v>-122</v>
      </c>
      <c r="D363">
        <v>5</v>
      </c>
      <c r="E363" t="s">
        <v>12</v>
      </c>
      <c r="F363" t="s">
        <v>131</v>
      </c>
      <c r="G363" t="s">
        <v>10</v>
      </c>
      <c r="H363" s="1">
        <f>VLOOKUP(A363, [1]Orders!A:B, 2, FALSE)</f>
        <v>43456</v>
      </c>
      <c r="I363" t="str">
        <f>VLOOKUP(A363, [1]Orders!A:E, 3, FALSE)</f>
        <v>Karandeep</v>
      </c>
      <c r="J363" t="str">
        <f>VLOOKUP(A363, [1]Orders!A:E, 4, FALSE)</f>
        <v>Madhya Pradesh</v>
      </c>
      <c r="K363" t="str">
        <f>VLOOKUP(A363, [1]Orders!A:E, 5, FALSE)</f>
        <v>Indore</v>
      </c>
    </row>
    <row r="364" spans="1:11" x14ac:dyDescent="0.5">
      <c r="A364" t="s">
        <v>278</v>
      </c>
      <c r="B364">
        <v>244</v>
      </c>
      <c r="C364">
        <v>83</v>
      </c>
      <c r="D364">
        <v>2</v>
      </c>
      <c r="E364" t="s">
        <v>12</v>
      </c>
      <c r="F364" t="s">
        <v>16</v>
      </c>
      <c r="G364" t="s">
        <v>10</v>
      </c>
      <c r="H364" s="1">
        <f>VLOOKUP(A364, [1]Orders!A:B, 2, FALSE)</f>
        <v>43122</v>
      </c>
      <c r="I364" t="str">
        <f>VLOOKUP(A364, [1]Orders!A:E, 3, FALSE)</f>
        <v>Mitali</v>
      </c>
      <c r="J364" t="str">
        <f>VLOOKUP(A364, [1]Orders!A:E, 4, FALSE)</f>
        <v>Madhya Pradesh</v>
      </c>
      <c r="K364" t="str">
        <f>VLOOKUP(A364, [1]Orders!A:E, 5, FALSE)</f>
        <v>Indore</v>
      </c>
    </row>
    <row r="365" spans="1:11" x14ac:dyDescent="0.5">
      <c r="A365" t="s">
        <v>170</v>
      </c>
      <c r="B365">
        <v>10</v>
      </c>
      <c r="C365">
        <v>4</v>
      </c>
      <c r="D365">
        <v>1</v>
      </c>
      <c r="E365" t="s">
        <v>23</v>
      </c>
      <c r="F365" t="s">
        <v>32</v>
      </c>
      <c r="G365" t="s">
        <v>28</v>
      </c>
      <c r="H365" s="1">
        <f>VLOOKUP(A365, [1]Orders!A:B, 2, FALSE)</f>
        <v>43424</v>
      </c>
      <c r="I365" t="str">
        <f>VLOOKUP(A365, [1]Orders!A:E, 3, FALSE)</f>
        <v>Pranav</v>
      </c>
      <c r="J365" t="str">
        <f>VLOOKUP(A365, [1]Orders!A:E, 4, FALSE)</f>
        <v>Andhra Pradesh</v>
      </c>
      <c r="K365" t="str">
        <f>VLOOKUP(A365, [1]Orders!A:E, 5, FALSE)</f>
        <v>Hyderabad</v>
      </c>
    </row>
    <row r="366" spans="1:11" x14ac:dyDescent="0.5">
      <c r="A366" t="s">
        <v>249</v>
      </c>
      <c r="B366">
        <v>375</v>
      </c>
      <c r="C366">
        <v>180</v>
      </c>
      <c r="D366">
        <v>3</v>
      </c>
      <c r="E366" t="s">
        <v>12</v>
      </c>
      <c r="F366" t="s">
        <v>16</v>
      </c>
      <c r="G366" t="s">
        <v>19</v>
      </c>
      <c r="H366" s="1">
        <f>VLOOKUP(A366, [1]Orders!A:B, 2, FALSE)</f>
        <v>43345</v>
      </c>
      <c r="I366" t="str">
        <f>VLOOKUP(A366, [1]Orders!A:E, 3, FALSE)</f>
        <v>Sakshi</v>
      </c>
      <c r="J366" t="str">
        <f>VLOOKUP(A366, [1]Orders!A:E, 4, FALSE)</f>
        <v>Madhya Pradesh</v>
      </c>
      <c r="K366" t="str">
        <f>VLOOKUP(A366, [1]Orders!A:E, 5, FALSE)</f>
        <v>Indore</v>
      </c>
    </row>
    <row r="367" spans="1:11" x14ac:dyDescent="0.5">
      <c r="A367" t="s">
        <v>104</v>
      </c>
      <c r="B367">
        <v>46</v>
      </c>
      <c r="C367">
        <v>14</v>
      </c>
      <c r="D367">
        <v>5</v>
      </c>
      <c r="E367" t="s">
        <v>23</v>
      </c>
      <c r="F367" t="s">
        <v>43</v>
      </c>
      <c r="G367" t="s">
        <v>82</v>
      </c>
      <c r="H367" s="1">
        <f>VLOOKUP(A367, [1]Orders!A:B, 2, FALSE)</f>
        <v>43333</v>
      </c>
      <c r="I367" t="str">
        <f>VLOOKUP(A367, [1]Orders!A:E, 3, FALSE)</f>
        <v>Vishakha</v>
      </c>
      <c r="J367" t="str">
        <f>VLOOKUP(A367, [1]Orders!A:E, 4, FALSE)</f>
        <v>Madhya Pradesh</v>
      </c>
      <c r="K367" t="str">
        <f>VLOOKUP(A367, [1]Orders!A:E, 5, FALSE)</f>
        <v>Indore</v>
      </c>
    </row>
    <row r="368" spans="1:11" x14ac:dyDescent="0.5">
      <c r="A368" t="s">
        <v>279</v>
      </c>
      <c r="B368">
        <v>49</v>
      </c>
      <c r="C368">
        <v>-31</v>
      </c>
      <c r="D368">
        <v>2</v>
      </c>
      <c r="E368" t="s">
        <v>23</v>
      </c>
      <c r="F368" t="s">
        <v>57</v>
      </c>
      <c r="G368" t="s">
        <v>28</v>
      </c>
      <c r="H368" s="1">
        <f>VLOOKUP(A368, [1]Orders!A:B, 2, FALSE)</f>
        <v>43275</v>
      </c>
      <c r="I368" t="str">
        <f>VLOOKUP(A368, [1]Orders!A:E, 3, FALSE)</f>
        <v>Kritika</v>
      </c>
      <c r="J368" t="str">
        <f>VLOOKUP(A368, [1]Orders!A:E, 4, FALSE)</f>
        <v>Uttar Pradesh</v>
      </c>
      <c r="K368" t="str">
        <f>VLOOKUP(A368, [1]Orders!A:E, 5, FALSE)</f>
        <v>Lucknow</v>
      </c>
    </row>
    <row r="369" spans="1:11" x14ac:dyDescent="0.5">
      <c r="A369" t="s">
        <v>280</v>
      </c>
      <c r="B369">
        <v>47</v>
      </c>
      <c r="C369">
        <v>-20</v>
      </c>
      <c r="D369">
        <v>2</v>
      </c>
      <c r="E369" t="s">
        <v>23</v>
      </c>
      <c r="F369" t="s">
        <v>32</v>
      </c>
      <c r="G369" t="s">
        <v>82</v>
      </c>
      <c r="H369" s="1">
        <f>VLOOKUP(A369, [1]Orders!A:B, 2, FALSE)</f>
        <v>43352</v>
      </c>
      <c r="I369" t="str">
        <f>VLOOKUP(A369, [1]Orders!A:E, 3, FALSE)</f>
        <v>Mousam</v>
      </c>
      <c r="J369" t="str">
        <f>VLOOKUP(A369, [1]Orders!A:E, 4, FALSE)</f>
        <v>Maharashtra</v>
      </c>
      <c r="K369" t="str">
        <f>VLOOKUP(A369, [1]Orders!A:E, 5, FALSE)</f>
        <v>Mumbai</v>
      </c>
    </row>
    <row r="370" spans="1:11" x14ac:dyDescent="0.5">
      <c r="A370" t="s">
        <v>202</v>
      </c>
      <c r="B370">
        <v>355</v>
      </c>
      <c r="C370">
        <v>-114</v>
      </c>
      <c r="D370">
        <v>7</v>
      </c>
      <c r="E370" t="s">
        <v>23</v>
      </c>
      <c r="F370" t="s">
        <v>57</v>
      </c>
      <c r="G370" t="s">
        <v>19</v>
      </c>
      <c r="H370" s="1">
        <f>VLOOKUP(A370, [1]Orders!A:B, 2, FALSE)</f>
        <v>43438</v>
      </c>
      <c r="I370" t="str">
        <f>VLOOKUP(A370, [1]Orders!A:E, 3, FALSE)</f>
        <v>Vrinda</v>
      </c>
      <c r="J370" t="str">
        <f>VLOOKUP(A370, [1]Orders!A:E, 4, FALSE)</f>
        <v>Uttar Pradesh</v>
      </c>
      <c r="K370" t="str">
        <f>VLOOKUP(A370, [1]Orders!A:E, 5, FALSE)</f>
        <v>Mathura</v>
      </c>
    </row>
    <row r="371" spans="1:11" x14ac:dyDescent="0.5">
      <c r="A371" t="s">
        <v>281</v>
      </c>
      <c r="B371">
        <v>32</v>
      </c>
      <c r="C371">
        <v>8</v>
      </c>
      <c r="D371">
        <v>5</v>
      </c>
      <c r="E371" t="s">
        <v>23</v>
      </c>
      <c r="F371" t="s">
        <v>30</v>
      </c>
      <c r="G371" t="s">
        <v>28</v>
      </c>
      <c r="H371" s="1">
        <f>VLOOKUP(A371, [1]Orders!A:B, 2, FALSE)</f>
        <v>43131</v>
      </c>
      <c r="I371" t="str">
        <f>VLOOKUP(A371, [1]Orders!A:E, 3, FALSE)</f>
        <v>Ginny</v>
      </c>
      <c r="J371" t="str">
        <f>VLOOKUP(A371, [1]Orders!A:E, 4, FALSE)</f>
        <v>Madhya Pradesh</v>
      </c>
      <c r="K371" t="str">
        <f>VLOOKUP(A371, [1]Orders!A:E, 5, FALSE)</f>
        <v>Indore</v>
      </c>
    </row>
    <row r="372" spans="1:11" x14ac:dyDescent="0.5">
      <c r="A372" t="s">
        <v>7</v>
      </c>
      <c r="B372">
        <v>243</v>
      </c>
      <c r="C372">
        <v>-14</v>
      </c>
      <c r="D372">
        <v>2</v>
      </c>
      <c r="E372" t="s">
        <v>12</v>
      </c>
      <c r="F372" t="s">
        <v>13</v>
      </c>
      <c r="G372" t="s">
        <v>10</v>
      </c>
      <c r="H372" s="1">
        <f>VLOOKUP(A372, [1]Orders!A:B, 2, FALSE)</f>
        <v>43255</v>
      </c>
      <c r="I372" t="str">
        <f>VLOOKUP(A372, [1]Orders!A:E, 3, FALSE)</f>
        <v>Bhawna</v>
      </c>
      <c r="J372" t="str">
        <f>VLOOKUP(A372, [1]Orders!A:E, 4, FALSE)</f>
        <v>Madhya Pradesh</v>
      </c>
      <c r="K372" t="str">
        <f>VLOOKUP(A372, [1]Orders!A:E, 5, FALSE)</f>
        <v>Indore</v>
      </c>
    </row>
    <row r="373" spans="1:11" x14ac:dyDescent="0.5">
      <c r="A373" t="s">
        <v>282</v>
      </c>
      <c r="B373">
        <v>241</v>
      </c>
      <c r="C373">
        <v>-77</v>
      </c>
      <c r="D373">
        <v>4</v>
      </c>
      <c r="E373" t="s">
        <v>8</v>
      </c>
      <c r="F373" t="s">
        <v>9</v>
      </c>
      <c r="G373" t="s">
        <v>10</v>
      </c>
      <c r="H373" s="1">
        <f>VLOOKUP(A373, [1]Orders!A:B, 2, FALSE)</f>
        <v>43174</v>
      </c>
      <c r="I373" t="str">
        <f>VLOOKUP(A373, [1]Orders!A:E, 3, FALSE)</f>
        <v>Farah</v>
      </c>
      <c r="J373" t="str">
        <f>VLOOKUP(A373, [1]Orders!A:E, 4, FALSE)</f>
        <v>Nagaland</v>
      </c>
      <c r="K373" t="str">
        <f>VLOOKUP(A373, [1]Orders!A:E, 5, FALSE)</f>
        <v>Kohima</v>
      </c>
    </row>
    <row r="374" spans="1:11" x14ac:dyDescent="0.5">
      <c r="A374" t="s">
        <v>283</v>
      </c>
      <c r="B374">
        <v>47</v>
      </c>
      <c r="C374">
        <v>15</v>
      </c>
      <c r="D374">
        <v>5</v>
      </c>
      <c r="E374" t="s">
        <v>23</v>
      </c>
      <c r="F374" t="s">
        <v>26</v>
      </c>
      <c r="G374" t="s">
        <v>82</v>
      </c>
      <c r="H374" s="1">
        <f>VLOOKUP(A374, [1]Orders!A:B, 2, FALSE)</f>
        <v>43153</v>
      </c>
      <c r="I374" t="str">
        <f>VLOOKUP(A374, [1]Orders!A:E, 3, FALSE)</f>
        <v>Monisha</v>
      </c>
      <c r="J374" t="str">
        <f>VLOOKUP(A374, [1]Orders!A:E, 4, FALSE)</f>
        <v>Rajasthan</v>
      </c>
      <c r="K374" t="str">
        <f>VLOOKUP(A374, [1]Orders!A:E, 5, FALSE)</f>
        <v>Jaipur</v>
      </c>
    </row>
    <row r="375" spans="1:11" x14ac:dyDescent="0.5">
      <c r="A375" t="s">
        <v>49</v>
      </c>
      <c r="B375">
        <v>50</v>
      </c>
      <c r="C375">
        <v>-10</v>
      </c>
      <c r="D375">
        <v>6</v>
      </c>
      <c r="E375" t="s">
        <v>23</v>
      </c>
      <c r="F375" t="s">
        <v>43</v>
      </c>
      <c r="G375" t="s">
        <v>82</v>
      </c>
      <c r="H375" s="1">
        <f>VLOOKUP(A375, [1]Orders!A:B, 2, FALSE)</f>
        <v>43138</v>
      </c>
      <c r="I375" t="str">
        <f>VLOOKUP(A375, [1]Orders!A:E, 3, FALSE)</f>
        <v>Patil</v>
      </c>
      <c r="J375" t="str">
        <f>VLOOKUP(A375, [1]Orders!A:E, 4, FALSE)</f>
        <v>Delhi</v>
      </c>
      <c r="K375" t="str">
        <f>VLOOKUP(A375, [1]Orders!A:E, 5, FALSE)</f>
        <v>Delhi</v>
      </c>
    </row>
    <row r="376" spans="1:11" x14ac:dyDescent="0.5">
      <c r="A376" t="s">
        <v>211</v>
      </c>
      <c r="B376">
        <v>15</v>
      </c>
      <c r="C376">
        <v>6</v>
      </c>
      <c r="D376">
        <v>2</v>
      </c>
      <c r="E376" t="s">
        <v>23</v>
      </c>
      <c r="F376" t="s">
        <v>30</v>
      </c>
      <c r="G376" t="s">
        <v>10</v>
      </c>
      <c r="H376" s="1">
        <f>VLOOKUP(A376, [1]Orders!A:B, 2, FALSE)</f>
        <v>43169</v>
      </c>
      <c r="I376" t="str">
        <f>VLOOKUP(A376, [1]Orders!A:E, 3, FALSE)</f>
        <v>Sonal</v>
      </c>
      <c r="J376" t="str">
        <f>VLOOKUP(A376, [1]Orders!A:E, 4, FALSE)</f>
        <v>Bihar</v>
      </c>
      <c r="K376" t="str">
        <f>VLOOKUP(A376, [1]Orders!A:E, 5, FALSE)</f>
        <v>Patna</v>
      </c>
    </row>
    <row r="377" spans="1:11" x14ac:dyDescent="0.5">
      <c r="A377" t="s">
        <v>111</v>
      </c>
      <c r="B377">
        <v>148</v>
      </c>
      <c r="C377">
        <v>24</v>
      </c>
      <c r="D377">
        <v>3</v>
      </c>
      <c r="E377" t="s">
        <v>23</v>
      </c>
      <c r="F377" t="s">
        <v>57</v>
      </c>
      <c r="G377" t="s">
        <v>10</v>
      </c>
      <c r="H377" s="1">
        <f>VLOOKUP(A377, [1]Orders!A:B, 2, FALSE)</f>
        <v>43409</v>
      </c>
      <c r="I377" t="str">
        <f>VLOOKUP(A377, [1]Orders!A:E, 3, FALSE)</f>
        <v>Abhishek</v>
      </c>
      <c r="J377" t="str">
        <f>VLOOKUP(A377, [1]Orders!A:E, 4, FALSE)</f>
        <v>Goa</v>
      </c>
      <c r="K377" t="str">
        <f>VLOOKUP(A377, [1]Orders!A:E, 5, FALSE)</f>
        <v>Goa</v>
      </c>
    </row>
    <row r="378" spans="1:11" x14ac:dyDescent="0.5">
      <c r="A378" t="s">
        <v>284</v>
      </c>
      <c r="B378">
        <v>299</v>
      </c>
      <c r="C378">
        <v>-28</v>
      </c>
      <c r="D378">
        <v>3</v>
      </c>
      <c r="E378" t="s">
        <v>8</v>
      </c>
      <c r="F378" t="s">
        <v>9</v>
      </c>
      <c r="G378" t="s">
        <v>28</v>
      </c>
      <c r="H378" s="1">
        <f>VLOOKUP(A378, [1]Orders!A:B, 2, FALSE)</f>
        <v>43343</v>
      </c>
      <c r="I378" t="str">
        <f>VLOOKUP(A378, [1]Orders!A:E, 3, FALSE)</f>
        <v>Ashmeet</v>
      </c>
      <c r="J378" t="str">
        <f>VLOOKUP(A378, [1]Orders!A:E, 4, FALSE)</f>
        <v>West Bengal</v>
      </c>
      <c r="K378" t="str">
        <f>VLOOKUP(A378, [1]Orders!A:E, 5, FALSE)</f>
        <v>Kolkata</v>
      </c>
    </row>
    <row r="379" spans="1:11" x14ac:dyDescent="0.5">
      <c r="A379" t="s">
        <v>112</v>
      </c>
      <c r="B379">
        <v>68</v>
      </c>
      <c r="C379">
        <v>-30</v>
      </c>
      <c r="D379">
        <v>1</v>
      </c>
      <c r="E379" t="s">
        <v>8</v>
      </c>
      <c r="F379" t="s">
        <v>21</v>
      </c>
      <c r="G379" t="s">
        <v>28</v>
      </c>
      <c r="H379" s="1">
        <f>VLOOKUP(A379, [1]Orders!A:B, 2, FALSE)</f>
        <v>43269</v>
      </c>
      <c r="I379" t="str">
        <f>VLOOKUP(A379, [1]Orders!A:E, 3, FALSE)</f>
        <v>Parna</v>
      </c>
      <c r="J379" t="str">
        <f>VLOOKUP(A379, [1]Orders!A:E, 4, FALSE)</f>
        <v>Madhya Pradesh</v>
      </c>
      <c r="K379" t="str">
        <f>VLOOKUP(A379, [1]Orders!A:E, 5, FALSE)</f>
        <v>Bhopal</v>
      </c>
    </row>
    <row r="380" spans="1:11" x14ac:dyDescent="0.5">
      <c r="A380" t="s">
        <v>111</v>
      </c>
      <c r="B380">
        <v>52</v>
      </c>
      <c r="C380">
        <v>18</v>
      </c>
      <c r="D380">
        <v>5</v>
      </c>
      <c r="E380" t="s">
        <v>23</v>
      </c>
      <c r="F380" t="s">
        <v>63</v>
      </c>
      <c r="G380" t="s">
        <v>82</v>
      </c>
      <c r="H380" s="1">
        <f>VLOOKUP(A380, [1]Orders!A:B, 2, FALSE)</f>
        <v>43409</v>
      </c>
      <c r="I380" t="str">
        <f>VLOOKUP(A380, [1]Orders!A:E, 3, FALSE)</f>
        <v>Abhishek</v>
      </c>
      <c r="J380" t="str">
        <f>VLOOKUP(A380, [1]Orders!A:E, 4, FALSE)</f>
        <v>Goa</v>
      </c>
      <c r="K380" t="str">
        <f>VLOOKUP(A380, [1]Orders!A:E, 5, FALSE)</f>
        <v>Goa</v>
      </c>
    </row>
    <row r="381" spans="1:11" x14ac:dyDescent="0.5">
      <c r="A381" t="s">
        <v>163</v>
      </c>
      <c r="B381">
        <v>239</v>
      </c>
      <c r="C381">
        <v>-162</v>
      </c>
      <c r="D381">
        <v>5</v>
      </c>
      <c r="E381" t="s">
        <v>12</v>
      </c>
      <c r="F381" t="s">
        <v>13</v>
      </c>
      <c r="G381" t="s">
        <v>10</v>
      </c>
      <c r="H381" s="1">
        <f>VLOOKUP(A381, [1]Orders!A:B, 2, FALSE)</f>
        <v>43367</v>
      </c>
      <c r="I381" t="str">
        <f>VLOOKUP(A381, [1]Orders!A:E, 3, FALSE)</f>
        <v>Sukrith</v>
      </c>
      <c r="J381" t="str">
        <f>VLOOKUP(A381, [1]Orders!A:E, 4, FALSE)</f>
        <v>Maharashtra</v>
      </c>
      <c r="K381" t="str">
        <f>VLOOKUP(A381, [1]Orders!A:E, 5, FALSE)</f>
        <v>Mumbai</v>
      </c>
    </row>
    <row r="382" spans="1:11" x14ac:dyDescent="0.5">
      <c r="A382" t="s">
        <v>167</v>
      </c>
      <c r="B382">
        <v>27</v>
      </c>
      <c r="C382">
        <v>6</v>
      </c>
      <c r="D382">
        <v>3</v>
      </c>
      <c r="E382" t="s">
        <v>23</v>
      </c>
      <c r="F382" t="s">
        <v>43</v>
      </c>
      <c r="G382" t="s">
        <v>10</v>
      </c>
      <c r="H382" s="1">
        <f>VLOOKUP(A382, [1]Orders!A:B, 2, FALSE)</f>
        <v>43168</v>
      </c>
      <c r="I382" t="str">
        <f>VLOOKUP(A382, [1]Orders!A:E, 3, FALSE)</f>
        <v>Kirti</v>
      </c>
      <c r="J382" t="str">
        <f>VLOOKUP(A382, [1]Orders!A:E, 4, FALSE)</f>
        <v>Jammu and Kashmir</v>
      </c>
      <c r="K382" t="str">
        <f>VLOOKUP(A382, [1]Orders!A:E, 5, FALSE)</f>
        <v>Kashmir</v>
      </c>
    </row>
    <row r="383" spans="1:11" x14ac:dyDescent="0.5">
      <c r="A383" t="s">
        <v>135</v>
      </c>
      <c r="B383">
        <v>238</v>
      </c>
      <c r="C383">
        <v>20</v>
      </c>
      <c r="D383">
        <v>2</v>
      </c>
      <c r="E383" t="s">
        <v>23</v>
      </c>
      <c r="F383" t="s">
        <v>26</v>
      </c>
      <c r="G383" t="s">
        <v>10</v>
      </c>
      <c r="H383" s="1">
        <f>VLOOKUP(A383, [1]Orders!A:B, 2, FALSE)</f>
        <v>43226</v>
      </c>
      <c r="I383" t="str">
        <f>VLOOKUP(A383, [1]Orders!A:E, 3, FALSE)</f>
        <v>Chirag</v>
      </c>
      <c r="J383" t="str">
        <f>VLOOKUP(A383, [1]Orders!A:E, 4, FALSE)</f>
        <v>Maharashtra</v>
      </c>
      <c r="K383" t="str">
        <f>VLOOKUP(A383, [1]Orders!A:E, 5, FALSE)</f>
        <v>Mumbai</v>
      </c>
    </row>
    <row r="384" spans="1:11" x14ac:dyDescent="0.5">
      <c r="A384" t="s">
        <v>209</v>
      </c>
      <c r="B384">
        <v>48</v>
      </c>
      <c r="C384">
        <v>16</v>
      </c>
      <c r="D384">
        <v>3</v>
      </c>
      <c r="E384" t="s">
        <v>23</v>
      </c>
      <c r="F384" t="s">
        <v>142</v>
      </c>
      <c r="G384" t="s">
        <v>10</v>
      </c>
      <c r="H384" s="1">
        <f>VLOOKUP(A384, [1]Orders!A:B, 2, FALSE)</f>
        <v>43118</v>
      </c>
      <c r="I384" t="str">
        <f>VLOOKUP(A384, [1]Orders!A:E, 3, FALSE)</f>
        <v>Surbhi</v>
      </c>
      <c r="J384" t="str">
        <f>VLOOKUP(A384, [1]Orders!A:E, 4, FALSE)</f>
        <v>Gujarat</v>
      </c>
      <c r="K384" t="str">
        <f>VLOOKUP(A384, [1]Orders!A:E, 5, FALSE)</f>
        <v>Ahmedabad</v>
      </c>
    </row>
    <row r="385" spans="1:11" x14ac:dyDescent="0.5">
      <c r="A385" t="s">
        <v>285</v>
      </c>
      <c r="B385">
        <v>66</v>
      </c>
      <c r="C385">
        <v>22</v>
      </c>
      <c r="D385">
        <v>3</v>
      </c>
      <c r="E385" t="s">
        <v>23</v>
      </c>
      <c r="F385" t="s">
        <v>57</v>
      </c>
      <c r="G385" t="s">
        <v>28</v>
      </c>
      <c r="H385" s="1">
        <f>VLOOKUP(A385, [1]Orders!A:B, 2, FALSE)</f>
        <v>43150</v>
      </c>
      <c r="I385" t="str">
        <f>VLOOKUP(A385, [1]Orders!A:E, 3, FALSE)</f>
        <v>Mukesh</v>
      </c>
      <c r="J385" t="str">
        <f>VLOOKUP(A385, [1]Orders!A:E, 4, FALSE)</f>
        <v>Haryana</v>
      </c>
      <c r="K385" t="str">
        <f>VLOOKUP(A385, [1]Orders!A:E, 5, FALSE)</f>
        <v>Chandigarh</v>
      </c>
    </row>
    <row r="386" spans="1:11" x14ac:dyDescent="0.5">
      <c r="A386" t="s">
        <v>286</v>
      </c>
      <c r="B386">
        <v>53</v>
      </c>
      <c r="C386">
        <v>24</v>
      </c>
      <c r="D386">
        <v>1</v>
      </c>
      <c r="E386" t="s">
        <v>23</v>
      </c>
      <c r="F386" t="s">
        <v>30</v>
      </c>
      <c r="G386" t="s">
        <v>82</v>
      </c>
      <c r="H386" s="1">
        <f>VLOOKUP(A386, [1]Orders!A:B, 2, FALSE)</f>
        <v>43382</v>
      </c>
      <c r="I386" t="str">
        <f>VLOOKUP(A386, [1]Orders!A:E, 3, FALSE)</f>
        <v>Suman</v>
      </c>
      <c r="J386" t="str">
        <f>VLOOKUP(A386, [1]Orders!A:E, 4, FALSE)</f>
        <v xml:space="preserve">Kerala </v>
      </c>
      <c r="K386" t="str">
        <f>VLOOKUP(A386, [1]Orders!A:E, 5, FALSE)</f>
        <v>Thiruvananthapuram</v>
      </c>
    </row>
    <row r="387" spans="1:11" x14ac:dyDescent="0.5">
      <c r="A387" t="s">
        <v>239</v>
      </c>
      <c r="B387">
        <v>233</v>
      </c>
      <c r="C387">
        <v>-10</v>
      </c>
      <c r="D387">
        <v>5</v>
      </c>
      <c r="E387" t="s">
        <v>8</v>
      </c>
      <c r="F387" t="s">
        <v>9</v>
      </c>
      <c r="G387" t="s">
        <v>10</v>
      </c>
      <c r="H387" s="1">
        <f>VLOOKUP(A387, [1]Orders!A:B, 2, FALSE)</f>
        <v>43210</v>
      </c>
      <c r="I387" t="str">
        <f>VLOOKUP(A387, [1]Orders!A:E, 3, FALSE)</f>
        <v>Deepak</v>
      </c>
      <c r="J387" t="str">
        <f>VLOOKUP(A387, [1]Orders!A:E, 4, FALSE)</f>
        <v>Madhya Pradesh</v>
      </c>
      <c r="K387" t="str">
        <f>VLOOKUP(A387, [1]Orders!A:E, 5, FALSE)</f>
        <v>Bhopal</v>
      </c>
    </row>
    <row r="388" spans="1:11" x14ac:dyDescent="0.5">
      <c r="A388" t="s">
        <v>234</v>
      </c>
      <c r="B388">
        <v>53</v>
      </c>
      <c r="C388">
        <v>-2</v>
      </c>
      <c r="D388">
        <v>3</v>
      </c>
      <c r="E388" t="s">
        <v>23</v>
      </c>
      <c r="F388" t="s">
        <v>26</v>
      </c>
      <c r="G388" t="s">
        <v>82</v>
      </c>
      <c r="H388" s="1">
        <f>VLOOKUP(A388, [1]Orders!A:B, 2, FALSE)</f>
        <v>43412</v>
      </c>
      <c r="I388" t="str">
        <f>VLOOKUP(A388, [1]Orders!A:E, 3, FALSE)</f>
        <v>Shubham</v>
      </c>
      <c r="J388" t="str">
        <f>VLOOKUP(A388, [1]Orders!A:E, 4, FALSE)</f>
        <v>Maharashtra</v>
      </c>
      <c r="K388" t="str">
        <f>VLOOKUP(A388, [1]Orders!A:E, 5, FALSE)</f>
        <v>Pune</v>
      </c>
    </row>
    <row r="389" spans="1:11" x14ac:dyDescent="0.5">
      <c r="A389" t="s">
        <v>207</v>
      </c>
      <c r="B389">
        <v>54</v>
      </c>
      <c r="C389">
        <v>8</v>
      </c>
      <c r="D389">
        <v>4</v>
      </c>
      <c r="E389" t="s">
        <v>23</v>
      </c>
      <c r="F389" t="s">
        <v>81</v>
      </c>
      <c r="G389" t="s">
        <v>82</v>
      </c>
      <c r="H389" s="1">
        <f>VLOOKUP(A389, [1]Orders!A:B, 2, FALSE)</f>
        <v>43169</v>
      </c>
      <c r="I389" t="str">
        <f>VLOOKUP(A389, [1]Orders!A:E, 3, FALSE)</f>
        <v>Sharda</v>
      </c>
      <c r="J389" t="str">
        <f>VLOOKUP(A389, [1]Orders!A:E, 4, FALSE)</f>
        <v xml:space="preserve">Kerala </v>
      </c>
      <c r="K389" t="str">
        <f>VLOOKUP(A389, [1]Orders!A:E, 5, FALSE)</f>
        <v>Thiruvananthapuram</v>
      </c>
    </row>
    <row r="390" spans="1:11" x14ac:dyDescent="0.5">
      <c r="A390" t="s">
        <v>287</v>
      </c>
      <c r="B390">
        <v>352</v>
      </c>
      <c r="C390">
        <v>-345</v>
      </c>
      <c r="D390">
        <v>5</v>
      </c>
      <c r="E390" t="s">
        <v>23</v>
      </c>
      <c r="F390" t="s">
        <v>26</v>
      </c>
      <c r="G390" t="s">
        <v>19</v>
      </c>
      <c r="H390" s="1">
        <f>VLOOKUP(A390, [1]Orders!A:B, 2, FALSE)</f>
        <v>43262</v>
      </c>
      <c r="I390" t="str">
        <f>VLOOKUP(A390, [1]Orders!A:E, 3, FALSE)</f>
        <v>Swetha</v>
      </c>
      <c r="J390" t="str">
        <f>VLOOKUP(A390, [1]Orders!A:E, 4, FALSE)</f>
        <v>Madhya Pradesh</v>
      </c>
      <c r="K390" t="str">
        <f>VLOOKUP(A390, [1]Orders!A:E, 5, FALSE)</f>
        <v>Indore</v>
      </c>
    </row>
    <row r="391" spans="1:11" x14ac:dyDescent="0.5">
      <c r="A391" t="s">
        <v>146</v>
      </c>
      <c r="B391">
        <v>349</v>
      </c>
      <c r="C391">
        <v>0</v>
      </c>
      <c r="D391">
        <v>7</v>
      </c>
      <c r="E391" t="s">
        <v>23</v>
      </c>
      <c r="F391" t="s">
        <v>57</v>
      </c>
      <c r="G391" t="s">
        <v>19</v>
      </c>
      <c r="H391" s="1">
        <f>VLOOKUP(A391, [1]Orders!A:B, 2, FALSE)</f>
        <v>43432</v>
      </c>
      <c r="I391" t="str">
        <f>VLOOKUP(A391, [1]Orders!A:E, 3, FALSE)</f>
        <v>Shatayu</v>
      </c>
      <c r="J391" t="str">
        <f>VLOOKUP(A391, [1]Orders!A:E, 4, FALSE)</f>
        <v>Madhya Pradesh</v>
      </c>
      <c r="K391" t="str">
        <f>VLOOKUP(A391, [1]Orders!A:E, 5, FALSE)</f>
        <v>Indore</v>
      </c>
    </row>
    <row r="392" spans="1:11" x14ac:dyDescent="0.5">
      <c r="A392" t="s">
        <v>288</v>
      </c>
      <c r="B392">
        <v>341</v>
      </c>
      <c r="C392">
        <v>-85</v>
      </c>
      <c r="D392">
        <v>6</v>
      </c>
      <c r="E392" t="s">
        <v>23</v>
      </c>
      <c r="F392" t="s">
        <v>24</v>
      </c>
      <c r="G392" t="s">
        <v>19</v>
      </c>
      <c r="H392" s="1">
        <f>VLOOKUP(A392, [1]Orders!A:B, 2, FALSE)</f>
        <v>43329</v>
      </c>
      <c r="I392" t="str">
        <f>VLOOKUP(A392, [1]Orders!A:E, 3, FALSE)</f>
        <v>Shivam</v>
      </c>
      <c r="J392" t="str">
        <f>VLOOKUP(A392, [1]Orders!A:E, 4, FALSE)</f>
        <v>Uttar Pradesh</v>
      </c>
      <c r="K392" t="str">
        <f>VLOOKUP(A392, [1]Orders!A:E, 5, FALSE)</f>
        <v>Lucknow</v>
      </c>
    </row>
    <row r="393" spans="1:11" x14ac:dyDescent="0.5">
      <c r="A393" t="s">
        <v>264</v>
      </c>
      <c r="B393">
        <v>54</v>
      </c>
      <c r="C393">
        <v>12</v>
      </c>
      <c r="D393">
        <v>3</v>
      </c>
      <c r="E393" t="s">
        <v>23</v>
      </c>
      <c r="F393" t="s">
        <v>26</v>
      </c>
      <c r="G393" t="s">
        <v>82</v>
      </c>
      <c r="H393" s="1">
        <f>VLOOKUP(A393, [1]Orders!A:B, 2, FALSE)</f>
        <v>43128</v>
      </c>
      <c r="I393" t="str">
        <f>VLOOKUP(A393, [1]Orders!A:E, 3, FALSE)</f>
        <v>Amruta</v>
      </c>
      <c r="J393" t="str">
        <f>VLOOKUP(A393, [1]Orders!A:E, 4, FALSE)</f>
        <v>Delhi</v>
      </c>
      <c r="K393" t="str">
        <f>VLOOKUP(A393, [1]Orders!A:E, 5, FALSE)</f>
        <v>Delhi</v>
      </c>
    </row>
    <row r="394" spans="1:11" x14ac:dyDescent="0.5">
      <c r="A394" t="s">
        <v>11</v>
      </c>
      <c r="B394">
        <v>57</v>
      </c>
      <c r="C394">
        <v>7</v>
      </c>
      <c r="D394">
        <v>2</v>
      </c>
      <c r="E394" t="s">
        <v>23</v>
      </c>
      <c r="F394" t="s">
        <v>142</v>
      </c>
      <c r="G394" t="s">
        <v>28</v>
      </c>
      <c r="H394" s="1">
        <f>VLOOKUP(A394, [1]Orders!A:B, 2, FALSE)</f>
        <v>43169</v>
      </c>
      <c r="I394" t="str">
        <f>VLOOKUP(A394, [1]Orders!A:E, 3, FALSE)</f>
        <v>Harivansh</v>
      </c>
      <c r="J394" t="str">
        <f>VLOOKUP(A394, [1]Orders!A:E, 4, FALSE)</f>
        <v>Uttar Pradesh</v>
      </c>
      <c r="K394" t="str">
        <f>VLOOKUP(A394, [1]Orders!A:E, 5, FALSE)</f>
        <v>Mathura</v>
      </c>
    </row>
    <row r="395" spans="1:11" x14ac:dyDescent="0.5">
      <c r="A395" t="s">
        <v>85</v>
      </c>
      <c r="B395">
        <v>340</v>
      </c>
      <c r="C395">
        <v>20</v>
      </c>
      <c r="D395">
        <v>7</v>
      </c>
      <c r="E395" t="s">
        <v>23</v>
      </c>
      <c r="F395" t="s">
        <v>142</v>
      </c>
      <c r="G395" t="s">
        <v>19</v>
      </c>
      <c r="H395" s="1">
        <f>VLOOKUP(A395, [1]Orders!A:B, 2, FALSE)</f>
        <v>43290</v>
      </c>
      <c r="I395" t="str">
        <f>VLOOKUP(A395, [1]Orders!A:E, 3, FALSE)</f>
        <v>Stuti</v>
      </c>
      <c r="J395" t="str">
        <f>VLOOKUP(A395, [1]Orders!A:E, 4, FALSE)</f>
        <v>Karnataka</v>
      </c>
      <c r="K395" t="str">
        <f>VLOOKUP(A395, [1]Orders!A:E, 5, FALSE)</f>
        <v>Bangalore</v>
      </c>
    </row>
    <row r="396" spans="1:11" x14ac:dyDescent="0.5">
      <c r="A396" t="s">
        <v>11</v>
      </c>
      <c r="B396">
        <v>227</v>
      </c>
      <c r="C396">
        <v>48</v>
      </c>
      <c r="D396">
        <v>5</v>
      </c>
      <c r="E396" t="s">
        <v>23</v>
      </c>
      <c r="F396" t="s">
        <v>57</v>
      </c>
      <c r="G396" t="s">
        <v>10</v>
      </c>
      <c r="H396" s="1">
        <f>VLOOKUP(A396, [1]Orders!A:B, 2, FALSE)</f>
        <v>43169</v>
      </c>
      <c r="I396" t="str">
        <f>VLOOKUP(A396, [1]Orders!A:E, 3, FALSE)</f>
        <v>Harivansh</v>
      </c>
      <c r="J396" t="str">
        <f>VLOOKUP(A396, [1]Orders!A:E, 4, FALSE)</f>
        <v>Uttar Pradesh</v>
      </c>
      <c r="K396" t="str">
        <f>VLOOKUP(A396, [1]Orders!A:E, 5, FALSE)</f>
        <v>Mathura</v>
      </c>
    </row>
    <row r="397" spans="1:11" x14ac:dyDescent="0.5">
      <c r="A397" t="s">
        <v>255</v>
      </c>
      <c r="B397">
        <v>330</v>
      </c>
      <c r="C397">
        <v>81</v>
      </c>
      <c r="D397">
        <v>1</v>
      </c>
      <c r="E397" t="s">
        <v>12</v>
      </c>
      <c r="F397" t="s">
        <v>16</v>
      </c>
      <c r="G397" t="s">
        <v>19</v>
      </c>
      <c r="H397" s="1">
        <f>VLOOKUP(A397, [1]Orders!A:B, 2, FALSE)</f>
        <v>43132</v>
      </c>
      <c r="I397" t="str">
        <f>VLOOKUP(A397, [1]Orders!A:E, 3, FALSE)</f>
        <v>Anjali</v>
      </c>
      <c r="J397" t="str">
        <f>VLOOKUP(A397, [1]Orders!A:E, 4, FALSE)</f>
        <v>Delhi</v>
      </c>
      <c r="K397" t="str">
        <f>VLOOKUP(A397, [1]Orders!A:E, 5, FALSE)</f>
        <v>Delhi</v>
      </c>
    </row>
    <row r="398" spans="1:11" x14ac:dyDescent="0.5">
      <c r="A398" t="s">
        <v>62</v>
      </c>
      <c r="B398">
        <v>216</v>
      </c>
      <c r="C398">
        <v>-38</v>
      </c>
      <c r="D398">
        <v>6</v>
      </c>
      <c r="E398" t="s">
        <v>12</v>
      </c>
      <c r="F398" t="s">
        <v>131</v>
      </c>
      <c r="G398" t="s">
        <v>28</v>
      </c>
      <c r="H398" s="1">
        <f>VLOOKUP(A398, [1]Orders!A:B, 2, FALSE)</f>
        <v>43286</v>
      </c>
      <c r="I398" t="str">
        <f>VLOOKUP(A398, [1]Orders!A:E, 3, FALSE)</f>
        <v>Megha</v>
      </c>
      <c r="J398" t="str">
        <f>VLOOKUP(A398, [1]Orders!A:E, 4, FALSE)</f>
        <v>Maharashtra</v>
      </c>
      <c r="K398" t="str">
        <f>VLOOKUP(A398, [1]Orders!A:E, 5, FALSE)</f>
        <v>Pune</v>
      </c>
    </row>
    <row r="399" spans="1:11" x14ac:dyDescent="0.5">
      <c r="A399" t="s">
        <v>289</v>
      </c>
      <c r="B399">
        <v>224</v>
      </c>
      <c r="C399">
        <v>-143</v>
      </c>
      <c r="D399">
        <v>3</v>
      </c>
      <c r="E399" t="s">
        <v>12</v>
      </c>
      <c r="F399" t="s">
        <v>13</v>
      </c>
      <c r="G399" t="s">
        <v>10</v>
      </c>
      <c r="H399" s="1">
        <f>VLOOKUP(A399, [1]Orders!A:B, 2, FALSE)</f>
        <v>43349</v>
      </c>
      <c r="I399" t="str">
        <f>VLOOKUP(A399, [1]Orders!A:E, 3, FALSE)</f>
        <v>Shreya</v>
      </c>
      <c r="J399" t="str">
        <f>VLOOKUP(A399, [1]Orders!A:E, 4, FALSE)</f>
        <v xml:space="preserve">Kerala </v>
      </c>
      <c r="K399" t="str">
        <f>VLOOKUP(A399, [1]Orders!A:E, 5, FALSE)</f>
        <v>Thiruvananthapuram</v>
      </c>
    </row>
    <row r="400" spans="1:11" x14ac:dyDescent="0.5">
      <c r="A400" t="s">
        <v>290</v>
      </c>
      <c r="B400">
        <v>55</v>
      </c>
      <c r="C400">
        <v>-33</v>
      </c>
      <c r="D400">
        <v>2</v>
      </c>
      <c r="E400" t="s">
        <v>12</v>
      </c>
      <c r="F400" t="s">
        <v>13</v>
      </c>
      <c r="G400" t="s">
        <v>82</v>
      </c>
      <c r="H400" s="1">
        <f>VLOOKUP(A400, [1]Orders!A:B, 2, FALSE)</f>
        <v>43237</v>
      </c>
      <c r="I400" t="str">
        <f>VLOOKUP(A400, [1]Orders!A:E, 3, FALSE)</f>
        <v>Subhashree</v>
      </c>
      <c r="J400" t="str">
        <f>VLOOKUP(A400, [1]Orders!A:E, 4, FALSE)</f>
        <v>Jammu and Kashmir</v>
      </c>
      <c r="K400" t="str">
        <f>VLOOKUP(A400, [1]Orders!A:E, 5, FALSE)</f>
        <v>Kashmir</v>
      </c>
    </row>
    <row r="401" spans="1:11" x14ac:dyDescent="0.5">
      <c r="A401" t="s">
        <v>153</v>
      </c>
      <c r="B401">
        <v>49</v>
      </c>
      <c r="C401">
        <v>21</v>
      </c>
      <c r="D401">
        <v>1</v>
      </c>
      <c r="E401" t="s">
        <v>23</v>
      </c>
      <c r="F401" t="s">
        <v>57</v>
      </c>
      <c r="G401" t="s">
        <v>28</v>
      </c>
      <c r="H401" s="1">
        <f>VLOOKUP(A401, [1]Orders!A:B, 2, FALSE)</f>
        <v>43148</v>
      </c>
      <c r="I401" t="str">
        <f>VLOOKUP(A401, [1]Orders!A:E, 3, FALSE)</f>
        <v>Anita</v>
      </c>
      <c r="J401" t="str">
        <f>VLOOKUP(A401, [1]Orders!A:E, 4, FALSE)</f>
        <v xml:space="preserve">Kerala </v>
      </c>
      <c r="K401" t="str">
        <f>VLOOKUP(A401, [1]Orders!A:E, 5, FALSE)</f>
        <v>Thiruvananthapuram</v>
      </c>
    </row>
    <row r="402" spans="1:11" x14ac:dyDescent="0.5">
      <c r="A402" t="s">
        <v>207</v>
      </c>
      <c r="B402">
        <v>224</v>
      </c>
      <c r="C402">
        <v>87</v>
      </c>
      <c r="D402">
        <v>3</v>
      </c>
      <c r="E402" t="s">
        <v>23</v>
      </c>
      <c r="F402" t="s">
        <v>24</v>
      </c>
      <c r="G402" t="s">
        <v>10</v>
      </c>
      <c r="H402" s="1">
        <f>VLOOKUP(A402, [1]Orders!A:B, 2, FALSE)</f>
        <v>43169</v>
      </c>
      <c r="I402" t="str">
        <f>VLOOKUP(A402, [1]Orders!A:E, 3, FALSE)</f>
        <v>Sharda</v>
      </c>
      <c r="J402" t="str">
        <f>VLOOKUP(A402, [1]Orders!A:E, 4, FALSE)</f>
        <v xml:space="preserve">Kerala </v>
      </c>
      <c r="K402" t="str">
        <f>VLOOKUP(A402, [1]Orders!A:E, 5, FALSE)</f>
        <v>Thiruvananthapuram</v>
      </c>
    </row>
    <row r="403" spans="1:11" x14ac:dyDescent="0.5">
      <c r="A403" t="s">
        <v>187</v>
      </c>
      <c r="B403">
        <v>223</v>
      </c>
      <c r="C403">
        <v>27</v>
      </c>
      <c r="D403">
        <v>2</v>
      </c>
      <c r="E403" t="s">
        <v>12</v>
      </c>
      <c r="F403" t="s">
        <v>16</v>
      </c>
      <c r="G403" t="s">
        <v>10</v>
      </c>
      <c r="H403" s="1">
        <f>VLOOKUP(A403, [1]Orders!A:B, 2, FALSE)</f>
        <v>43417</v>
      </c>
      <c r="I403" t="str">
        <f>VLOOKUP(A403, [1]Orders!A:E, 3, FALSE)</f>
        <v>Uudhav</v>
      </c>
      <c r="J403" t="str">
        <f>VLOOKUP(A403, [1]Orders!A:E, 4, FALSE)</f>
        <v>Maharashtra</v>
      </c>
      <c r="K403" t="str">
        <f>VLOOKUP(A403, [1]Orders!A:E, 5, FALSE)</f>
        <v>Mumbai</v>
      </c>
    </row>
    <row r="404" spans="1:11" x14ac:dyDescent="0.5">
      <c r="A404" t="s">
        <v>291</v>
      </c>
      <c r="B404">
        <v>324</v>
      </c>
      <c r="C404">
        <v>39</v>
      </c>
      <c r="D404">
        <v>8</v>
      </c>
      <c r="E404" t="s">
        <v>8</v>
      </c>
      <c r="F404" t="s">
        <v>73</v>
      </c>
      <c r="G404" t="s">
        <v>19</v>
      </c>
      <c r="H404" s="1">
        <f>VLOOKUP(A404, [1]Orders!A:B, 2, FALSE)</f>
        <v>43414</v>
      </c>
      <c r="I404" t="str">
        <f>VLOOKUP(A404, [1]Orders!A:E, 3, FALSE)</f>
        <v>Anand</v>
      </c>
      <c r="J404" t="str">
        <f>VLOOKUP(A404, [1]Orders!A:E, 4, FALSE)</f>
        <v>Madhya Pradesh</v>
      </c>
      <c r="K404" t="str">
        <f>VLOOKUP(A404, [1]Orders!A:E, 5, FALSE)</f>
        <v>Indore</v>
      </c>
    </row>
    <row r="405" spans="1:11" x14ac:dyDescent="0.5">
      <c r="A405" t="s">
        <v>123</v>
      </c>
      <c r="B405">
        <v>56</v>
      </c>
      <c r="C405">
        <v>18</v>
      </c>
      <c r="D405">
        <v>2</v>
      </c>
      <c r="E405" t="s">
        <v>23</v>
      </c>
      <c r="F405" t="s">
        <v>30</v>
      </c>
      <c r="G405" t="s">
        <v>82</v>
      </c>
      <c r="H405" s="1">
        <f>VLOOKUP(A405, [1]Orders!A:B, 2, FALSE)</f>
        <v>43231</v>
      </c>
      <c r="I405" t="str">
        <f>VLOOKUP(A405, [1]Orders!A:E, 3, FALSE)</f>
        <v>Priyanka</v>
      </c>
      <c r="J405" t="str">
        <f>VLOOKUP(A405, [1]Orders!A:E, 4, FALSE)</f>
        <v>Maharashtra</v>
      </c>
      <c r="K405" t="str">
        <f>VLOOKUP(A405, [1]Orders!A:E, 5, FALSE)</f>
        <v>Pune</v>
      </c>
    </row>
    <row r="406" spans="1:11" x14ac:dyDescent="0.5">
      <c r="A406" t="s">
        <v>292</v>
      </c>
      <c r="B406">
        <v>223</v>
      </c>
      <c r="C406">
        <v>62</v>
      </c>
      <c r="D406">
        <v>7</v>
      </c>
      <c r="E406" t="s">
        <v>23</v>
      </c>
      <c r="F406" t="s">
        <v>142</v>
      </c>
      <c r="G406" t="s">
        <v>10</v>
      </c>
      <c r="H406" s="1">
        <f>VLOOKUP(A406, [1]Orders!A:B, 2, FALSE)</f>
        <v>43136</v>
      </c>
      <c r="I406" t="str">
        <f>VLOOKUP(A406, [1]Orders!A:E, 3, FALSE)</f>
        <v>Diwakar</v>
      </c>
      <c r="J406" t="str">
        <f>VLOOKUP(A406, [1]Orders!A:E, 4, FALSE)</f>
        <v>Delhi</v>
      </c>
      <c r="K406" t="str">
        <f>VLOOKUP(A406, [1]Orders!A:E, 5, FALSE)</f>
        <v>Delhi</v>
      </c>
    </row>
    <row r="407" spans="1:11" x14ac:dyDescent="0.5">
      <c r="A407" t="s">
        <v>269</v>
      </c>
      <c r="B407">
        <v>10</v>
      </c>
      <c r="C407">
        <v>2</v>
      </c>
      <c r="D407">
        <v>2</v>
      </c>
      <c r="E407" t="s">
        <v>23</v>
      </c>
      <c r="F407" t="s">
        <v>43</v>
      </c>
      <c r="G407" t="s">
        <v>10</v>
      </c>
      <c r="H407" s="1">
        <f>VLOOKUP(A407, [1]Orders!A:B, 2, FALSE)</f>
        <v>43414</v>
      </c>
      <c r="I407" t="str">
        <f>VLOOKUP(A407, [1]Orders!A:E, 3, FALSE)</f>
        <v>Abhijeet</v>
      </c>
      <c r="J407" t="str">
        <f>VLOOKUP(A407, [1]Orders!A:E, 4, FALSE)</f>
        <v>Maharashtra</v>
      </c>
      <c r="K407" t="str">
        <f>VLOOKUP(A407, [1]Orders!A:E, 5, FALSE)</f>
        <v>Mumbai</v>
      </c>
    </row>
    <row r="408" spans="1:11" x14ac:dyDescent="0.5">
      <c r="A408" t="s">
        <v>293</v>
      </c>
      <c r="B408">
        <v>57</v>
      </c>
      <c r="C408">
        <v>6</v>
      </c>
      <c r="D408">
        <v>5</v>
      </c>
      <c r="E408" t="s">
        <v>23</v>
      </c>
      <c r="F408" t="s">
        <v>63</v>
      </c>
      <c r="G408" t="s">
        <v>82</v>
      </c>
      <c r="H408" s="1">
        <f>VLOOKUP(A408, [1]Orders!A:B, 2, FALSE)</f>
        <v>43464</v>
      </c>
      <c r="I408" t="str">
        <f>VLOOKUP(A408, [1]Orders!A:E, 3, FALSE)</f>
        <v>Dipali</v>
      </c>
      <c r="J408" t="str">
        <f>VLOOKUP(A408, [1]Orders!A:E, 4, FALSE)</f>
        <v>Madhya Pradesh</v>
      </c>
      <c r="K408" t="str">
        <f>VLOOKUP(A408, [1]Orders!A:E, 5, FALSE)</f>
        <v>Indore</v>
      </c>
    </row>
    <row r="409" spans="1:11" x14ac:dyDescent="0.5">
      <c r="A409" t="s">
        <v>103</v>
      </c>
      <c r="B409">
        <v>322</v>
      </c>
      <c r="C409">
        <v>-113</v>
      </c>
      <c r="D409">
        <v>4</v>
      </c>
      <c r="E409" t="s">
        <v>23</v>
      </c>
      <c r="F409" t="s">
        <v>26</v>
      </c>
      <c r="G409" t="s">
        <v>19</v>
      </c>
      <c r="H409" s="1">
        <f>VLOOKUP(A409, [1]Orders!A:B, 2, FALSE)</f>
        <v>43303</v>
      </c>
      <c r="I409" t="str">
        <f>VLOOKUP(A409, [1]Orders!A:E, 3, FALSE)</f>
        <v>Ameesha</v>
      </c>
      <c r="J409" t="str">
        <f>VLOOKUP(A409, [1]Orders!A:E, 4, FALSE)</f>
        <v>Maharashtra</v>
      </c>
      <c r="K409" t="str">
        <f>VLOOKUP(A409, [1]Orders!A:E, 5, FALSE)</f>
        <v>Pune</v>
      </c>
    </row>
    <row r="410" spans="1:11" x14ac:dyDescent="0.5">
      <c r="A410" t="s">
        <v>294</v>
      </c>
      <c r="B410">
        <v>219</v>
      </c>
      <c r="C410">
        <v>4</v>
      </c>
      <c r="D410">
        <v>2</v>
      </c>
      <c r="E410" t="s">
        <v>23</v>
      </c>
      <c r="F410" t="s">
        <v>26</v>
      </c>
      <c r="G410" t="s">
        <v>10</v>
      </c>
      <c r="H410" s="1">
        <f>VLOOKUP(A410, [1]Orders!A:B, 2, FALSE)</f>
        <v>43180</v>
      </c>
      <c r="I410" t="str">
        <f>VLOOKUP(A410, [1]Orders!A:E, 3, FALSE)</f>
        <v>Jahan</v>
      </c>
      <c r="J410" t="str">
        <f>VLOOKUP(A410, [1]Orders!A:E, 4, FALSE)</f>
        <v>Madhya Pradesh</v>
      </c>
      <c r="K410" t="str">
        <f>VLOOKUP(A410, [1]Orders!A:E, 5, FALSE)</f>
        <v>Bhopal</v>
      </c>
    </row>
    <row r="411" spans="1:11" x14ac:dyDescent="0.5">
      <c r="A411" t="s">
        <v>295</v>
      </c>
      <c r="B411">
        <v>103</v>
      </c>
      <c r="C411">
        <v>21</v>
      </c>
      <c r="D411">
        <v>7</v>
      </c>
      <c r="E411" t="s">
        <v>23</v>
      </c>
      <c r="F411" t="s">
        <v>57</v>
      </c>
      <c r="G411" t="s">
        <v>28</v>
      </c>
      <c r="H411" s="1">
        <f>VLOOKUP(A411, [1]Orders!A:B, 2, FALSE)</f>
        <v>43451</v>
      </c>
      <c r="I411" t="str">
        <f>VLOOKUP(A411, [1]Orders!A:E, 3, FALSE)</f>
        <v>Geetanjali</v>
      </c>
      <c r="J411" t="str">
        <f>VLOOKUP(A411, [1]Orders!A:E, 4, FALSE)</f>
        <v>Delhi</v>
      </c>
      <c r="K411" t="str">
        <f>VLOOKUP(A411, [1]Orders!A:E, 5, FALSE)</f>
        <v>Delhi</v>
      </c>
    </row>
    <row r="412" spans="1:11" x14ac:dyDescent="0.5">
      <c r="A412" t="s">
        <v>33</v>
      </c>
      <c r="B412">
        <v>47</v>
      </c>
      <c r="C412">
        <v>-27</v>
      </c>
      <c r="D412">
        <v>4</v>
      </c>
      <c r="E412" t="s">
        <v>23</v>
      </c>
      <c r="F412" t="s">
        <v>26</v>
      </c>
      <c r="G412" t="s">
        <v>10</v>
      </c>
      <c r="H412" s="1">
        <f>VLOOKUP(A412, [1]Orders!A:B, 2, FALSE)</f>
        <v>43279</v>
      </c>
      <c r="I412" t="str">
        <f>VLOOKUP(A412, [1]Orders!A:E, 3, FALSE)</f>
        <v>Ekta</v>
      </c>
      <c r="J412" t="str">
        <f>VLOOKUP(A412, [1]Orders!A:E, 4, FALSE)</f>
        <v>Madhya Pradesh</v>
      </c>
      <c r="K412" t="str">
        <f>VLOOKUP(A412, [1]Orders!A:E, 5, FALSE)</f>
        <v>Indore</v>
      </c>
    </row>
    <row r="413" spans="1:11" x14ac:dyDescent="0.5">
      <c r="A413" t="s">
        <v>187</v>
      </c>
      <c r="B413">
        <v>219</v>
      </c>
      <c r="C413">
        <v>0</v>
      </c>
      <c r="D413">
        <v>1</v>
      </c>
      <c r="E413" t="s">
        <v>23</v>
      </c>
      <c r="F413" t="s">
        <v>26</v>
      </c>
      <c r="G413" t="s">
        <v>10</v>
      </c>
      <c r="H413" s="1">
        <f>VLOOKUP(A413, [1]Orders!A:B, 2, FALSE)</f>
        <v>43417</v>
      </c>
      <c r="I413" t="str">
        <f>VLOOKUP(A413, [1]Orders!A:E, 3, FALSE)</f>
        <v>Uudhav</v>
      </c>
      <c r="J413" t="str">
        <f>VLOOKUP(A413, [1]Orders!A:E, 4, FALSE)</f>
        <v>Maharashtra</v>
      </c>
      <c r="K413" t="str">
        <f>VLOOKUP(A413, [1]Orders!A:E, 5, FALSE)</f>
        <v>Mumbai</v>
      </c>
    </row>
    <row r="414" spans="1:11" x14ac:dyDescent="0.5">
      <c r="A414" t="s">
        <v>240</v>
      </c>
      <c r="B414">
        <v>57</v>
      </c>
      <c r="C414">
        <v>-48</v>
      </c>
      <c r="D414">
        <v>6</v>
      </c>
      <c r="E414" t="s">
        <v>23</v>
      </c>
      <c r="F414" t="s">
        <v>63</v>
      </c>
      <c r="G414" t="s">
        <v>82</v>
      </c>
      <c r="H414" s="1">
        <f>VLOOKUP(A414, [1]Orders!A:B, 2, FALSE)</f>
        <v>43303</v>
      </c>
      <c r="I414" t="str">
        <f>VLOOKUP(A414, [1]Orders!A:E, 3, FALSE)</f>
        <v>Turumella</v>
      </c>
      <c r="J414" t="str">
        <f>VLOOKUP(A414, [1]Orders!A:E, 4, FALSE)</f>
        <v>Madhya Pradesh</v>
      </c>
      <c r="K414" t="str">
        <f>VLOOKUP(A414, [1]Orders!A:E, 5, FALSE)</f>
        <v>Indore</v>
      </c>
    </row>
    <row r="415" spans="1:11" x14ac:dyDescent="0.5">
      <c r="A415" t="s">
        <v>296</v>
      </c>
      <c r="B415">
        <v>319</v>
      </c>
      <c r="C415">
        <v>102</v>
      </c>
      <c r="D415">
        <v>6</v>
      </c>
      <c r="E415" t="s">
        <v>8</v>
      </c>
      <c r="F415" t="s">
        <v>73</v>
      </c>
      <c r="G415" t="s">
        <v>19</v>
      </c>
      <c r="H415" s="1">
        <f>VLOOKUP(A415, [1]Orders!A:B, 2, FALSE)</f>
        <v>43147</v>
      </c>
      <c r="I415" t="str">
        <f>VLOOKUP(A415, [1]Orders!A:E, 3, FALSE)</f>
        <v>Yogesh</v>
      </c>
      <c r="J415" t="str">
        <f>VLOOKUP(A415, [1]Orders!A:E, 4, FALSE)</f>
        <v>Bihar</v>
      </c>
      <c r="K415" t="str">
        <f>VLOOKUP(A415, [1]Orders!A:E, 5, FALSE)</f>
        <v>Patna</v>
      </c>
    </row>
    <row r="416" spans="1:11" x14ac:dyDescent="0.5">
      <c r="A416" t="s">
        <v>60</v>
      </c>
      <c r="B416">
        <v>315</v>
      </c>
      <c r="C416">
        <v>-8</v>
      </c>
      <c r="D416">
        <v>3</v>
      </c>
      <c r="E416" t="s">
        <v>12</v>
      </c>
      <c r="F416" t="s">
        <v>13</v>
      </c>
      <c r="G416" t="s">
        <v>19</v>
      </c>
      <c r="H416" s="1">
        <f>VLOOKUP(A416, [1]Orders!A:B, 2, FALSE)</f>
        <v>43139</v>
      </c>
      <c r="I416" t="str">
        <f>VLOOKUP(A416, [1]Orders!A:E, 3, FALSE)</f>
        <v>Hitesh</v>
      </c>
      <c r="J416" t="str">
        <f>VLOOKUP(A416, [1]Orders!A:E, 4, FALSE)</f>
        <v>Madhya Pradesh</v>
      </c>
      <c r="K416" t="str">
        <f>VLOOKUP(A416, [1]Orders!A:E, 5, FALSE)</f>
        <v>Bhopal</v>
      </c>
    </row>
    <row r="417" spans="1:11" x14ac:dyDescent="0.5">
      <c r="A417" t="s">
        <v>216</v>
      </c>
      <c r="B417">
        <v>314</v>
      </c>
      <c r="C417">
        <v>-41</v>
      </c>
      <c r="D417">
        <v>3</v>
      </c>
      <c r="E417" t="s">
        <v>8</v>
      </c>
      <c r="F417" t="s">
        <v>9</v>
      </c>
      <c r="G417" t="s">
        <v>19</v>
      </c>
      <c r="H417" s="1">
        <f>VLOOKUP(A417, [1]Orders!A:B, 2, FALSE)</f>
        <v>43463</v>
      </c>
      <c r="I417" t="str">
        <f>VLOOKUP(A417, [1]Orders!A:E, 3, FALSE)</f>
        <v>Shruti</v>
      </c>
      <c r="J417" t="str">
        <f>VLOOKUP(A417, [1]Orders!A:E, 4, FALSE)</f>
        <v>Maharashtra</v>
      </c>
      <c r="K417" t="str">
        <f>VLOOKUP(A417, [1]Orders!A:E, 5, FALSE)</f>
        <v>Mumbai</v>
      </c>
    </row>
    <row r="418" spans="1:11" x14ac:dyDescent="0.5">
      <c r="A418" t="s">
        <v>194</v>
      </c>
      <c r="B418">
        <v>311</v>
      </c>
      <c r="C418">
        <v>40</v>
      </c>
      <c r="D418">
        <v>1</v>
      </c>
      <c r="E418" t="s">
        <v>8</v>
      </c>
      <c r="F418" t="s">
        <v>9</v>
      </c>
      <c r="G418" t="s">
        <v>14</v>
      </c>
      <c r="H418" s="1">
        <f>VLOOKUP(A418, [1]Orders!A:B, 2, FALSE)</f>
        <v>43185</v>
      </c>
      <c r="I418" t="str">
        <f>VLOOKUP(A418, [1]Orders!A:E, 3, FALSE)</f>
        <v>Vandana</v>
      </c>
      <c r="J418" t="str">
        <f>VLOOKUP(A418, [1]Orders!A:E, 4, FALSE)</f>
        <v>Himachal Pradesh</v>
      </c>
      <c r="K418" t="str">
        <f>VLOOKUP(A418, [1]Orders!A:E, 5, FALSE)</f>
        <v>Simla</v>
      </c>
    </row>
    <row r="419" spans="1:11" x14ac:dyDescent="0.5">
      <c r="A419" t="s">
        <v>79</v>
      </c>
      <c r="B419">
        <v>307</v>
      </c>
      <c r="C419">
        <v>74</v>
      </c>
      <c r="D419">
        <v>3</v>
      </c>
      <c r="E419" t="s">
        <v>8</v>
      </c>
      <c r="F419" t="s">
        <v>73</v>
      </c>
      <c r="G419" t="s">
        <v>14</v>
      </c>
      <c r="H419" s="1">
        <f>VLOOKUP(A419, [1]Orders!A:B, 2, FALSE)</f>
        <v>43383</v>
      </c>
      <c r="I419" t="str">
        <f>VLOOKUP(A419, [1]Orders!A:E, 3, FALSE)</f>
        <v>Nripraj</v>
      </c>
      <c r="J419" t="str">
        <f>VLOOKUP(A419, [1]Orders!A:E, 4, FALSE)</f>
        <v>Punjab</v>
      </c>
      <c r="K419" t="str">
        <f>VLOOKUP(A419, [1]Orders!A:E, 5, FALSE)</f>
        <v>Chandigarh</v>
      </c>
    </row>
    <row r="420" spans="1:11" x14ac:dyDescent="0.5">
      <c r="A420" t="s">
        <v>187</v>
      </c>
      <c r="B420">
        <v>294</v>
      </c>
      <c r="C420">
        <v>109</v>
      </c>
      <c r="D420">
        <v>7</v>
      </c>
      <c r="E420" t="s">
        <v>8</v>
      </c>
      <c r="F420" t="s">
        <v>73</v>
      </c>
      <c r="G420" t="s">
        <v>14</v>
      </c>
      <c r="H420" s="1">
        <f>VLOOKUP(A420, [1]Orders!A:B, 2, FALSE)</f>
        <v>43417</v>
      </c>
      <c r="I420" t="str">
        <f>VLOOKUP(A420, [1]Orders!A:E, 3, FALSE)</f>
        <v>Uudhav</v>
      </c>
      <c r="J420" t="str">
        <f>VLOOKUP(A420, [1]Orders!A:E, 4, FALSE)</f>
        <v>Maharashtra</v>
      </c>
      <c r="K420" t="str">
        <f>VLOOKUP(A420, [1]Orders!A:E, 5, FALSE)</f>
        <v>Mumbai</v>
      </c>
    </row>
    <row r="421" spans="1:11" x14ac:dyDescent="0.5">
      <c r="A421" t="s">
        <v>271</v>
      </c>
      <c r="B421">
        <v>216</v>
      </c>
      <c r="C421">
        <v>-83</v>
      </c>
      <c r="D421">
        <v>3</v>
      </c>
      <c r="E421" t="s">
        <v>8</v>
      </c>
      <c r="F421" t="s">
        <v>9</v>
      </c>
      <c r="G421" t="s">
        <v>10</v>
      </c>
      <c r="H421" s="1">
        <f>VLOOKUP(A421, [1]Orders!A:B, 2, FALSE)</f>
        <v>43419</v>
      </c>
      <c r="I421" t="str">
        <f>VLOOKUP(A421, [1]Orders!A:E, 3, FALSE)</f>
        <v>Aayush</v>
      </c>
      <c r="J421" t="str">
        <f>VLOOKUP(A421, [1]Orders!A:E, 4, FALSE)</f>
        <v>Uttar Pradesh</v>
      </c>
      <c r="K421" t="str">
        <f>VLOOKUP(A421, [1]Orders!A:E, 5, FALSE)</f>
        <v>Lucknow</v>
      </c>
    </row>
    <row r="422" spans="1:11" x14ac:dyDescent="0.5">
      <c r="A422" t="s">
        <v>290</v>
      </c>
      <c r="B422">
        <v>58</v>
      </c>
      <c r="C422">
        <v>-42</v>
      </c>
      <c r="D422">
        <v>2</v>
      </c>
      <c r="E422" t="s">
        <v>12</v>
      </c>
      <c r="F422" t="s">
        <v>13</v>
      </c>
      <c r="G422" t="s">
        <v>82</v>
      </c>
      <c r="H422" s="1">
        <f>VLOOKUP(A422, [1]Orders!A:B, 2, FALSE)</f>
        <v>43237</v>
      </c>
      <c r="I422" t="str">
        <f>VLOOKUP(A422, [1]Orders!A:E, 3, FALSE)</f>
        <v>Subhashree</v>
      </c>
      <c r="J422" t="str">
        <f>VLOOKUP(A422, [1]Orders!A:E, 4, FALSE)</f>
        <v>Jammu and Kashmir</v>
      </c>
      <c r="K422" t="str">
        <f>VLOOKUP(A422, [1]Orders!A:E, 5, FALSE)</f>
        <v>Kashmir</v>
      </c>
    </row>
    <row r="423" spans="1:11" x14ac:dyDescent="0.5">
      <c r="A423" t="s">
        <v>72</v>
      </c>
      <c r="B423">
        <v>48</v>
      </c>
      <c r="C423">
        <v>20</v>
      </c>
      <c r="D423">
        <v>4</v>
      </c>
      <c r="E423" t="s">
        <v>23</v>
      </c>
      <c r="F423" t="s">
        <v>57</v>
      </c>
      <c r="G423" t="s">
        <v>28</v>
      </c>
      <c r="H423" s="1">
        <f>VLOOKUP(A423, [1]Orders!A:B, 2, FALSE)</f>
        <v>43109</v>
      </c>
      <c r="I423" t="str">
        <f>VLOOKUP(A423, [1]Orders!A:E, 3, FALSE)</f>
        <v>Shardul</v>
      </c>
      <c r="J423" t="str">
        <f>VLOOKUP(A423, [1]Orders!A:E, 4, FALSE)</f>
        <v>Gujarat</v>
      </c>
      <c r="K423" t="str">
        <f>VLOOKUP(A423, [1]Orders!A:E, 5, FALSE)</f>
        <v>Ahmedabad</v>
      </c>
    </row>
    <row r="424" spans="1:11" x14ac:dyDescent="0.5">
      <c r="A424" t="s">
        <v>15</v>
      </c>
      <c r="B424">
        <v>54</v>
      </c>
      <c r="C424">
        <v>14</v>
      </c>
      <c r="D424">
        <v>3</v>
      </c>
      <c r="E424" t="s">
        <v>23</v>
      </c>
      <c r="F424" t="s">
        <v>81</v>
      </c>
      <c r="G424" t="s">
        <v>28</v>
      </c>
      <c r="H424" s="1">
        <f>VLOOKUP(A424, [1]Orders!A:B, 2, FALSE)</f>
        <v>43116</v>
      </c>
      <c r="I424" t="str">
        <f>VLOOKUP(A424, [1]Orders!A:E, 3, FALSE)</f>
        <v>Shiva</v>
      </c>
      <c r="J424" t="str">
        <f>VLOOKUP(A424, [1]Orders!A:E, 4, FALSE)</f>
        <v>Maharashtra</v>
      </c>
      <c r="K424" t="str">
        <f>VLOOKUP(A424, [1]Orders!A:E, 5, FALSE)</f>
        <v>Pune</v>
      </c>
    </row>
    <row r="425" spans="1:11" x14ac:dyDescent="0.5">
      <c r="A425" t="s">
        <v>88</v>
      </c>
      <c r="B425">
        <v>216</v>
      </c>
      <c r="C425">
        <v>50</v>
      </c>
      <c r="D425">
        <v>4</v>
      </c>
      <c r="E425" t="s">
        <v>23</v>
      </c>
      <c r="F425" t="s">
        <v>57</v>
      </c>
      <c r="G425" t="s">
        <v>10</v>
      </c>
      <c r="H425" s="1">
        <f>VLOOKUP(A425, [1]Orders!A:B, 2, FALSE)</f>
        <v>43166</v>
      </c>
      <c r="I425" t="str">
        <f>VLOOKUP(A425, [1]Orders!A:E, 3, FALSE)</f>
        <v>Parishi</v>
      </c>
      <c r="J425" t="str">
        <f>VLOOKUP(A425, [1]Orders!A:E, 4, FALSE)</f>
        <v>West Bengal</v>
      </c>
      <c r="K425" t="str">
        <f>VLOOKUP(A425, [1]Orders!A:E, 5, FALSE)</f>
        <v>Kolkata</v>
      </c>
    </row>
    <row r="426" spans="1:11" x14ac:dyDescent="0.5">
      <c r="A426" t="s">
        <v>292</v>
      </c>
      <c r="B426">
        <v>215</v>
      </c>
      <c r="C426">
        <v>-30</v>
      </c>
      <c r="D426">
        <v>2</v>
      </c>
      <c r="E426" t="s">
        <v>23</v>
      </c>
      <c r="F426" t="s">
        <v>26</v>
      </c>
      <c r="G426" t="s">
        <v>10</v>
      </c>
      <c r="H426" s="1">
        <f>VLOOKUP(A426, [1]Orders!A:B, 2, FALSE)</f>
        <v>43136</v>
      </c>
      <c r="I426" t="str">
        <f>VLOOKUP(A426, [1]Orders!A:E, 3, FALSE)</f>
        <v>Diwakar</v>
      </c>
      <c r="J426" t="str">
        <f>VLOOKUP(A426, [1]Orders!A:E, 4, FALSE)</f>
        <v>Delhi</v>
      </c>
      <c r="K426" t="str">
        <f>VLOOKUP(A426, [1]Orders!A:E, 5, FALSE)</f>
        <v>Delhi</v>
      </c>
    </row>
    <row r="427" spans="1:11" x14ac:dyDescent="0.5">
      <c r="A427" t="s">
        <v>297</v>
      </c>
      <c r="B427">
        <v>43</v>
      </c>
      <c r="C427">
        <v>8</v>
      </c>
      <c r="D427">
        <v>3</v>
      </c>
      <c r="E427" t="s">
        <v>23</v>
      </c>
      <c r="F427" t="s">
        <v>63</v>
      </c>
      <c r="G427" t="s">
        <v>10</v>
      </c>
      <c r="H427" s="1">
        <f>VLOOKUP(A427, [1]Orders!A:B, 2, FALSE)</f>
        <v>43183</v>
      </c>
      <c r="I427" t="str">
        <f>VLOOKUP(A427, [1]Orders!A:E, 3, FALSE)</f>
        <v>Yogesh</v>
      </c>
      <c r="J427" t="str">
        <f>VLOOKUP(A427, [1]Orders!A:E, 4, FALSE)</f>
        <v>Bihar</v>
      </c>
      <c r="K427" t="str">
        <f>VLOOKUP(A427, [1]Orders!A:E, 5, FALSE)</f>
        <v>Patna</v>
      </c>
    </row>
    <row r="428" spans="1:11" x14ac:dyDescent="0.5">
      <c r="A428" t="s">
        <v>46</v>
      </c>
      <c r="B428">
        <v>136</v>
      </c>
      <c r="C428">
        <v>-33</v>
      </c>
      <c r="D428">
        <v>5</v>
      </c>
      <c r="E428" t="s">
        <v>23</v>
      </c>
      <c r="F428" t="s">
        <v>26</v>
      </c>
      <c r="G428" t="s">
        <v>10</v>
      </c>
      <c r="H428" s="1">
        <f>VLOOKUP(A428, [1]Orders!A:B, 2, FALSE)</f>
        <v>43113</v>
      </c>
      <c r="I428" t="str">
        <f>VLOOKUP(A428, [1]Orders!A:E, 3, FALSE)</f>
        <v>Shruti</v>
      </c>
      <c r="J428" t="str">
        <f>VLOOKUP(A428, [1]Orders!A:E, 4, FALSE)</f>
        <v>Madhya Pradesh</v>
      </c>
      <c r="K428" t="str">
        <f>VLOOKUP(A428, [1]Orders!A:E, 5, FALSE)</f>
        <v>Indore</v>
      </c>
    </row>
    <row r="429" spans="1:11" x14ac:dyDescent="0.5">
      <c r="A429" t="s">
        <v>298</v>
      </c>
      <c r="B429">
        <v>59</v>
      </c>
      <c r="C429">
        <v>-30</v>
      </c>
      <c r="D429">
        <v>3</v>
      </c>
      <c r="E429" t="s">
        <v>23</v>
      </c>
      <c r="F429" t="s">
        <v>63</v>
      </c>
      <c r="G429" t="s">
        <v>82</v>
      </c>
      <c r="H429" s="1">
        <f>VLOOKUP(A429, [1]Orders!A:B, 2, FALSE)</f>
        <v>43213</v>
      </c>
      <c r="I429" t="str">
        <f>VLOOKUP(A429, [1]Orders!A:E, 3, FALSE)</f>
        <v>Pinky</v>
      </c>
      <c r="J429" t="str">
        <f>VLOOKUP(A429, [1]Orders!A:E, 4, FALSE)</f>
        <v>Jammu and Kashmir</v>
      </c>
      <c r="K429" t="str">
        <f>VLOOKUP(A429, [1]Orders!A:E, 5, FALSE)</f>
        <v>Kashmir</v>
      </c>
    </row>
    <row r="430" spans="1:11" x14ac:dyDescent="0.5">
      <c r="A430" t="s">
        <v>11</v>
      </c>
      <c r="B430">
        <v>213</v>
      </c>
      <c r="C430">
        <v>4</v>
      </c>
      <c r="D430">
        <v>14</v>
      </c>
      <c r="E430" t="s">
        <v>23</v>
      </c>
      <c r="F430" t="s">
        <v>142</v>
      </c>
      <c r="G430" t="s">
        <v>10</v>
      </c>
      <c r="H430" s="1">
        <f>VLOOKUP(A430, [1]Orders!A:B, 2, FALSE)</f>
        <v>43169</v>
      </c>
      <c r="I430" t="str">
        <f>VLOOKUP(A430, [1]Orders!A:E, 3, FALSE)</f>
        <v>Harivansh</v>
      </c>
      <c r="J430" t="str">
        <f>VLOOKUP(A430, [1]Orders!A:E, 4, FALSE)</f>
        <v>Uttar Pradesh</v>
      </c>
      <c r="K430" t="str">
        <f>VLOOKUP(A430, [1]Orders!A:E, 5, FALSE)</f>
        <v>Mathura</v>
      </c>
    </row>
    <row r="431" spans="1:11" x14ac:dyDescent="0.5">
      <c r="A431" t="s">
        <v>285</v>
      </c>
      <c r="B431">
        <v>59</v>
      </c>
      <c r="C431">
        <v>21</v>
      </c>
      <c r="D431">
        <v>2</v>
      </c>
      <c r="E431" t="s">
        <v>23</v>
      </c>
      <c r="F431" t="s">
        <v>57</v>
      </c>
      <c r="G431" t="s">
        <v>82</v>
      </c>
      <c r="H431" s="1">
        <f>VLOOKUP(A431, [1]Orders!A:B, 2, FALSE)</f>
        <v>43150</v>
      </c>
      <c r="I431" t="str">
        <f>VLOOKUP(A431, [1]Orders!A:E, 3, FALSE)</f>
        <v>Mukesh</v>
      </c>
      <c r="J431" t="str">
        <f>VLOOKUP(A431, [1]Orders!A:E, 4, FALSE)</f>
        <v>Haryana</v>
      </c>
      <c r="K431" t="str">
        <f>VLOOKUP(A431, [1]Orders!A:E, 5, FALSE)</f>
        <v>Chandigarh</v>
      </c>
    </row>
    <row r="432" spans="1:11" x14ac:dyDescent="0.5">
      <c r="A432" t="s">
        <v>299</v>
      </c>
      <c r="B432">
        <v>55</v>
      </c>
      <c r="C432">
        <v>3</v>
      </c>
      <c r="D432">
        <v>3</v>
      </c>
      <c r="E432" t="s">
        <v>23</v>
      </c>
      <c r="F432" t="s">
        <v>81</v>
      </c>
      <c r="G432" t="s">
        <v>10</v>
      </c>
      <c r="H432" s="1">
        <f>VLOOKUP(A432, [1]Orders!A:B, 2, FALSE)</f>
        <v>43142</v>
      </c>
      <c r="I432" t="str">
        <f>VLOOKUP(A432, [1]Orders!A:E, 3, FALSE)</f>
        <v>Kartikay</v>
      </c>
      <c r="J432" t="str">
        <f>VLOOKUP(A432, [1]Orders!A:E, 4, FALSE)</f>
        <v>Bihar</v>
      </c>
      <c r="K432" t="str">
        <f>VLOOKUP(A432, [1]Orders!A:E, 5, FALSE)</f>
        <v>Patna</v>
      </c>
    </row>
    <row r="433" spans="1:11" x14ac:dyDescent="0.5">
      <c r="A433" t="s">
        <v>15</v>
      </c>
      <c r="B433">
        <v>294</v>
      </c>
      <c r="C433">
        <v>62</v>
      </c>
      <c r="D433">
        <v>9</v>
      </c>
      <c r="E433" t="s">
        <v>23</v>
      </c>
      <c r="F433" t="s">
        <v>81</v>
      </c>
      <c r="G433" t="s">
        <v>14</v>
      </c>
      <c r="H433" s="1">
        <f>VLOOKUP(A433, [1]Orders!A:B, 2, FALSE)</f>
        <v>43116</v>
      </c>
      <c r="I433" t="str">
        <f>VLOOKUP(A433, [1]Orders!A:E, 3, FALSE)</f>
        <v>Shiva</v>
      </c>
      <c r="J433" t="str">
        <f>VLOOKUP(A433, [1]Orders!A:E, 4, FALSE)</f>
        <v>Maharashtra</v>
      </c>
      <c r="K433" t="str">
        <f>VLOOKUP(A433, [1]Orders!A:E, 5, FALSE)</f>
        <v>Pune</v>
      </c>
    </row>
    <row r="434" spans="1:11" x14ac:dyDescent="0.5">
      <c r="A434" t="s">
        <v>89</v>
      </c>
      <c r="B434">
        <v>210</v>
      </c>
      <c r="C434">
        <v>62</v>
      </c>
      <c r="D434">
        <v>2</v>
      </c>
      <c r="E434" t="s">
        <v>8</v>
      </c>
      <c r="F434" t="s">
        <v>21</v>
      </c>
      <c r="G434" t="s">
        <v>10</v>
      </c>
      <c r="H434" s="1">
        <f>VLOOKUP(A434, [1]Orders!A:B, 2, FALSE)</f>
        <v>43443</v>
      </c>
      <c r="I434" t="str">
        <f>VLOOKUP(A434, [1]Orders!A:E, 3, FALSE)</f>
        <v>Anand</v>
      </c>
      <c r="J434" t="str">
        <f>VLOOKUP(A434, [1]Orders!A:E, 4, FALSE)</f>
        <v>Punjab</v>
      </c>
      <c r="K434" t="str">
        <f>VLOOKUP(A434, [1]Orders!A:E, 5, FALSE)</f>
        <v>Amritsar</v>
      </c>
    </row>
    <row r="435" spans="1:11" x14ac:dyDescent="0.5">
      <c r="A435" t="s">
        <v>238</v>
      </c>
      <c r="B435">
        <v>59</v>
      </c>
      <c r="C435">
        <v>24</v>
      </c>
      <c r="D435">
        <v>6</v>
      </c>
      <c r="E435" t="s">
        <v>23</v>
      </c>
      <c r="F435" t="s">
        <v>32</v>
      </c>
      <c r="G435" t="s">
        <v>82</v>
      </c>
      <c r="H435" s="1">
        <f>VLOOKUP(A435, [1]Orders!A:B, 2, FALSE)</f>
        <v>43185</v>
      </c>
      <c r="I435" t="str">
        <f>VLOOKUP(A435, [1]Orders!A:E, 3, FALSE)</f>
        <v>Kanak</v>
      </c>
      <c r="J435" t="str">
        <f>VLOOKUP(A435, [1]Orders!A:E, 4, FALSE)</f>
        <v>Goa</v>
      </c>
      <c r="K435" t="str">
        <f>VLOOKUP(A435, [1]Orders!A:E, 5, FALSE)</f>
        <v>Goa</v>
      </c>
    </row>
    <row r="436" spans="1:11" x14ac:dyDescent="0.5">
      <c r="A436" t="s">
        <v>38</v>
      </c>
      <c r="B436">
        <v>396</v>
      </c>
      <c r="C436">
        <v>-31</v>
      </c>
      <c r="D436">
        <v>9</v>
      </c>
      <c r="E436" t="s">
        <v>23</v>
      </c>
      <c r="F436" t="s">
        <v>26</v>
      </c>
      <c r="G436" t="s">
        <v>10</v>
      </c>
      <c r="H436" s="1">
        <f>VLOOKUP(A436, [1]Orders!A:B, 2, FALSE)</f>
        <v>43231</v>
      </c>
      <c r="I436" t="str">
        <f>VLOOKUP(A436, [1]Orders!A:E, 3, FALSE)</f>
        <v>Nida</v>
      </c>
      <c r="J436" t="str">
        <f>VLOOKUP(A436, [1]Orders!A:E, 4, FALSE)</f>
        <v>Madhya Pradesh</v>
      </c>
      <c r="K436" t="str">
        <f>VLOOKUP(A436, [1]Orders!A:E, 5, FALSE)</f>
        <v>Indore</v>
      </c>
    </row>
    <row r="437" spans="1:11" x14ac:dyDescent="0.5">
      <c r="A437" t="s">
        <v>300</v>
      </c>
      <c r="B437">
        <v>284</v>
      </c>
      <c r="C437">
        <v>45</v>
      </c>
      <c r="D437">
        <v>2</v>
      </c>
      <c r="E437" t="s">
        <v>12</v>
      </c>
      <c r="F437" t="s">
        <v>16</v>
      </c>
      <c r="G437" t="s">
        <v>14</v>
      </c>
      <c r="H437" s="1">
        <f>VLOOKUP(A437, [1]Orders!A:B, 2, FALSE)</f>
        <v>43127</v>
      </c>
      <c r="I437" t="str">
        <f>VLOOKUP(A437, [1]Orders!A:E, 3, FALSE)</f>
        <v>Shivangi</v>
      </c>
      <c r="J437" t="str">
        <f>VLOOKUP(A437, [1]Orders!A:E, 4, FALSE)</f>
        <v>Madhya Pradesh</v>
      </c>
      <c r="K437" t="str">
        <f>VLOOKUP(A437, [1]Orders!A:E, 5, FALSE)</f>
        <v>Indore</v>
      </c>
    </row>
    <row r="438" spans="1:11" x14ac:dyDescent="0.5">
      <c r="A438" t="s">
        <v>301</v>
      </c>
      <c r="B438">
        <v>276</v>
      </c>
      <c r="C438">
        <v>52</v>
      </c>
      <c r="D438">
        <v>5</v>
      </c>
      <c r="E438" t="s">
        <v>23</v>
      </c>
      <c r="F438" t="s">
        <v>26</v>
      </c>
      <c r="G438" t="s">
        <v>14</v>
      </c>
      <c r="H438" s="1">
        <f>VLOOKUP(A438, [1]Orders!A:B, 2, FALSE)</f>
        <v>43139</v>
      </c>
      <c r="I438" t="str">
        <f>VLOOKUP(A438, [1]Orders!A:E, 3, FALSE)</f>
        <v>Harsh</v>
      </c>
      <c r="J438" t="str">
        <f>VLOOKUP(A438, [1]Orders!A:E, 4, FALSE)</f>
        <v>Delhi</v>
      </c>
      <c r="K438" t="str">
        <f>VLOOKUP(A438, [1]Orders!A:E, 5, FALSE)</f>
        <v>Delhi</v>
      </c>
    </row>
    <row r="439" spans="1:11" x14ac:dyDescent="0.5">
      <c r="A439" t="s">
        <v>259</v>
      </c>
      <c r="B439">
        <v>23</v>
      </c>
      <c r="C439">
        <v>2</v>
      </c>
      <c r="D439">
        <v>2</v>
      </c>
      <c r="E439" t="s">
        <v>23</v>
      </c>
      <c r="F439" t="s">
        <v>43</v>
      </c>
      <c r="G439" t="s">
        <v>28</v>
      </c>
      <c r="H439" s="1">
        <f>VLOOKUP(A439, [1]Orders!A:B, 2, FALSE)</f>
        <v>43216</v>
      </c>
      <c r="I439" t="str">
        <f>VLOOKUP(A439, [1]Orders!A:E, 3, FALSE)</f>
        <v>Nidhi</v>
      </c>
      <c r="J439" t="str">
        <f>VLOOKUP(A439, [1]Orders!A:E, 4, FALSE)</f>
        <v>Nagaland</v>
      </c>
      <c r="K439" t="str">
        <f>VLOOKUP(A439, [1]Orders!A:E, 5, FALSE)</f>
        <v>Kohima</v>
      </c>
    </row>
    <row r="440" spans="1:11" x14ac:dyDescent="0.5">
      <c r="A440" t="s">
        <v>302</v>
      </c>
      <c r="B440">
        <v>209</v>
      </c>
      <c r="C440">
        <v>-63</v>
      </c>
      <c r="D440">
        <v>4</v>
      </c>
      <c r="E440" t="s">
        <v>8</v>
      </c>
      <c r="F440" t="s">
        <v>9</v>
      </c>
      <c r="G440" t="s">
        <v>10</v>
      </c>
      <c r="H440" s="1">
        <f>VLOOKUP(A440, [1]Orders!A:B, 2, FALSE)</f>
        <v>43184</v>
      </c>
      <c r="I440" t="str">
        <f>VLOOKUP(A440, [1]Orders!A:E, 3, FALSE)</f>
        <v>Anita</v>
      </c>
      <c r="J440" t="str">
        <f>VLOOKUP(A440, [1]Orders!A:E, 4, FALSE)</f>
        <v xml:space="preserve">Kerala </v>
      </c>
      <c r="K440" t="str">
        <f>VLOOKUP(A440, [1]Orders!A:E, 5, FALSE)</f>
        <v>Thiruvananthapuram</v>
      </c>
    </row>
    <row r="441" spans="1:11" x14ac:dyDescent="0.5">
      <c r="A441" t="s">
        <v>303</v>
      </c>
      <c r="B441">
        <v>50</v>
      </c>
      <c r="C441">
        <v>-28</v>
      </c>
      <c r="D441">
        <v>5</v>
      </c>
      <c r="E441" t="s">
        <v>12</v>
      </c>
      <c r="F441" t="s">
        <v>131</v>
      </c>
      <c r="G441" t="s">
        <v>10</v>
      </c>
      <c r="H441" s="1">
        <f>VLOOKUP(A441, [1]Orders!A:B, 2, FALSE)</f>
        <v>43135</v>
      </c>
      <c r="I441" t="str">
        <f>VLOOKUP(A441, [1]Orders!A:E, 3, FALSE)</f>
        <v>Anmol</v>
      </c>
      <c r="J441" t="str">
        <f>VLOOKUP(A441, [1]Orders!A:E, 4, FALSE)</f>
        <v>Rajasthan</v>
      </c>
      <c r="K441" t="str">
        <f>VLOOKUP(A441, [1]Orders!A:E, 5, FALSE)</f>
        <v>Udaipur</v>
      </c>
    </row>
    <row r="442" spans="1:11" x14ac:dyDescent="0.5">
      <c r="A442" t="s">
        <v>304</v>
      </c>
      <c r="B442">
        <v>57</v>
      </c>
      <c r="C442">
        <v>27</v>
      </c>
      <c r="D442">
        <v>2</v>
      </c>
      <c r="E442" t="s">
        <v>23</v>
      </c>
      <c r="F442" t="s">
        <v>142</v>
      </c>
      <c r="G442" t="s">
        <v>10</v>
      </c>
      <c r="H442" s="1">
        <f>VLOOKUP(A442, [1]Orders!A:B, 2, FALSE)</f>
        <v>43426</v>
      </c>
      <c r="I442" t="str">
        <f>VLOOKUP(A442, [1]Orders!A:E, 3, FALSE)</f>
        <v>Saurabh</v>
      </c>
      <c r="J442" t="str">
        <f>VLOOKUP(A442, [1]Orders!A:E, 4, FALSE)</f>
        <v>Maharashtra</v>
      </c>
      <c r="K442" t="str">
        <f>VLOOKUP(A442, [1]Orders!A:E, 5, FALSE)</f>
        <v>Mumbai</v>
      </c>
    </row>
    <row r="443" spans="1:11" x14ac:dyDescent="0.5">
      <c r="A443" t="s">
        <v>305</v>
      </c>
      <c r="B443">
        <v>276</v>
      </c>
      <c r="C443">
        <v>-21</v>
      </c>
      <c r="D443">
        <v>2</v>
      </c>
      <c r="E443" t="s">
        <v>8</v>
      </c>
      <c r="F443" t="s">
        <v>21</v>
      </c>
      <c r="G443" t="s">
        <v>14</v>
      </c>
      <c r="H443" s="1">
        <f>VLOOKUP(A443, [1]Orders!A:B, 2, FALSE)</f>
        <v>43367</v>
      </c>
      <c r="I443" t="str">
        <f>VLOOKUP(A443, [1]Orders!A:E, 3, FALSE)</f>
        <v>Sukant</v>
      </c>
      <c r="J443" t="str">
        <f>VLOOKUP(A443, [1]Orders!A:E, 4, FALSE)</f>
        <v>Sikkim</v>
      </c>
      <c r="K443" t="str">
        <f>VLOOKUP(A443, [1]Orders!A:E, 5, FALSE)</f>
        <v>Gangtok</v>
      </c>
    </row>
    <row r="444" spans="1:11" x14ac:dyDescent="0.5">
      <c r="A444" t="s">
        <v>306</v>
      </c>
      <c r="B444">
        <v>268</v>
      </c>
      <c r="C444">
        <v>6</v>
      </c>
      <c r="D444">
        <v>2</v>
      </c>
      <c r="E444" t="s">
        <v>12</v>
      </c>
      <c r="F444" t="s">
        <v>16</v>
      </c>
      <c r="G444" t="s">
        <v>28</v>
      </c>
      <c r="H444" s="1">
        <f>VLOOKUP(A444, [1]Orders!A:B, 2, FALSE)</f>
        <v>43444</v>
      </c>
      <c r="I444" t="str">
        <f>VLOOKUP(A444, [1]Orders!A:E, 3, FALSE)</f>
        <v>Ishpreet</v>
      </c>
      <c r="J444" t="str">
        <f>VLOOKUP(A444, [1]Orders!A:E, 4, FALSE)</f>
        <v>Maharashtra</v>
      </c>
      <c r="K444" t="str">
        <f>VLOOKUP(A444, [1]Orders!A:E, 5, FALSE)</f>
        <v>Mumbai</v>
      </c>
    </row>
    <row r="445" spans="1:11" x14ac:dyDescent="0.5">
      <c r="A445" t="s">
        <v>135</v>
      </c>
      <c r="B445">
        <v>269</v>
      </c>
      <c r="C445">
        <v>111</v>
      </c>
      <c r="D445">
        <v>3</v>
      </c>
      <c r="E445" t="s">
        <v>23</v>
      </c>
      <c r="F445" t="s">
        <v>24</v>
      </c>
      <c r="G445" t="s">
        <v>14</v>
      </c>
      <c r="H445" s="1">
        <f>VLOOKUP(A445, [1]Orders!A:B, 2, FALSE)</f>
        <v>43226</v>
      </c>
      <c r="I445" t="str">
        <f>VLOOKUP(A445, [1]Orders!A:E, 3, FALSE)</f>
        <v>Chirag</v>
      </c>
      <c r="J445" t="str">
        <f>VLOOKUP(A445, [1]Orders!A:E, 4, FALSE)</f>
        <v>Maharashtra</v>
      </c>
      <c r="K445" t="str">
        <f>VLOOKUP(A445, [1]Orders!A:E, 5, FALSE)</f>
        <v>Mumbai</v>
      </c>
    </row>
    <row r="446" spans="1:11" x14ac:dyDescent="0.5">
      <c r="A446" t="s">
        <v>105</v>
      </c>
      <c r="B446">
        <v>209</v>
      </c>
      <c r="C446">
        <v>2</v>
      </c>
      <c r="D446">
        <v>1</v>
      </c>
      <c r="E446" t="s">
        <v>23</v>
      </c>
      <c r="F446" t="s">
        <v>26</v>
      </c>
      <c r="G446" t="s">
        <v>10</v>
      </c>
      <c r="H446" s="1">
        <f>VLOOKUP(A446, [1]Orders!A:B, 2, FALSE)</f>
        <v>43118</v>
      </c>
      <c r="I446" t="str">
        <f>VLOOKUP(A446, [1]Orders!A:E, 3, FALSE)</f>
        <v>Mahima</v>
      </c>
      <c r="J446" t="str">
        <f>VLOOKUP(A446, [1]Orders!A:E, 4, FALSE)</f>
        <v>Madhya Pradesh</v>
      </c>
      <c r="K446" t="str">
        <f>VLOOKUP(A446, [1]Orders!A:E, 5, FALSE)</f>
        <v>Indore</v>
      </c>
    </row>
    <row r="447" spans="1:11" x14ac:dyDescent="0.5">
      <c r="A447" t="s">
        <v>307</v>
      </c>
      <c r="B447">
        <v>60</v>
      </c>
      <c r="C447">
        <v>-12</v>
      </c>
      <c r="D447">
        <v>4</v>
      </c>
      <c r="E447" t="s">
        <v>23</v>
      </c>
      <c r="F447" t="s">
        <v>30</v>
      </c>
      <c r="G447" t="s">
        <v>82</v>
      </c>
      <c r="H447" s="1">
        <f>VLOOKUP(A447, [1]Orders!A:B, 2, FALSE)</f>
        <v>43367</v>
      </c>
      <c r="I447" t="str">
        <f>VLOOKUP(A447, [1]Orders!A:E, 3, FALSE)</f>
        <v>Siddharth</v>
      </c>
      <c r="J447" t="str">
        <f>VLOOKUP(A447, [1]Orders!A:E, 4, FALSE)</f>
        <v>Madhya Pradesh</v>
      </c>
      <c r="K447" t="str">
        <f>VLOOKUP(A447, [1]Orders!A:E, 5, FALSE)</f>
        <v>Indore</v>
      </c>
    </row>
    <row r="448" spans="1:11" x14ac:dyDescent="0.5">
      <c r="A448" t="s">
        <v>205</v>
      </c>
      <c r="B448">
        <v>269</v>
      </c>
      <c r="C448">
        <v>-86</v>
      </c>
      <c r="D448">
        <v>2</v>
      </c>
      <c r="E448" t="s">
        <v>8</v>
      </c>
      <c r="F448" t="s">
        <v>9</v>
      </c>
      <c r="G448" t="s">
        <v>14</v>
      </c>
      <c r="H448" s="1">
        <f>VLOOKUP(A448, [1]Orders!A:B, 2, FALSE)</f>
        <v>43230</v>
      </c>
      <c r="I448" t="str">
        <f>VLOOKUP(A448, [1]Orders!A:E, 3, FALSE)</f>
        <v>Sabah</v>
      </c>
      <c r="J448" t="str">
        <f>VLOOKUP(A448, [1]Orders!A:E, 4, FALSE)</f>
        <v>Maharashtra</v>
      </c>
      <c r="K448" t="str">
        <f>VLOOKUP(A448, [1]Orders!A:E, 5, FALSE)</f>
        <v>Mumbai</v>
      </c>
    </row>
    <row r="449" spans="1:11" x14ac:dyDescent="0.5">
      <c r="A449" t="s">
        <v>141</v>
      </c>
      <c r="B449">
        <v>208</v>
      </c>
      <c r="C449">
        <v>-25</v>
      </c>
      <c r="D449">
        <v>2</v>
      </c>
      <c r="E449" t="s">
        <v>23</v>
      </c>
      <c r="F449" t="s">
        <v>26</v>
      </c>
      <c r="G449" t="s">
        <v>10</v>
      </c>
      <c r="H449" s="1">
        <f>VLOOKUP(A449, [1]Orders!A:B, 2, FALSE)</f>
        <v>43326</v>
      </c>
      <c r="I449" t="str">
        <f>VLOOKUP(A449, [1]Orders!A:E, 3, FALSE)</f>
        <v>Priyanshu</v>
      </c>
      <c r="J449" t="str">
        <f>VLOOKUP(A449, [1]Orders!A:E, 4, FALSE)</f>
        <v>Madhya Pradesh</v>
      </c>
      <c r="K449" t="str">
        <f>VLOOKUP(A449, [1]Orders!A:E, 5, FALSE)</f>
        <v>Indore</v>
      </c>
    </row>
    <row r="450" spans="1:11" x14ac:dyDescent="0.5">
      <c r="A450" t="s">
        <v>199</v>
      </c>
      <c r="B450">
        <v>27</v>
      </c>
      <c r="C450">
        <v>2</v>
      </c>
      <c r="D450">
        <v>2</v>
      </c>
      <c r="E450" t="s">
        <v>23</v>
      </c>
      <c r="F450" t="s">
        <v>63</v>
      </c>
      <c r="G450" t="s">
        <v>28</v>
      </c>
      <c r="H450" s="1">
        <f>VLOOKUP(A450, [1]Orders!A:B, 2, FALSE)</f>
        <v>43402</v>
      </c>
      <c r="I450" t="str">
        <f>VLOOKUP(A450, [1]Orders!A:E, 3, FALSE)</f>
        <v>Moumita</v>
      </c>
      <c r="J450" t="str">
        <f>VLOOKUP(A450, [1]Orders!A:E, 4, FALSE)</f>
        <v>Gujarat</v>
      </c>
      <c r="K450" t="str">
        <f>VLOOKUP(A450, [1]Orders!A:E, 5, FALSE)</f>
        <v>Ahmedabad</v>
      </c>
    </row>
    <row r="451" spans="1:11" x14ac:dyDescent="0.5">
      <c r="A451" t="s">
        <v>308</v>
      </c>
      <c r="B451">
        <v>206</v>
      </c>
      <c r="C451">
        <v>-206</v>
      </c>
      <c r="D451">
        <v>3</v>
      </c>
      <c r="E451" t="s">
        <v>23</v>
      </c>
      <c r="F451" t="s">
        <v>26</v>
      </c>
      <c r="G451" t="s">
        <v>10</v>
      </c>
      <c r="H451" s="1">
        <f>VLOOKUP(A451, [1]Orders!A:B, 2, FALSE)</f>
        <v>43228</v>
      </c>
      <c r="I451" t="str">
        <f>VLOOKUP(A451, [1]Orders!A:E, 3, FALSE)</f>
        <v>Tushina</v>
      </c>
      <c r="J451" t="str">
        <f>VLOOKUP(A451, [1]Orders!A:E, 4, FALSE)</f>
        <v>Goa</v>
      </c>
      <c r="K451" t="str">
        <f>VLOOKUP(A451, [1]Orders!A:E, 5, FALSE)</f>
        <v>Goa</v>
      </c>
    </row>
    <row r="452" spans="1:11" x14ac:dyDescent="0.5">
      <c r="A452" t="s">
        <v>309</v>
      </c>
      <c r="B452">
        <v>61</v>
      </c>
      <c r="C452">
        <v>8</v>
      </c>
      <c r="D452">
        <v>4</v>
      </c>
      <c r="E452" t="s">
        <v>23</v>
      </c>
      <c r="F452" t="s">
        <v>30</v>
      </c>
      <c r="G452" t="s">
        <v>82</v>
      </c>
      <c r="H452" s="1">
        <f>VLOOKUP(A452, [1]Orders!A:B, 2, FALSE)</f>
        <v>43145</v>
      </c>
      <c r="I452" t="str">
        <f>VLOOKUP(A452, [1]Orders!A:E, 3, FALSE)</f>
        <v>Aarushi</v>
      </c>
      <c r="J452" t="str">
        <f>VLOOKUP(A452, [1]Orders!A:E, 4, FALSE)</f>
        <v>Tamil Nadu</v>
      </c>
      <c r="K452" t="str">
        <f>VLOOKUP(A452, [1]Orders!A:E, 5, FALSE)</f>
        <v>Chennai</v>
      </c>
    </row>
    <row r="453" spans="1:11" x14ac:dyDescent="0.5">
      <c r="A453" t="s">
        <v>141</v>
      </c>
      <c r="B453">
        <v>212</v>
      </c>
      <c r="C453">
        <v>-24</v>
      </c>
      <c r="D453">
        <v>2</v>
      </c>
      <c r="E453" t="s">
        <v>12</v>
      </c>
      <c r="F453" t="s">
        <v>13</v>
      </c>
      <c r="G453" t="s">
        <v>10</v>
      </c>
      <c r="H453" s="1">
        <f>VLOOKUP(A453, [1]Orders!A:B, 2, FALSE)</f>
        <v>43326</v>
      </c>
      <c r="I453" t="str">
        <f>VLOOKUP(A453, [1]Orders!A:E, 3, FALSE)</f>
        <v>Priyanshu</v>
      </c>
      <c r="J453" t="str">
        <f>VLOOKUP(A453, [1]Orders!A:E, 4, FALSE)</f>
        <v>Madhya Pradesh</v>
      </c>
      <c r="K453" t="str">
        <f>VLOOKUP(A453, [1]Orders!A:E, 5, FALSE)</f>
        <v>Indore</v>
      </c>
    </row>
    <row r="454" spans="1:11" x14ac:dyDescent="0.5">
      <c r="A454" t="s">
        <v>250</v>
      </c>
      <c r="B454">
        <v>262</v>
      </c>
      <c r="C454">
        <v>64</v>
      </c>
      <c r="D454">
        <v>6</v>
      </c>
      <c r="E454" t="s">
        <v>23</v>
      </c>
      <c r="F454" t="s">
        <v>26</v>
      </c>
      <c r="G454" t="s">
        <v>14</v>
      </c>
      <c r="H454" s="1">
        <f>VLOOKUP(A454, [1]Orders!A:B, 2, FALSE)</f>
        <v>43404</v>
      </c>
      <c r="I454" t="str">
        <f>VLOOKUP(A454, [1]Orders!A:E, 3, FALSE)</f>
        <v>Sneha</v>
      </c>
      <c r="J454" t="str">
        <f>VLOOKUP(A454, [1]Orders!A:E, 4, FALSE)</f>
        <v>Karnataka</v>
      </c>
      <c r="K454" t="str">
        <f>VLOOKUP(A454, [1]Orders!A:E, 5, FALSE)</f>
        <v>Bangalore</v>
      </c>
    </row>
    <row r="455" spans="1:11" x14ac:dyDescent="0.5">
      <c r="A455" t="s">
        <v>36</v>
      </c>
      <c r="B455">
        <v>204</v>
      </c>
      <c r="C455">
        <v>276</v>
      </c>
      <c r="D455">
        <v>3</v>
      </c>
      <c r="E455" t="s">
        <v>12</v>
      </c>
      <c r="F455" t="s">
        <v>16</v>
      </c>
      <c r="G455" t="s">
        <v>10</v>
      </c>
      <c r="H455" s="1">
        <f>VLOOKUP(A455, [1]Orders!A:B, 2, FALSE)</f>
        <v>43332</v>
      </c>
      <c r="I455" t="str">
        <f>VLOOKUP(A455, [1]Orders!A:E, 3, FALSE)</f>
        <v>Mohan</v>
      </c>
      <c r="J455" t="str">
        <f>VLOOKUP(A455, [1]Orders!A:E, 4, FALSE)</f>
        <v>Maharashtra</v>
      </c>
      <c r="K455" t="str">
        <f>VLOOKUP(A455, [1]Orders!A:E, 5, FALSE)</f>
        <v>Mumbai</v>
      </c>
    </row>
    <row r="456" spans="1:11" x14ac:dyDescent="0.5">
      <c r="A456" t="s">
        <v>97</v>
      </c>
      <c r="B456">
        <v>59</v>
      </c>
      <c r="C456">
        <v>-46</v>
      </c>
      <c r="D456">
        <v>7</v>
      </c>
      <c r="E456" t="s">
        <v>23</v>
      </c>
      <c r="F456" t="s">
        <v>81</v>
      </c>
      <c r="G456" t="s">
        <v>28</v>
      </c>
      <c r="H456" s="1">
        <f>VLOOKUP(A456, [1]Orders!A:B, 2, FALSE)</f>
        <v>43353</v>
      </c>
      <c r="I456" t="str">
        <f>VLOOKUP(A456, [1]Orders!A:E, 3, FALSE)</f>
        <v>Aditi</v>
      </c>
      <c r="J456" t="str">
        <f>VLOOKUP(A456, [1]Orders!A:E, 4, FALSE)</f>
        <v>Madhya Pradesh</v>
      </c>
      <c r="K456" t="str">
        <f>VLOOKUP(A456, [1]Orders!A:E, 5, FALSE)</f>
        <v>Indore</v>
      </c>
    </row>
    <row r="457" spans="1:11" x14ac:dyDescent="0.5">
      <c r="A457" t="s">
        <v>141</v>
      </c>
      <c r="B457">
        <v>199</v>
      </c>
      <c r="C457">
        <v>-18</v>
      </c>
      <c r="D457">
        <v>2</v>
      </c>
      <c r="E457" t="s">
        <v>23</v>
      </c>
      <c r="F457" t="s">
        <v>26</v>
      </c>
      <c r="G457" t="s">
        <v>10</v>
      </c>
      <c r="H457" s="1">
        <f>VLOOKUP(A457, [1]Orders!A:B, 2, FALSE)</f>
        <v>43326</v>
      </c>
      <c r="I457" t="str">
        <f>VLOOKUP(A457, [1]Orders!A:E, 3, FALSE)</f>
        <v>Priyanshu</v>
      </c>
      <c r="J457" t="str">
        <f>VLOOKUP(A457, [1]Orders!A:E, 4, FALSE)</f>
        <v>Madhya Pradesh</v>
      </c>
      <c r="K457" t="str">
        <f>VLOOKUP(A457, [1]Orders!A:E, 5, FALSE)</f>
        <v>Indore</v>
      </c>
    </row>
    <row r="458" spans="1:11" x14ac:dyDescent="0.5">
      <c r="A458" t="s">
        <v>310</v>
      </c>
      <c r="B458">
        <v>59</v>
      </c>
      <c r="C458">
        <v>6</v>
      </c>
      <c r="D458">
        <v>1</v>
      </c>
      <c r="E458" t="s">
        <v>8</v>
      </c>
      <c r="F458" t="s">
        <v>73</v>
      </c>
      <c r="G458" t="s">
        <v>28</v>
      </c>
      <c r="H458" s="1">
        <f>VLOOKUP(A458, [1]Orders!A:B, 2, FALSE)</f>
        <v>43391</v>
      </c>
      <c r="I458" t="str">
        <f>VLOOKUP(A458, [1]Orders!A:E, 3, FALSE)</f>
        <v>Rohan</v>
      </c>
      <c r="J458" t="str">
        <f>VLOOKUP(A458, [1]Orders!A:E, 4, FALSE)</f>
        <v>Maharashtra</v>
      </c>
      <c r="K458" t="str">
        <f>VLOOKUP(A458, [1]Orders!A:E, 5, FALSE)</f>
        <v>Mumbai</v>
      </c>
    </row>
    <row r="459" spans="1:11" x14ac:dyDescent="0.5">
      <c r="A459" t="s">
        <v>243</v>
      </c>
      <c r="B459">
        <v>45</v>
      </c>
      <c r="C459">
        <v>9</v>
      </c>
      <c r="D459">
        <v>3</v>
      </c>
      <c r="E459" t="s">
        <v>23</v>
      </c>
      <c r="F459" t="s">
        <v>63</v>
      </c>
      <c r="G459" t="s">
        <v>28</v>
      </c>
      <c r="H459" s="1">
        <f>VLOOKUP(A459, [1]Orders!A:B, 2, FALSE)</f>
        <v>43187</v>
      </c>
      <c r="I459" t="str">
        <f>VLOOKUP(A459, [1]Orders!A:E, 3, FALSE)</f>
        <v>Atharv</v>
      </c>
      <c r="J459" t="str">
        <f>VLOOKUP(A459, [1]Orders!A:E, 4, FALSE)</f>
        <v>West Bengal</v>
      </c>
      <c r="K459" t="str">
        <f>VLOOKUP(A459, [1]Orders!A:E, 5, FALSE)</f>
        <v>Kolkata</v>
      </c>
    </row>
    <row r="460" spans="1:11" x14ac:dyDescent="0.5">
      <c r="A460" t="s">
        <v>104</v>
      </c>
      <c r="B460">
        <v>211</v>
      </c>
      <c r="C460">
        <v>19</v>
      </c>
      <c r="D460">
        <v>8</v>
      </c>
      <c r="E460" t="s">
        <v>23</v>
      </c>
      <c r="F460" t="s">
        <v>57</v>
      </c>
      <c r="G460" t="s">
        <v>10</v>
      </c>
      <c r="H460" s="1">
        <f>VLOOKUP(A460, [1]Orders!A:B, 2, FALSE)</f>
        <v>43333</v>
      </c>
      <c r="I460" t="str">
        <f>VLOOKUP(A460, [1]Orders!A:E, 3, FALSE)</f>
        <v>Vishakha</v>
      </c>
      <c r="J460" t="str">
        <f>VLOOKUP(A460, [1]Orders!A:E, 4, FALSE)</f>
        <v>Madhya Pradesh</v>
      </c>
      <c r="K460" t="str">
        <f>VLOOKUP(A460, [1]Orders!A:E, 5, FALSE)</f>
        <v>Indore</v>
      </c>
    </row>
    <row r="461" spans="1:11" x14ac:dyDescent="0.5">
      <c r="A461" t="s">
        <v>182</v>
      </c>
      <c r="B461">
        <v>65</v>
      </c>
      <c r="C461">
        <v>-16</v>
      </c>
      <c r="D461">
        <v>2</v>
      </c>
      <c r="E461" t="s">
        <v>8</v>
      </c>
      <c r="F461" t="s">
        <v>21</v>
      </c>
      <c r="G461" t="s">
        <v>82</v>
      </c>
      <c r="H461" s="1">
        <f>VLOOKUP(A461, [1]Orders!A:B, 2, FALSE)</f>
        <v>43274</v>
      </c>
      <c r="I461" t="str">
        <f>VLOOKUP(A461, [1]Orders!A:E, 3, FALSE)</f>
        <v>Amisha</v>
      </c>
      <c r="J461" t="str">
        <f>VLOOKUP(A461, [1]Orders!A:E, 4, FALSE)</f>
        <v>Tamil Nadu</v>
      </c>
      <c r="K461" t="str">
        <f>VLOOKUP(A461, [1]Orders!A:E, 5, FALSE)</f>
        <v>Chennai</v>
      </c>
    </row>
    <row r="462" spans="1:11" x14ac:dyDescent="0.5">
      <c r="A462" t="s">
        <v>62</v>
      </c>
      <c r="B462">
        <v>25</v>
      </c>
      <c r="C462">
        <v>0</v>
      </c>
      <c r="D462">
        <v>4</v>
      </c>
      <c r="E462" t="s">
        <v>23</v>
      </c>
      <c r="F462" t="s">
        <v>43</v>
      </c>
      <c r="G462" t="s">
        <v>28</v>
      </c>
      <c r="H462" s="1">
        <f>VLOOKUP(A462, [1]Orders!A:B, 2, FALSE)</f>
        <v>43286</v>
      </c>
      <c r="I462" t="str">
        <f>VLOOKUP(A462, [1]Orders!A:E, 3, FALSE)</f>
        <v>Megha</v>
      </c>
      <c r="J462" t="str">
        <f>VLOOKUP(A462, [1]Orders!A:E, 4, FALSE)</f>
        <v>Maharashtra</v>
      </c>
      <c r="K462" t="str">
        <f>VLOOKUP(A462, [1]Orders!A:E, 5, FALSE)</f>
        <v>Pune</v>
      </c>
    </row>
    <row r="463" spans="1:11" x14ac:dyDescent="0.5">
      <c r="A463" t="s">
        <v>311</v>
      </c>
      <c r="B463">
        <v>196</v>
      </c>
      <c r="C463">
        <v>-7</v>
      </c>
      <c r="D463">
        <v>5</v>
      </c>
      <c r="E463" t="s">
        <v>8</v>
      </c>
      <c r="F463" t="s">
        <v>21</v>
      </c>
      <c r="G463" t="s">
        <v>10</v>
      </c>
      <c r="H463" s="1">
        <f>VLOOKUP(A463, [1]Orders!A:B, 2, FALSE)</f>
        <v>43134</v>
      </c>
      <c r="I463" t="str">
        <f>VLOOKUP(A463, [1]Orders!A:E, 3, FALSE)</f>
        <v>Omkar</v>
      </c>
      <c r="J463" t="str">
        <f>VLOOKUP(A463, [1]Orders!A:E, 4, FALSE)</f>
        <v>Delhi</v>
      </c>
      <c r="K463" t="str">
        <f>VLOOKUP(A463, [1]Orders!A:E, 5, FALSE)</f>
        <v>Delhi</v>
      </c>
    </row>
    <row r="464" spans="1:11" x14ac:dyDescent="0.5">
      <c r="A464" t="s">
        <v>46</v>
      </c>
      <c r="B464">
        <v>261</v>
      </c>
      <c r="C464">
        <v>13</v>
      </c>
      <c r="D464">
        <v>6</v>
      </c>
      <c r="E464" t="s">
        <v>23</v>
      </c>
      <c r="F464" t="s">
        <v>142</v>
      </c>
      <c r="G464" t="s">
        <v>19</v>
      </c>
      <c r="H464" s="1">
        <f>VLOOKUP(A464, [1]Orders!A:B, 2, FALSE)</f>
        <v>43113</v>
      </c>
      <c r="I464" t="str">
        <f>VLOOKUP(A464, [1]Orders!A:E, 3, FALSE)</f>
        <v>Shruti</v>
      </c>
      <c r="J464" t="str">
        <f>VLOOKUP(A464, [1]Orders!A:E, 4, FALSE)</f>
        <v>Madhya Pradesh</v>
      </c>
      <c r="K464" t="str">
        <f>VLOOKUP(A464, [1]Orders!A:E, 5, FALSE)</f>
        <v>Indore</v>
      </c>
    </row>
    <row r="465" spans="1:11" x14ac:dyDescent="0.5">
      <c r="A465" t="s">
        <v>117</v>
      </c>
      <c r="B465">
        <v>195</v>
      </c>
      <c r="C465">
        <v>-117</v>
      </c>
      <c r="D465">
        <v>5</v>
      </c>
      <c r="E465" t="s">
        <v>8</v>
      </c>
      <c r="F465" t="s">
        <v>21</v>
      </c>
      <c r="G465" t="s">
        <v>10</v>
      </c>
      <c r="H465" s="1">
        <f>VLOOKUP(A465, [1]Orders!A:B, 2, FALSE)</f>
        <v>43228</v>
      </c>
      <c r="I465" t="str">
        <f>VLOOKUP(A465, [1]Orders!A:E, 3, FALSE)</f>
        <v>Farah</v>
      </c>
      <c r="J465" t="str">
        <f>VLOOKUP(A465, [1]Orders!A:E, 4, FALSE)</f>
        <v>Nagaland</v>
      </c>
      <c r="K465" t="str">
        <f>VLOOKUP(A465, [1]Orders!A:E, 5, FALSE)</f>
        <v>Kohima</v>
      </c>
    </row>
    <row r="466" spans="1:11" x14ac:dyDescent="0.5">
      <c r="A466" t="s">
        <v>166</v>
      </c>
      <c r="B466">
        <v>192</v>
      </c>
      <c r="C466">
        <v>-146</v>
      </c>
      <c r="D466">
        <v>3</v>
      </c>
      <c r="E466" t="s">
        <v>23</v>
      </c>
      <c r="F466" t="s">
        <v>26</v>
      </c>
      <c r="G466" t="s">
        <v>10</v>
      </c>
      <c r="H466" s="1">
        <f>VLOOKUP(A466, [1]Orders!A:B, 2, FALSE)</f>
        <v>43358</v>
      </c>
      <c r="I466" t="str">
        <f>VLOOKUP(A466, [1]Orders!A:E, 3, FALSE)</f>
        <v>Ayush</v>
      </c>
      <c r="J466" t="str">
        <f>VLOOKUP(A466, [1]Orders!A:E, 4, FALSE)</f>
        <v>West Bengal</v>
      </c>
      <c r="K466" t="str">
        <f>VLOOKUP(A466, [1]Orders!A:E, 5, FALSE)</f>
        <v>Kolkata</v>
      </c>
    </row>
    <row r="467" spans="1:11" x14ac:dyDescent="0.5">
      <c r="A467" t="s">
        <v>312</v>
      </c>
      <c r="B467">
        <v>189</v>
      </c>
      <c r="C467">
        <v>87</v>
      </c>
      <c r="D467">
        <v>7</v>
      </c>
      <c r="E467" t="s">
        <v>23</v>
      </c>
      <c r="F467" t="s">
        <v>57</v>
      </c>
      <c r="G467" t="s">
        <v>10</v>
      </c>
      <c r="H467" s="1">
        <f>VLOOKUP(A467, [1]Orders!A:B, 2, FALSE)</f>
        <v>43419</v>
      </c>
      <c r="I467" t="str">
        <f>VLOOKUP(A467, [1]Orders!A:E, 3, FALSE)</f>
        <v>Manibalan</v>
      </c>
      <c r="J467" t="str">
        <f>VLOOKUP(A467, [1]Orders!A:E, 4, FALSE)</f>
        <v xml:space="preserve">Kerala </v>
      </c>
      <c r="K467" t="str">
        <f>VLOOKUP(A467, [1]Orders!A:E, 5, FALSE)</f>
        <v>Thiruvananthapuram</v>
      </c>
    </row>
    <row r="468" spans="1:11" x14ac:dyDescent="0.5">
      <c r="A468" t="s">
        <v>157</v>
      </c>
      <c r="B468">
        <v>32</v>
      </c>
      <c r="C468">
        <v>2</v>
      </c>
      <c r="D468">
        <v>2</v>
      </c>
      <c r="E468" t="s">
        <v>23</v>
      </c>
      <c r="F468" t="s">
        <v>32</v>
      </c>
      <c r="G468" t="s">
        <v>28</v>
      </c>
      <c r="H468" s="1">
        <f>VLOOKUP(A468, [1]Orders!A:B, 2, FALSE)</f>
        <v>43118</v>
      </c>
      <c r="I468" t="str">
        <f>VLOOKUP(A468, [1]Orders!A:E, 3, FALSE)</f>
        <v>Muskan</v>
      </c>
      <c r="J468" t="str">
        <f>VLOOKUP(A468, [1]Orders!A:E, 4, FALSE)</f>
        <v>Madhya Pradesh</v>
      </c>
      <c r="K468" t="str">
        <f>VLOOKUP(A468, [1]Orders!A:E, 5, FALSE)</f>
        <v>Indore</v>
      </c>
    </row>
    <row r="469" spans="1:11" x14ac:dyDescent="0.5">
      <c r="A469" t="s">
        <v>69</v>
      </c>
      <c r="B469">
        <v>188</v>
      </c>
      <c r="C469">
        <v>13</v>
      </c>
      <c r="D469">
        <v>7</v>
      </c>
      <c r="E469" t="s">
        <v>23</v>
      </c>
      <c r="F469" t="s">
        <v>142</v>
      </c>
      <c r="G469" t="s">
        <v>10</v>
      </c>
      <c r="H469" s="1">
        <f>VLOOKUP(A469, [1]Orders!A:B, 2, FALSE)</f>
        <v>43134</v>
      </c>
      <c r="I469" t="str">
        <f>VLOOKUP(A469, [1]Orders!A:E, 3, FALSE)</f>
        <v>Mansi</v>
      </c>
      <c r="J469" t="str">
        <f>VLOOKUP(A469, [1]Orders!A:E, 4, FALSE)</f>
        <v>Madhya Pradesh</v>
      </c>
      <c r="K469" t="str">
        <f>VLOOKUP(A469, [1]Orders!A:E, 5, FALSE)</f>
        <v>Indore</v>
      </c>
    </row>
    <row r="470" spans="1:11" x14ac:dyDescent="0.5">
      <c r="A470" t="s">
        <v>313</v>
      </c>
      <c r="B470">
        <v>73</v>
      </c>
      <c r="C470">
        <v>-25</v>
      </c>
      <c r="D470">
        <v>3</v>
      </c>
      <c r="E470" t="s">
        <v>23</v>
      </c>
      <c r="F470" t="s">
        <v>26</v>
      </c>
      <c r="G470" t="s">
        <v>10</v>
      </c>
      <c r="H470" s="1">
        <f>VLOOKUP(A470, [1]Orders!A:B, 2, FALSE)</f>
        <v>43255</v>
      </c>
      <c r="I470" t="str">
        <f>VLOOKUP(A470, [1]Orders!A:E, 3, FALSE)</f>
        <v>Aayushi</v>
      </c>
      <c r="J470" t="str">
        <f>VLOOKUP(A470, [1]Orders!A:E, 4, FALSE)</f>
        <v>Madhya Pradesh</v>
      </c>
      <c r="K470" t="str">
        <f>VLOOKUP(A470, [1]Orders!A:E, 5, FALSE)</f>
        <v>Indore</v>
      </c>
    </row>
    <row r="471" spans="1:11" x14ac:dyDescent="0.5">
      <c r="A471" t="s">
        <v>44</v>
      </c>
      <c r="B471">
        <v>259</v>
      </c>
      <c r="C471">
        <v>47</v>
      </c>
      <c r="D471">
        <v>5</v>
      </c>
      <c r="E471" t="s">
        <v>23</v>
      </c>
      <c r="F471" t="s">
        <v>30</v>
      </c>
      <c r="G471" t="s">
        <v>19</v>
      </c>
      <c r="H471" s="1">
        <f>VLOOKUP(A471, [1]Orders!A:B, 2, FALSE)</f>
        <v>43448</v>
      </c>
      <c r="I471" t="str">
        <f>VLOOKUP(A471, [1]Orders!A:E, 3, FALSE)</f>
        <v>Jay</v>
      </c>
      <c r="J471" t="str">
        <f>VLOOKUP(A471, [1]Orders!A:E, 4, FALSE)</f>
        <v>Delhi</v>
      </c>
      <c r="K471" t="str">
        <f>VLOOKUP(A471, [1]Orders!A:E, 5, FALSE)</f>
        <v>Delhi</v>
      </c>
    </row>
    <row r="472" spans="1:11" x14ac:dyDescent="0.5">
      <c r="A472" t="s">
        <v>314</v>
      </c>
      <c r="B472">
        <v>187</v>
      </c>
      <c r="C472">
        <v>-15</v>
      </c>
      <c r="D472">
        <v>3</v>
      </c>
      <c r="E472" t="s">
        <v>23</v>
      </c>
      <c r="F472" t="s">
        <v>24</v>
      </c>
      <c r="G472" t="s">
        <v>10</v>
      </c>
      <c r="H472" s="1">
        <f>VLOOKUP(A472, [1]Orders!A:B, 2, FALSE)</f>
        <v>43313</v>
      </c>
      <c r="I472" t="str">
        <f>VLOOKUP(A472, [1]Orders!A:E, 3, FALSE)</f>
        <v>Shubham</v>
      </c>
      <c r="J472" t="str">
        <f>VLOOKUP(A472, [1]Orders!A:E, 4, FALSE)</f>
        <v>Madhya Pradesh</v>
      </c>
      <c r="K472" t="str">
        <f>VLOOKUP(A472, [1]Orders!A:E, 5, FALSE)</f>
        <v>Indore</v>
      </c>
    </row>
    <row r="473" spans="1:11" x14ac:dyDescent="0.5">
      <c r="A473" t="s">
        <v>41</v>
      </c>
      <c r="B473">
        <v>26</v>
      </c>
      <c r="C473">
        <v>11</v>
      </c>
      <c r="D473">
        <v>2</v>
      </c>
      <c r="E473" t="s">
        <v>23</v>
      </c>
      <c r="F473" t="s">
        <v>30</v>
      </c>
      <c r="G473" t="s">
        <v>28</v>
      </c>
      <c r="H473" s="1">
        <f>VLOOKUP(A473, [1]Orders!A:B, 2, FALSE)</f>
        <v>43412</v>
      </c>
      <c r="I473" t="str">
        <f>VLOOKUP(A473, [1]Orders!A:E, 3, FALSE)</f>
        <v>Gaurav</v>
      </c>
      <c r="J473" t="str">
        <f>VLOOKUP(A473, [1]Orders!A:E, 4, FALSE)</f>
        <v>Gujarat</v>
      </c>
      <c r="K473" t="str">
        <f>VLOOKUP(A473, [1]Orders!A:E, 5, FALSE)</f>
        <v>Ahmedabad</v>
      </c>
    </row>
    <row r="474" spans="1:11" x14ac:dyDescent="0.5">
      <c r="A474" t="s">
        <v>61</v>
      </c>
      <c r="B474">
        <v>185</v>
      </c>
      <c r="C474">
        <v>-26</v>
      </c>
      <c r="D474">
        <v>6</v>
      </c>
      <c r="E474" t="s">
        <v>12</v>
      </c>
      <c r="F474" t="s">
        <v>13</v>
      </c>
      <c r="G474" t="s">
        <v>10</v>
      </c>
      <c r="H474" s="1">
        <f>VLOOKUP(A474, [1]Orders!A:B, 2, FALSE)</f>
        <v>43187</v>
      </c>
      <c r="I474" t="str">
        <f>VLOOKUP(A474, [1]Orders!A:E, 3, FALSE)</f>
        <v>Vini</v>
      </c>
      <c r="J474" t="str">
        <f>VLOOKUP(A474, [1]Orders!A:E, 4, FALSE)</f>
        <v>Karnataka</v>
      </c>
      <c r="K474" t="str">
        <f>VLOOKUP(A474, [1]Orders!A:E, 5, FALSE)</f>
        <v>Bangalore</v>
      </c>
    </row>
    <row r="475" spans="1:11" x14ac:dyDescent="0.5">
      <c r="A475" t="s">
        <v>315</v>
      </c>
      <c r="B475">
        <v>248</v>
      </c>
      <c r="C475">
        <v>8</v>
      </c>
      <c r="D475">
        <v>2</v>
      </c>
      <c r="E475" t="s">
        <v>23</v>
      </c>
      <c r="F475" t="s">
        <v>26</v>
      </c>
      <c r="G475" t="s">
        <v>19</v>
      </c>
      <c r="H475" s="1">
        <f>VLOOKUP(A475, [1]Orders!A:B, 2, FALSE)</f>
        <v>43428</v>
      </c>
      <c r="I475" t="str">
        <f>VLOOKUP(A475, [1]Orders!A:E, 3, FALSE)</f>
        <v>Divyeshkumar</v>
      </c>
      <c r="J475" t="str">
        <f>VLOOKUP(A475, [1]Orders!A:E, 4, FALSE)</f>
        <v>Uttar Pradesh</v>
      </c>
      <c r="K475" t="str">
        <f>VLOOKUP(A475, [1]Orders!A:E, 5, FALSE)</f>
        <v>Prayagraj</v>
      </c>
    </row>
    <row r="476" spans="1:11" x14ac:dyDescent="0.5">
      <c r="A476" t="s">
        <v>316</v>
      </c>
      <c r="B476">
        <v>67</v>
      </c>
      <c r="C476">
        <v>9</v>
      </c>
      <c r="D476">
        <v>4</v>
      </c>
      <c r="E476" t="s">
        <v>23</v>
      </c>
      <c r="F476" t="s">
        <v>63</v>
      </c>
      <c r="G476" t="s">
        <v>82</v>
      </c>
      <c r="H476" s="1">
        <f>VLOOKUP(A476, [1]Orders!A:B, 2, FALSE)</f>
        <v>43153</v>
      </c>
      <c r="I476" t="str">
        <f>VLOOKUP(A476, [1]Orders!A:E, 3, FALSE)</f>
        <v>Deepak</v>
      </c>
      <c r="J476" t="str">
        <f>VLOOKUP(A476, [1]Orders!A:E, 4, FALSE)</f>
        <v>Madhya Pradesh</v>
      </c>
      <c r="K476" t="str">
        <f>VLOOKUP(A476, [1]Orders!A:E, 5, FALSE)</f>
        <v>Bhopal</v>
      </c>
    </row>
    <row r="477" spans="1:11" x14ac:dyDescent="0.5">
      <c r="A477" t="s">
        <v>289</v>
      </c>
      <c r="B477">
        <v>248</v>
      </c>
      <c r="C477">
        <v>-70</v>
      </c>
      <c r="D477">
        <v>3</v>
      </c>
      <c r="E477" t="s">
        <v>12</v>
      </c>
      <c r="F477" t="s">
        <v>13</v>
      </c>
      <c r="G477" t="s">
        <v>19</v>
      </c>
      <c r="H477" s="1">
        <f>VLOOKUP(A477, [1]Orders!A:B, 2, FALSE)</f>
        <v>43349</v>
      </c>
      <c r="I477" t="str">
        <f>VLOOKUP(A477, [1]Orders!A:E, 3, FALSE)</f>
        <v>Shreya</v>
      </c>
      <c r="J477" t="str">
        <f>VLOOKUP(A477, [1]Orders!A:E, 4, FALSE)</f>
        <v xml:space="preserve">Kerala </v>
      </c>
      <c r="K477" t="str">
        <f>VLOOKUP(A477, [1]Orders!A:E, 5, FALSE)</f>
        <v>Thiruvananthapuram</v>
      </c>
    </row>
    <row r="478" spans="1:11" x14ac:dyDescent="0.5">
      <c r="A478" t="s">
        <v>250</v>
      </c>
      <c r="B478">
        <v>246</v>
      </c>
      <c r="C478">
        <v>61</v>
      </c>
      <c r="D478">
        <v>2</v>
      </c>
      <c r="E478" t="s">
        <v>12</v>
      </c>
      <c r="F478" t="s">
        <v>16</v>
      </c>
      <c r="G478" t="s">
        <v>19</v>
      </c>
      <c r="H478" s="1">
        <f>VLOOKUP(A478, [1]Orders!A:B, 2, FALSE)</f>
        <v>43404</v>
      </c>
      <c r="I478" t="str">
        <f>VLOOKUP(A478, [1]Orders!A:E, 3, FALSE)</f>
        <v>Sneha</v>
      </c>
      <c r="J478" t="str">
        <f>VLOOKUP(A478, [1]Orders!A:E, 4, FALSE)</f>
        <v>Karnataka</v>
      </c>
      <c r="K478" t="str">
        <f>VLOOKUP(A478, [1]Orders!A:E, 5, FALSE)</f>
        <v>Bangalore</v>
      </c>
    </row>
    <row r="479" spans="1:11" x14ac:dyDescent="0.5">
      <c r="A479" t="s">
        <v>317</v>
      </c>
      <c r="B479">
        <v>179</v>
      </c>
      <c r="C479">
        <v>-25</v>
      </c>
      <c r="D479">
        <v>5</v>
      </c>
      <c r="E479" t="s">
        <v>23</v>
      </c>
      <c r="F479" t="s">
        <v>32</v>
      </c>
      <c r="G479" t="s">
        <v>10</v>
      </c>
      <c r="H479" s="1">
        <f>VLOOKUP(A479, [1]Orders!A:B, 2, FALSE)</f>
        <v>43446</v>
      </c>
      <c r="I479" t="str">
        <f>VLOOKUP(A479, [1]Orders!A:E, 3, FALSE)</f>
        <v>Pradeep</v>
      </c>
      <c r="J479" t="str">
        <f>VLOOKUP(A479, [1]Orders!A:E, 4, FALSE)</f>
        <v>Delhi</v>
      </c>
      <c r="K479" t="str">
        <f>VLOOKUP(A479, [1]Orders!A:E, 5, FALSE)</f>
        <v>Delhi</v>
      </c>
    </row>
    <row r="480" spans="1:11" x14ac:dyDescent="0.5">
      <c r="A480" t="s">
        <v>318</v>
      </c>
      <c r="B480">
        <v>176</v>
      </c>
      <c r="C480">
        <v>-28</v>
      </c>
      <c r="D480">
        <v>5</v>
      </c>
      <c r="E480" t="s">
        <v>12</v>
      </c>
      <c r="F480" t="s">
        <v>131</v>
      </c>
      <c r="G480" t="s">
        <v>10</v>
      </c>
      <c r="H480" s="1">
        <f>VLOOKUP(A480, [1]Orders!A:B, 2, FALSE)</f>
        <v>43158</v>
      </c>
      <c r="I480" t="str">
        <f>VLOOKUP(A480, [1]Orders!A:E, 3, FALSE)</f>
        <v>Ritu</v>
      </c>
      <c r="J480" t="str">
        <f>VLOOKUP(A480, [1]Orders!A:E, 4, FALSE)</f>
        <v>Haryana</v>
      </c>
      <c r="K480" t="str">
        <f>VLOOKUP(A480, [1]Orders!A:E, 5, FALSE)</f>
        <v>Chandigarh</v>
      </c>
    </row>
    <row r="481" spans="1:11" x14ac:dyDescent="0.5">
      <c r="A481" t="s">
        <v>299</v>
      </c>
      <c r="B481">
        <v>176</v>
      </c>
      <c r="C481">
        <v>-13</v>
      </c>
      <c r="D481">
        <v>5</v>
      </c>
      <c r="E481" t="s">
        <v>12</v>
      </c>
      <c r="F481" t="s">
        <v>131</v>
      </c>
      <c r="G481" t="s">
        <v>10</v>
      </c>
      <c r="H481" s="1">
        <f>VLOOKUP(A481, [1]Orders!A:B, 2, FALSE)</f>
        <v>43142</v>
      </c>
      <c r="I481" t="str">
        <f>VLOOKUP(A481, [1]Orders!A:E, 3, FALSE)</f>
        <v>Kartikay</v>
      </c>
      <c r="J481" t="str">
        <f>VLOOKUP(A481, [1]Orders!A:E, 4, FALSE)</f>
        <v>Bihar</v>
      </c>
      <c r="K481" t="str">
        <f>VLOOKUP(A481, [1]Orders!A:E, 5, FALSE)</f>
        <v>Patna</v>
      </c>
    </row>
    <row r="482" spans="1:11" x14ac:dyDescent="0.5">
      <c r="A482" t="s">
        <v>78</v>
      </c>
      <c r="B482">
        <v>68</v>
      </c>
      <c r="C482">
        <v>-62</v>
      </c>
      <c r="D482">
        <v>2</v>
      </c>
      <c r="E482" t="s">
        <v>23</v>
      </c>
      <c r="F482" t="s">
        <v>24</v>
      </c>
      <c r="G482" t="s">
        <v>82</v>
      </c>
      <c r="H482" s="1">
        <f>VLOOKUP(A482, [1]Orders!A:B, 2, FALSE)</f>
        <v>43217</v>
      </c>
      <c r="I482" t="str">
        <f>VLOOKUP(A482, [1]Orders!A:E, 3, FALSE)</f>
        <v>Paridhi</v>
      </c>
      <c r="J482" t="str">
        <f>VLOOKUP(A482, [1]Orders!A:E, 4, FALSE)</f>
        <v>Rajasthan</v>
      </c>
      <c r="K482" t="str">
        <f>VLOOKUP(A482, [1]Orders!A:E, 5, FALSE)</f>
        <v>Jaipur</v>
      </c>
    </row>
    <row r="483" spans="1:11" x14ac:dyDescent="0.5">
      <c r="A483" t="s">
        <v>319</v>
      </c>
      <c r="B483">
        <v>176</v>
      </c>
      <c r="C483">
        <v>37</v>
      </c>
      <c r="D483">
        <v>6</v>
      </c>
      <c r="E483" t="s">
        <v>8</v>
      </c>
      <c r="F483" t="s">
        <v>73</v>
      </c>
      <c r="G483" t="s">
        <v>10</v>
      </c>
      <c r="H483" s="1">
        <f>VLOOKUP(A483, [1]Orders!A:B, 2, FALSE)</f>
        <v>43367</v>
      </c>
      <c r="I483" t="str">
        <f>VLOOKUP(A483, [1]Orders!A:E, 3, FALSE)</f>
        <v>Aditya</v>
      </c>
      <c r="J483" t="str">
        <f>VLOOKUP(A483, [1]Orders!A:E, 4, FALSE)</f>
        <v>Himachal Pradesh</v>
      </c>
      <c r="K483" t="str">
        <f>VLOOKUP(A483, [1]Orders!A:E, 5, FALSE)</f>
        <v>Simla</v>
      </c>
    </row>
    <row r="484" spans="1:11" x14ac:dyDescent="0.5">
      <c r="A484" t="s">
        <v>248</v>
      </c>
      <c r="B484">
        <v>88</v>
      </c>
      <c r="C484">
        <v>11</v>
      </c>
      <c r="D484">
        <v>7</v>
      </c>
      <c r="E484" t="s">
        <v>23</v>
      </c>
      <c r="F484" t="s">
        <v>30</v>
      </c>
      <c r="G484" t="s">
        <v>28</v>
      </c>
      <c r="H484" s="1">
        <f>VLOOKUP(A484, [1]Orders!A:B, 2, FALSE)</f>
        <v>43131</v>
      </c>
      <c r="I484" t="str">
        <f>VLOOKUP(A484, [1]Orders!A:E, 3, FALSE)</f>
        <v>Manjiri</v>
      </c>
      <c r="J484" t="str">
        <f>VLOOKUP(A484, [1]Orders!A:E, 4, FALSE)</f>
        <v>Delhi</v>
      </c>
      <c r="K484" t="str">
        <f>VLOOKUP(A484, [1]Orders!A:E, 5, FALSE)</f>
        <v>Delhi</v>
      </c>
    </row>
    <row r="485" spans="1:11" x14ac:dyDescent="0.5">
      <c r="A485" t="s">
        <v>320</v>
      </c>
      <c r="B485">
        <v>68</v>
      </c>
      <c r="C485">
        <v>20</v>
      </c>
      <c r="D485">
        <v>5</v>
      </c>
      <c r="E485" t="s">
        <v>23</v>
      </c>
      <c r="F485" t="s">
        <v>30</v>
      </c>
      <c r="G485" t="s">
        <v>82</v>
      </c>
      <c r="H485" s="1">
        <f>VLOOKUP(A485, [1]Orders!A:B, 2, FALSE)</f>
        <v>43205</v>
      </c>
      <c r="I485" t="str">
        <f>VLOOKUP(A485, [1]Orders!A:E, 3, FALSE)</f>
        <v>Bhavna</v>
      </c>
      <c r="J485" t="str">
        <f>VLOOKUP(A485, [1]Orders!A:E, 4, FALSE)</f>
        <v>Sikkim</v>
      </c>
      <c r="K485" t="str">
        <f>VLOOKUP(A485, [1]Orders!A:E, 5, FALSE)</f>
        <v>Gangtok</v>
      </c>
    </row>
    <row r="486" spans="1:11" x14ac:dyDescent="0.5">
      <c r="A486" t="s">
        <v>321</v>
      </c>
      <c r="B486">
        <v>231</v>
      </c>
      <c r="C486">
        <v>99</v>
      </c>
      <c r="D486">
        <v>2</v>
      </c>
      <c r="E486" t="s">
        <v>8</v>
      </c>
      <c r="F486" t="s">
        <v>9</v>
      </c>
      <c r="G486" t="s">
        <v>19</v>
      </c>
      <c r="H486" s="1">
        <f>VLOOKUP(A486, [1]Orders!A:B, 2, FALSE)</f>
        <v>43135</v>
      </c>
      <c r="I486" t="str">
        <f>VLOOKUP(A486, [1]Orders!A:E, 3, FALSE)</f>
        <v>Yogesh</v>
      </c>
      <c r="J486" t="str">
        <f>VLOOKUP(A486, [1]Orders!A:E, 4, FALSE)</f>
        <v>Maharashtra</v>
      </c>
      <c r="K486" t="str">
        <f>VLOOKUP(A486, [1]Orders!A:E, 5, FALSE)</f>
        <v>Pune</v>
      </c>
    </row>
    <row r="487" spans="1:11" x14ac:dyDescent="0.5">
      <c r="A487" t="s">
        <v>264</v>
      </c>
      <c r="B487">
        <v>62</v>
      </c>
      <c r="C487">
        <v>8</v>
      </c>
      <c r="D487">
        <v>2</v>
      </c>
      <c r="E487" t="s">
        <v>23</v>
      </c>
      <c r="F487" t="s">
        <v>81</v>
      </c>
      <c r="G487" t="s">
        <v>28</v>
      </c>
      <c r="H487" s="1">
        <f>VLOOKUP(A487, [1]Orders!A:B, 2, FALSE)</f>
        <v>43128</v>
      </c>
      <c r="I487" t="str">
        <f>VLOOKUP(A487, [1]Orders!A:E, 3, FALSE)</f>
        <v>Amruta</v>
      </c>
      <c r="J487" t="str">
        <f>VLOOKUP(A487, [1]Orders!A:E, 4, FALSE)</f>
        <v>Delhi</v>
      </c>
      <c r="K487" t="str">
        <f>VLOOKUP(A487, [1]Orders!A:E, 5, FALSE)</f>
        <v>Delhi</v>
      </c>
    </row>
    <row r="488" spans="1:11" x14ac:dyDescent="0.5">
      <c r="A488" t="s">
        <v>222</v>
      </c>
      <c r="B488">
        <v>175</v>
      </c>
      <c r="C488">
        <v>77</v>
      </c>
      <c r="D488">
        <v>3</v>
      </c>
      <c r="E488" t="s">
        <v>23</v>
      </c>
      <c r="F488" t="s">
        <v>26</v>
      </c>
      <c r="G488" t="s">
        <v>10</v>
      </c>
      <c r="H488" s="1">
        <f>VLOOKUP(A488, [1]Orders!A:B, 2, FALSE)</f>
        <v>43367</v>
      </c>
      <c r="I488" t="str">
        <f>VLOOKUP(A488, [1]Orders!A:E, 3, FALSE)</f>
        <v>Avish</v>
      </c>
      <c r="J488" t="str">
        <f>VLOOKUP(A488, [1]Orders!A:E, 4, FALSE)</f>
        <v xml:space="preserve">Kerala </v>
      </c>
      <c r="K488" t="str">
        <f>VLOOKUP(A488, [1]Orders!A:E, 5, FALSE)</f>
        <v>Thiruvananthapuram</v>
      </c>
    </row>
    <row r="489" spans="1:11" x14ac:dyDescent="0.5">
      <c r="A489" t="s">
        <v>130</v>
      </c>
      <c r="B489">
        <v>71</v>
      </c>
      <c r="C489">
        <v>4</v>
      </c>
      <c r="D489">
        <v>5</v>
      </c>
      <c r="E489" t="s">
        <v>23</v>
      </c>
      <c r="F489" t="s">
        <v>63</v>
      </c>
      <c r="G489" t="s">
        <v>82</v>
      </c>
      <c r="H489" s="1">
        <f>VLOOKUP(A489, [1]Orders!A:B, 2, FALSE)</f>
        <v>43131</v>
      </c>
      <c r="I489" t="str">
        <f>VLOOKUP(A489, [1]Orders!A:E, 3, FALSE)</f>
        <v>Shweta</v>
      </c>
      <c r="J489" t="str">
        <f>VLOOKUP(A489, [1]Orders!A:E, 4, FALSE)</f>
        <v>Rajasthan</v>
      </c>
      <c r="K489" t="str">
        <f>VLOOKUP(A489, [1]Orders!A:E, 5, FALSE)</f>
        <v>Udaipur</v>
      </c>
    </row>
    <row r="490" spans="1:11" x14ac:dyDescent="0.5">
      <c r="A490" t="s">
        <v>308</v>
      </c>
      <c r="B490">
        <v>174</v>
      </c>
      <c r="C490">
        <v>-70</v>
      </c>
      <c r="D490">
        <v>3</v>
      </c>
      <c r="E490" t="s">
        <v>8</v>
      </c>
      <c r="F490" t="s">
        <v>73</v>
      </c>
      <c r="G490" t="s">
        <v>10</v>
      </c>
      <c r="H490" s="1">
        <f>VLOOKUP(A490, [1]Orders!A:B, 2, FALSE)</f>
        <v>43228</v>
      </c>
      <c r="I490" t="str">
        <f>VLOOKUP(A490, [1]Orders!A:E, 3, FALSE)</f>
        <v>Tushina</v>
      </c>
      <c r="J490" t="str">
        <f>VLOOKUP(A490, [1]Orders!A:E, 4, FALSE)</f>
        <v>Goa</v>
      </c>
      <c r="K490" t="str">
        <f>VLOOKUP(A490, [1]Orders!A:E, 5, FALSE)</f>
        <v>Goa</v>
      </c>
    </row>
    <row r="491" spans="1:11" x14ac:dyDescent="0.5">
      <c r="A491" t="s">
        <v>133</v>
      </c>
      <c r="B491">
        <v>173</v>
      </c>
      <c r="C491">
        <v>69</v>
      </c>
      <c r="D491">
        <v>3</v>
      </c>
      <c r="E491" t="s">
        <v>12</v>
      </c>
      <c r="F491" t="s">
        <v>13</v>
      </c>
      <c r="G491" t="s">
        <v>10</v>
      </c>
      <c r="H491" s="1">
        <f>VLOOKUP(A491, [1]Orders!A:B, 2, FALSE)</f>
        <v>43113</v>
      </c>
      <c r="I491" t="str">
        <f>VLOOKUP(A491, [1]Orders!A:E, 3, FALSE)</f>
        <v>Priyanka</v>
      </c>
      <c r="J491" t="str">
        <f>VLOOKUP(A491, [1]Orders!A:E, 4, FALSE)</f>
        <v>Madhya Pradesh</v>
      </c>
      <c r="K491" t="str">
        <f>VLOOKUP(A491, [1]Orders!A:E, 5, FALSE)</f>
        <v>Indore</v>
      </c>
    </row>
    <row r="492" spans="1:11" x14ac:dyDescent="0.5">
      <c r="A492" t="s">
        <v>115</v>
      </c>
      <c r="B492">
        <v>171</v>
      </c>
      <c r="C492">
        <v>2</v>
      </c>
      <c r="D492">
        <v>2</v>
      </c>
      <c r="E492" t="s">
        <v>8</v>
      </c>
      <c r="F492" t="s">
        <v>9</v>
      </c>
      <c r="G492" t="s">
        <v>10</v>
      </c>
      <c r="H492" s="1">
        <f>VLOOKUP(A492, [1]Orders!A:B, 2, FALSE)</f>
        <v>43441</v>
      </c>
      <c r="I492" t="str">
        <f>VLOOKUP(A492, [1]Orders!A:E, 3, FALSE)</f>
        <v>Abhishek</v>
      </c>
      <c r="J492" t="str">
        <f>VLOOKUP(A492, [1]Orders!A:E, 4, FALSE)</f>
        <v>Rajasthan</v>
      </c>
      <c r="K492" t="str">
        <f>VLOOKUP(A492, [1]Orders!A:E, 5, FALSE)</f>
        <v>Udaipur</v>
      </c>
    </row>
    <row r="493" spans="1:11" x14ac:dyDescent="0.5">
      <c r="A493" t="s">
        <v>166</v>
      </c>
      <c r="B493">
        <v>268</v>
      </c>
      <c r="C493">
        <v>-25</v>
      </c>
      <c r="D493">
        <v>3</v>
      </c>
      <c r="E493" t="s">
        <v>23</v>
      </c>
      <c r="F493" t="s">
        <v>26</v>
      </c>
      <c r="G493" t="s">
        <v>10</v>
      </c>
      <c r="H493" s="1">
        <f>VLOOKUP(A493, [1]Orders!A:B, 2, FALSE)</f>
        <v>43358</v>
      </c>
      <c r="I493" t="str">
        <f>VLOOKUP(A493, [1]Orders!A:E, 3, FALSE)</f>
        <v>Ayush</v>
      </c>
      <c r="J493" t="str">
        <f>VLOOKUP(A493, [1]Orders!A:E, 4, FALSE)</f>
        <v>West Bengal</v>
      </c>
      <c r="K493" t="str">
        <f>VLOOKUP(A493, [1]Orders!A:E, 5, FALSE)</f>
        <v>Kolkata</v>
      </c>
    </row>
    <row r="494" spans="1:11" x14ac:dyDescent="0.5">
      <c r="A494" t="s">
        <v>322</v>
      </c>
      <c r="B494">
        <v>71</v>
      </c>
      <c r="C494">
        <v>32</v>
      </c>
      <c r="D494">
        <v>3</v>
      </c>
      <c r="E494" t="s">
        <v>23</v>
      </c>
      <c r="F494" t="s">
        <v>26</v>
      </c>
      <c r="G494" t="s">
        <v>82</v>
      </c>
      <c r="H494" s="1">
        <f>VLOOKUP(A494, [1]Orders!A:B, 2, FALSE)</f>
        <v>43133</v>
      </c>
      <c r="I494" t="str">
        <f>VLOOKUP(A494, [1]Orders!A:E, 3, FALSE)</f>
        <v>Mugdha</v>
      </c>
      <c r="J494" t="str">
        <f>VLOOKUP(A494, [1]Orders!A:E, 4, FALSE)</f>
        <v>Delhi</v>
      </c>
      <c r="K494" t="str">
        <f>VLOOKUP(A494, [1]Orders!A:E, 5, FALSE)</f>
        <v>Delhi</v>
      </c>
    </row>
    <row r="495" spans="1:11" x14ac:dyDescent="0.5">
      <c r="A495" t="s">
        <v>323</v>
      </c>
      <c r="B495">
        <v>29</v>
      </c>
      <c r="C495">
        <v>10</v>
      </c>
      <c r="D495">
        <v>4</v>
      </c>
      <c r="E495" t="s">
        <v>23</v>
      </c>
      <c r="F495" t="s">
        <v>30</v>
      </c>
      <c r="G495" t="s">
        <v>28</v>
      </c>
      <c r="H495" s="1">
        <f>VLOOKUP(A495, [1]Orders!A:B, 2, FALSE)</f>
        <v>43186</v>
      </c>
      <c r="I495" t="str">
        <f>VLOOKUP(A495, [1]Orders!A:E, 3, FALSE)</f>
        <v>Manju</v>
      </c>
      <c r="J495" t="str">
        <f>VLOOKUP(A495, [1]Orders!A:E, 4, FALSE)</f>
        <v>Andhra Pradesh</v>
      </c>
      <c r="K495" t="str">
        <f>VLOOKUP(A495, [1]Orders!A:E, 5, FALSE)</f>
        <v>Hyderabad</v>
      </c>
    </row>
    <row r="496" spans="1:11" x14ac:dyDescent="0.5">
      <c r="A496" t="s">
        <v>324</v>
      </c>
      <c r="B496">
        <v>65</v>
      </c>
      <c r="C496">
        <v>17</v>
      </c>
      <c r="D496">
        <v>2</v>
      </c>
      <c r="E496" t="s">
        <v>23</v>
      </c>
      <c r="F496" t="s">
        <v>81</v>
      </c>
      <c r="G496" t="s">
        <v>28</v>
      </c>
      <c r="H496" s="1">
        <f>VLOOKUP(A496, [1]Orders!A:B, 2, FALSE)</f>
        <v>43193</v>
      </c>
      <c r="I496" t="str">
        <f>VLOOKUP(A496, [1]Orders!A:E, 3, FALSE)</f>
        <v>Divsha</v>
      </c>
      <c r="J496" t="str">
        <f>VLOOKUP(A496, [1]Orders!A:E, 4, FALSE)</f>
        <v>Rajasthan</v>
      </c>
      <c r="K496" t="str">
        <f>VLOOKUP(A496, [1]Orders!A:E, 5, FALSE)</f>
        <v>Jaipur</v>
      </c>
    </row>
    <row r="497" spans="1:11" x14ac:dyDescent="0.5">
      <c r="A497" t="s">
        <v>54</v>
      </c>
      <c r="B497">
        <v>72</v>
      </c>
      <c r="C497">
        <v>-46</v>
      </c>
      <c r="D497">
        <v>7</v>
      </c>
      <c r="E497" t="s">
        <v>23</v>
      </c>
      <c r="F497" t="s">
        <v>32</v>
      </c>
      <c r="G497" t="s">
        <v>82</v>
      </c>
      <c r="H497" s="1">
        <f>VLOOKUP(A497, [1]Orders!A:B, 2, FALSE)</f>
        <v>43330</v>
      </c>
      <c r="I497" t="str">
        <f>VLOOKUP(A497, [1]Orders!A:E, 3, FALSE)</f>
        <v>Akshay</v>
      </c>
      <c r="J497" t="str">
        <f>VLOOKUP(A497, [1]Orders!A:E, 4, FALSE)</f>
        <v>Bihar</v>
      </c>
      <c r="K497" t="str">
        <f>VLOOKUP(A497, [1]Orders!A:E, 5, FALSE)</f>
        <v>Patna</v>
      </c>
    </row>
    <row r="498" spans="1:11" x14ac:dyDescent="0.5">
      <c r="A498" t="s">
        <v>325</v>
      </c>
      <c r="B498">
        <v>168</v>
      </c>
      <c r="C498">
        <v>-51</v>
      </c>
      <c r="D498">
        <v>2</v>
      </c>
      <c r="E498" t="s">
        <v>12</v>
      </c>
      <c r="F498" t="s">
        <v>16</v>
      </c>
      <c r="G498" t="s">
        <v>10</v>
      </c>
      <c r="H498" s="1">
        <f>VLOOKUP(A498, [1]Orders!A:B, 2, FALSE)</f>
        <v>43300</v>
      </c>
      <c r="I498" t="str">
        <f>VLOOKUP(A498, [1]Orders!A:E, 3, FALSE)</f>
        <v>Sheetal</v>
      </c>
      <c r="J498" t="str">
        <f>VLOOKUP(A498, [1]Orders!A:E, 4, FALSE)</f>
        <v>Madhya Pradesh</v>
      </c>
      <c r="K498" t="str">
        <f>VLOOKUP(A498, [1]Orders!A:E, 5, FALSE)</f>
        <v>Indore</v>
      </c>
    </row>
    <row r="499" spans="1:11" x14ac:dyDescent="0.5">
      <c r="A499" t="s">
        <v>104</v>
      </c>
      <c r="B499">
        <v>165</v>
      </c>
      <c r="C499">
        <v>30</v>
      </c>
      <c r="D499">
        <v>3</v>
      </c>
      <c r="E499" t="s">
        <v>23</v>
      </c>
      <c r="F499" t="s">
        <v>57</v>
      </c>
      <c r="G499" t="s">
        <v>10</v>
      </c>
      <c r="H499" s="1">
        <f>VLOOKUP(A499, [1]Orders!A:B, 2, FALSE)</f>
        <v>43333</v>
      </c>
      <c r="I499" t="str">
        <f>VLOOKUP(A499, [1]Orders!A:E, 3, FALSE)</f>
        <v>Vishakha</v>
      </c>
      <c r="J499" t="str">
        <f>VLOOKUP(A499, [1]Orders!A:E, 4, FALSE)</f>
        <v>Madhya Pradesh</v>
      </c>
      <c r="K499" t="str">
        <f>VLOOKUP(A499, [1]Orders!A:E, 5, FALSE)</f>
        <v>Indore</v>
      </c>
    </row>
    <row r="500" spans="1:11" x14ac:dyDescent="0.5">
      <c r="A500" t="s">
        <v>284</v>
      </c>
      <c r="B500">
        <v>74</v>
      </c>
      <c r="C500">
        <v>-59</v>
      </c>
      <c r="D500">
        <v>2</v>
      </c>
      <c r="E500" t="s">
        <v>8</v>
      </c>
      <c r="F500" t="s">
        <v>73</v>
      </c>
      <c r="G500" t="s">
        <v>82</v>
      </c>
      <c r="H500" s="1">
        <f>VLOOKUP(A500, [1]Orders!A:B, 2, FALSE)</f>
        <v>43343</v>
      </c>
      <c r="I500" t="str">
        <f>VLOOKUP(A500, [1]Orders!A:E, 3, FALSE)</f>
        <v>Ashmeet</v>
      </c>
      <c r="J500" t="str">
        <f>VLOOKUP(A500, [1]Orders!A:E, 4, FALSE)</f>
        <v>West Bengal</v>
      </c>
      <c r="K500" t="str">
        <f>VLOOKUP(A500, [1]Orders!A:E, 5, FALSE)</f>
        <v>Kolkata</v>
      </c>
    </row>
    <row r="501" spans="1:11" x14ac:dyDescent="0.5">
      <c r="A501" t="s">
        <v>184</v>
      </c>
      <c r="B501">
        <v>89</v>
      </c>
      <c r="C501">
        <v>17</v>
      </c>
      <c r="D501">
        <v>2</v>
      </c>
      <c r="E501" t="s">
        <v>23</v>
      </c>
      <c r="F501" t="s">
        <v>57</v>
      </c>
      <c r="G501" t="s">
        <v>28</v>
      </c>
      <c r="H501" s="1">
        <f>VLOOKUP(A501, [1]Orders!A:B, 2, FALSE)</f>
        <v>43432</v>
      </c>
      <c r="I501" t="str">
        <f>VLOOKUP(A501, [1]Orders!A:E, 3, FALSE)</f>
        <v>Brijesh</v>
      </c>
      <c r="J501" t="str">
        <f>VLOOKUP(A501, [1]Orders!A:E, 4, FALSE)</f>
        <v>Rajasthan</v>
      </c>
      <c r="K501" t="str">
        <f>VLOOKUP(A501, [1]Orders!A:E, 5, FALSE)</f>
        <v>Udaipur</v>
      </c>
    </row>
    <row r="502" spans="1:11" x14ac:dyDescent="0.5">
      <c r="A502" t="s">
        <v>239</v>
      </c>
      <c r="B502">
        <v>228</v>
      </c>
      <c r="C502">
        <v>63</v>
      </c>
      <c r="D502">
        <v>3</v>
      </c>
      <c r="E502" t="s">
        <v>8</v>
      </c>
      <c r="F502" t="s">
        <v>9</v>
      </c>
      <c r="G502" t="s">
        <v>19</v>
      </c>
      <c r="H502" s="1">
        <f>VLOOKUP(A502, [1]Orders!A:B, 2, FALSE)</f>
        <v>43210</v>
      </c>
      <c r="I502" t="str">
        <f>VLOOKUP(A502, [1]Orders!A:E, 3, FALSE)</f>
        <v>Deepak</v>
      </c>
      <c r="J502" t="str">
        <f>VLOOKUP(A502, [1]Orders!A:E, 4, FALSE)</f>
        <v>Madhya Pradesh</v>
      </c>
      <c r="K502" t="str">
        <f>VLOOKUP(A502, [1]Orders!A:E, 5, FALSE)</f>
        <v>Bhopal</v>
      </c>
    </row>
    <row r="503" spans="1:11" x14ac:dyDescent="0.5">
      <c r="A503" t="s">
        <v>94</v>
      </c>
      <c r="B503">
        <v>119</v>
      </c>
      <c r="C503">
        <v>-24</v>
      </c>
      <c r="D503">
        <v>4</v>
      </c>
      <c r="E503" t="s">
        <v>12</v>
      </c>
      <c r="F503" t="s">
        <v>131</v>
      </c>
      <c r="G503" t="s">
        <v>10</v>
      </c>
      <c r="H503" s="1">
        <f>VLOOKUP(A503, [1]Orders!A:B, 2, FALSE)</f>
        <v>43121</v>
      </c>
      <c r="I503" t="str">
        <f>VLOOKUP(A503, [1]Orders!A:E, 3, FALSE)</f>
        <v>Sudevi</v>
      </c>
      <c r="J503" t="str">
        <f>VLOOKUP(A503, [1]Orders!A:E, 4, FALSE)</f>
        <v>Uttar Pradesh</v>
      </c>
      <c r="K503" t="str">
        <f>VLOOKUP(A503, [1]Orders!A:E, 5, FALSE)</f>
        <v>Prayagraj</v>
      </c>
    </row>
    <row r="504" spans="1:11" x14ac:dyDescent="0.5">
      <c r="A504" t="s">
        <v>150</v>
      </c>
      <c r="B504">
        <v>75</v>
      </c>
      <c r="C504">
        <v>-25</v>
      </c>
      <c r="D504">
        <v>3</v>
      </c>
      <c r="E504" t="s">
        <v>23</v>
      </c>
      <c r="F504" t="s">
        <v>57</v>
      </c>
      <c r="G504" t="s">
        <v>28</v>
      </c>
      <c r="H504" s="1">
        <f>VLOOKUP(A504, [1]Orders!A:B, 2, FALSE)</f>
        <v>43267</v>
      </c>
      <c r="I504" t="str">
        <f>VLOOKUP(A504, [1]Orders!A:E, 3, FALSE)</f>
        <v>Akancha</v>
      </c>
      <c r="J504" t="str">
        <f>VLOOKUP(A504, [1]Orders!A:E, 4, FALSE)</f>
        <v>Maharashtra</v>
      </c>
      <c r="K504" t="str">
        <f>VLOOKUP(A504, [1]Orders!A:E, 5, FALSE)</f>
        <v>Mumbai</v>
      </c>
    </row>
    <row r="505" spans="1:11" x14ac:dyDescent="0.5">
      <c r="A505" t="s">
        <v>132</v>
      </c>
      <c r="B505">
        <v>67</v>
      </c>
      <c r="C505">
        <v>20</v>
      </c>
      <c r="D505">
        <v>4</v>
      </c>
      <c r="E505" t="s">
        <v>23</v>
      </c>
      <c r="F505" t="s">
        <v>81</v>
      </c>
      <c r="G505" t="s">
        <v>28</v>
      </c>
      <c r="H505" s="1">
        <f>VLOOKUP(A505, [1]Orders!A:B, 2, FALSE)</f>
        <v>43114</v>
      </c>
      <c r="I505" t="str">
        <f>VLOOKUP(A505, [1]Orders!A:E, 3, FALSE)</f>
        <v>Krutika</v>
      </c>
      <c r="J505" t="str">
        <f>VLOOKUP(A505, [1]Orders!A:E, 4, FALSE)</f>
        <v>Andhra Pradesh</v>
      </c>
      <c r="K505" t="str">
        <f>VLOOKUP(A505, [1]Orders!A:E, 5, FALSE)</f>
        <v>Hyderabad</v>
      </c>
    </row>
    <row r="506" spans="1:11" x14ac:dyDescent="0.5">
      <c r="A506" t="s">
        <v>119</v>
      </c>
      <c r="B506">
        <v>7</v>
      </c>
      <c r="C506">
        <v>0</v>
      </c>
      <c r="D506">
        <v>1</v>
      </c>
      <c r="E506" t="s">
        <v>23</v>
      </c>
      <c r="F506" t="s">
        <v>63</v>
      </c>
      <c r="G506" t="s">
        <v>10</v>
      </c>
      <c r="H506" s="1">
        <f>VLOOKUP(A506, [1]Orders!A:B, 2, FALSE)</f>
        <v>43227</v>
      </c>
      <c r="I506" t="str">
        <f>VLOOKUP(A506, [1]Orders!A:E, 3, FALSE)</f>
        <v>Anurag</v>
      </c>
      <c r="J506" t="str">
        <f>VLOOKUP(A506, [1]Orders!A:E, 4, FALSE)</f>
        <v>Madhya Pradesh</v>
      </c>
      <c r="K506" t="str">
        <f>VLOOKUP(A506, [1]Orders!A:E, 5, FALSE)</f>
        <v>Indore</v>
      </c>
    </row>
    <row r="507" spans="1:11" x14ac:dyDescent="0.5">
      <c r="A507" t="s">
        <v>180</v>
      </c>
      <c r="B507">
        <v>222</v>
      </c>
      <c r="C507">
        <v>35</v>
      </c>
      <c r="D507">
        <v>5</v>
      </c>
      <c r="E507" t="s">
        <v>23</v>
      </c>
      <c r="F507" t="s">
        <v>26</v>
      </c>
      <c r="G507" t="s">
        <v>19</v>
      </c>
      <c r="H507" s="1">
        <f>VLOOKUP(A507, [1]Orders!A:B, 2, FALSE)</f>
        <v>43397</v>
      </c>
      <c r="I507" t="str">
        <f>VLOOKUP(A507, [1]Orders!A:E, 3, FALSE)</f>
        <v>Nikita</v>
      </c>
      <c r="J507" t="str">
        <f>VLOOKUP(A507, [1]Orders!A:E, 4, FALSE)</f>
        <v>Punjab</v>
      </c>
      <c r="K507" t="str">
        <f>VLOOKUP(A507, [1]Orders!A:E, 5, FALSE)</f>
        <v>Chandigarh</v>
      </c>
    </row>
    <row r="508" spans="1:11" x14ac:dyDescent="0.5">
      <c r="A508" t="s">
        <v>236</v>
      </c>
      <c r="B508">
        <v>219</v>
      </c>
      <c r="C508">
        <v>-9</v>
      </c>
      <c r="D508">
        <v>4</v>
      </c>
      <c r="E508" t="s">
        <v>23</v>
      </c>
      <c r="F508" t="s">
        <v>26</v>
      </c>
      <c r="G508" t="s">
        <v>19</v>
      </c>
      <c r="H508" s="1">
        <f>VLOOKUP(A508, [1]Orders!A:B, 2, FALSE)</f>
        <v>43214</v>
      </c>
      <c r="I508" t="str">
        <f>VLOOKUP(A508, [1]Orders!A:E, 3, FALSE)</f>
        <v>Pooja</v>
      </c>
      <c r="J508" t="str">
        <f>VLOOKUP(A508, [1]Orders!A:E, 4, FALSE)</f>
        <v>Bihar</v>
      </c>
      <c r="K508" t="str">
        <f>VLOOKUP(A508, [1]Orders!A:E, 5, FALSE)</f>
        <v>Patna</v>
      </c>
    </row>
    <row r="509" spans="1:11" x14ac:dyDescent="0.5">
      <c r="A509" t="s">
        <v>33</v>
      </c>
      <c r="B509">
        <v>42</v>
      </c>
      <c r="C509">
        <v>-23</v>
      </c>
      <c r="D509">
        <v>2</v>
      </c>
      <c r="E509" t="s">
        <v>12</v>
      </c>
      <c r="F509" t="s">
        <v>131</v>
      </c>
      <c r="G509" t="s">
        <v>28</v>
      </c>
      <c r="H509" s="1">
        <f>VLOOKUP(A509, [1]Orders!A:B, 2, FALSE)</f>
        <v>43279</v>
      </c>
      <c r="I509" t="str">
        <f>VLOOKUP(A509, [1]Orders!A:E, 3, FALSE)</f>
        <v>Ekta</v>
      </c>
      <c r="J509" t="str">
        <f>VLOOKUP(A509, [1]Orders!A:E, 4, FALSE)</f>
        <v>Madhya Pradesh</v>
      </c>
      <c r="K509" t="str">
        <f>VLOOKUP(A509, [1]Orders!A:E, 5, FALSE)</f>
        <v>Indore</v>
      </c>
    </row>
    <row r="510" spans="1:11" x14ac:dyDescent="0.5">
      <c r="A510" t="s">
        <v>96</v>
      </c>
      <c r="B510">
        <v>216</v>
      </c>
      <c r="C510">
        <v>-135</v>
      </c>
      <c r="D510">
        <v>3</v>
      </c>
      <c r="E510" t="s">
        <v>12</v>
      </c>
      <c r="F510" t="s">
        <v>13</v>
      </c>
      <c r="G510" t="s">
        <v>19</v>
      </c>
      <c r="H510" s="1">
        <f>VLOOKUP(A510, [1]Orders!A:B, 2, FALSE)</f>
        <v>43102</v>
      </c>
      <c r="I510" t="str">
        <f>VLOOKUP(A510, [1]Orders!A:E, 3, FALSE)</f>
        <v>Girase</v>
      </c>
      <c r="J510" t="str">
        <f>VLOOKUP(A510, [1]Orders!A:E, 4, FALSE)</f>
        <v xml:space="preserve">Kerala </v>
      </c>
      <c r="K510" t="str">
        <f>VLOOKUP(A510, [1]Orders!A:E, 5, FALSE)</f>
        <v>Thiruvananthapuram</v>
      </c>
    </row>
    <row r="511" spans="1:11" x14ac:dyDescent="0.5">
      <c r="A511" t="s">
        <v>326</v>
      </c>
      <c r="B511">
        <v>47</v>
      </c>
      <c r="C511">
        <v>-21</v>
      </c>
      <c r="D511">
        <v>2</v>
      </c>
      <c r="E511" t="s">
        <v>8</v>
      </c>
      <c r="F511" t="s">
        <v>9</v>
      </c>
      <c r="G511" t="s">
        <v>10</v>
      </c>
      <c r="H511" s="1">
        <f>VLOOKUP(A511, [1]Orders!A:B, 2, FALSE)</f>
        <v>43324</v>
      </c>
      <c r="I511" t="str">
        <f>VLOOKUP(A511, [1]Orders!A:E, 3, FALSE)</f>
        <v>Nitant</v>
      </c>
      <c r="J511" t="str">
        <f>VLOOKUP(A511, [1]Orders!A:E, 4, FALSE)</f>
        <v>Rajasthan</v>
      </c>
      <c r="K511" t="str">
        <f>VLOOKUP(A511, [1]Orders!A:E, 5, FALSE)</f>
        <v>Jaipur</v>
      </c>
    </row>
    <row r="512" spans="1:11" x14ac:dyDescent="0.5">
      <c r="A512" t="s">
        <v>265</v>
      </c>
      <c r="B512">
        <v>68</v>
      </c>
      <c r="C512">
        <v>-55</v>
      </c>
      <c r="D512">
        <v>5</v>
      </c>
      <c r="E512" t="s">
        <v>8</v>
      </c>
      <c r="F512" t="s">
        <v>73</v>
      </c>
      <c r="G512" t="s">
        <v>28</v>
      </c>
      <c r="H512" s="1">
        <f>VLOOKUP(A512, [1]Orders!A:B, 2, FALSE)</f>
        <v>43199</v>
      </c>
      <c r="I512" t="str">
        <f>VLOOKUP(A512, [1]Orders!A:E, 3, FALSE)</f>
        <v>Yogesh</v>
      </c>
      <c r="J512" t="str">
        <f>VLOOKUP(A512, [1]Orders!A:E, 4, FALSE)</f>
        <v>Bihar</v>
      </c>
      <c r="K512" t="str">
        <f>VLOOKUP(A512, [1]Orders!A:E, 5, FALSE)</f>
        <v>Patna</v>
      </c>
    </row>
    <row r="513" spans="1:11" x14ac:dyDescent="0.5">
      <c r="A513" t="s">
        <v>134</v>
      </c>
      <c r="B513">
        <v>74</v>
      </c>
      <c r="C513">
        <v>33</v>
      </c>
      <c r="D513">
        <v>2</v>
      </c>
      <c r="E513" t="s">
        <v>23</v>
      </c>
      <c r="F513" t="s">
        <v>142</v>
      </c>
      <c r="G513" t="s">
        <v>82</v>
      </c>
      <c r="H513" s="1">
        <f>VLOOKUP(A513, [1]Orders!A:B, 2, FALSE)</f>
        <v>43444</v>
      </c>
      <c r="I513" t="str">
        <f>VLOOKUP(A513, [1]Orders!A:E, 3, FALSE)</f>
        <v>Amlan</v>
      </c>
      <c r="J513" t="str">
        <f>VLOOKUP(A513, [1]Orders!A:E, 4, FALSE)</f>
        <v>Madhya Pradesh</v>
      </c>
      <c r="K513" t="str">
        <f>VLOOKUP(A513, [1]Orders!A:E, 5, FALSE)</f>
        <v>Indore</v>
      </c>
    </row>
    <row r="514" spans="1:11" x14ac:dyDescent="0.5">
      <c r="A514" t="s">
        <v>140</v>
      </c>
      <c r="B514">
        <v>165</v>
      </c>
      <c r="C514">
        <v>46</v>
      </c>
      <c r="D514">
        <v>3</v>
      </c>
      <c r="E514" t="s">
        <v>12</v>
      </c>
      <c r="F514" t="s">
        <v>131</v>
      </c>
      <c r="G514" t="s">
        <v>10</v>
      </c>
      <c r="H514" s="1">
        <f>VLOOKUP(A514, [1]Orders!A:B, 2, FALSE)</f>
        <v>43428</v>
      </c>
      <c r="I514" t="str">
        <f>VLOOKUP(A514, [1]Orders!A:E, 3, FALSE)</f>
        <v>Mrinal</v>
      </c>
      <c r="J514" t="str">
        <f>VLOOKUP(A514, [1]Orders!A:E, 4, FALSE)</f>
        <v>Maharashtra</v>
      </c>
      <c r="K514" t="str">
        <f>VLOOKUP(A514, [1]Orders!A:E, 5, FALSE)</f>
        <v>Mumbai</v>
      </c>
    </row>
    <row r="515" spans="1:11" x14ac:dyDescent="0.5">
      <c r="A515" t="s">
        <v>211</v>
      </c>
      <c r="B515">
        <v>101</v>
      </c>
      <c r="C515">
        <v>11</v>
      </c>
      <c r="D515">
        <v>2</v>
      </c>
      <c r="E515" t="s">
        <v>23</v>
      </c>
      <c r="F515" t="s">
        <v>30</v>
      </c>
      <c r="G515" t="s">
        <v>28</v>
      </c>
      <c r="H515" s="1">
        <f>VLOOKUP(A515, [1]Orders!A:B, 2, FALSE)</f>
        <v>43169</v>
      </c>
      <c r="I515" t="str">
        <f>VLOOKUP(A515, [1]Orders!A:E, 3, FALSE)</f>
        <v>Sonal</v>
      </c>
      <c r="J515" t="str">
        <f>VLOOKUP(A515, [1]Orders!A:E, 4, FALSE)</f>
        <v>Bihar</v>
      </c>
      <c r="K515" t="str">
        <f>VLOOKUP(A515, [1]Orders!A:E, 5, FALSE)</f>
        <v>Patna</v>
      </c>
    </row>
    <row r="516" spans="1:11" x14ac:dyDescent="0.5">
      <c r="A516" t="s">
        <v>327</v>
      </c>
      <c r="B516">
        <v>162</v>
      </c>
      <c r="C516">
        <v>73</v>
      </c>
      <c r="D516">
        <v>2</v>
      </c>
      <c r="E516" t="s">
        <v>8</v>
      </c>
      <c r="F516" t="s">
        <v>9</v>
      </c>
      <c r="G516" t="s">
        <v>10</v>
      </c>
      <c r="H516" s="1">
        <f>VLOOKUP(A516, [1]Orders!A:B, 2, FALSE)</f>
        <v>43139</v>
      </c>
      <c r="I516" t="str">
        <f>VLOOKUP(A516, [1]Orders!A:E, 3, FALSE)</f>
        <v>Nandita</v>
      </c>
      <c r="J516" t="str">
        <f>VLOOKUP(A516, [1]Orders!A:E, 4, FALSE)</f>
        <v>Rajasthan</v>
      </c>
      <c r="K516" t="str">
        <f>VLOOKUP(A516, [1]Orders!A:E, 5, FALSE)</f>
        <v>Jaipur</v>
      </c>
    </row>
    <row r="517" spans="1:11" x14ac:dyDescent="0.5">
      <c r="A517" t="s">
        <v>279</v>
      </c>
      <c r="B517">
        <v>20</v>
      </c>
      <c r="C517">
        <v>-22</v>
      </c>
      <c r="D517">
        <v>1</v>
      </c>
      <c r="E517" t="s">
        <v>12</v>
      </c>
      <c r="F517" t="s">
        <v>131</v>
      </c>
      <c r="G517" t="s">
        <v>28</v>
      </c>
      <c r="H517" s="1">
        <f>VLOOKUP(A517, [1]Orders!A:B, 2, FALSE)</f>
        <v>43275</v>
      </c>
      <c r="I517" t="str">
        <f>VLOOKUP(A517, [1]Orders!A:E, 3, FALSE)</f>
        <v>Kritika</v>
      </c>
      <c r="J517" t="str">
        <f>VLOOKUP(A517, [1]Orders!A:E, 4, FALSE)</f>
        <v>Uttar Pradesh</v>
      </c>
      <c r="K517" t="str">
        <f>VLOOKUP(A517, [1]Orders!A:E, 5, FALSE)</f>
        <v>Lucknow</v>
      </c>
    </row>
    <row r="518" spans="1:11" x14ac:dyDescent="0.5">
      <c r="A518" t="s">
        <v>167</v>
      </c>
      <c r="B518">
        <v>162</v>
      </c>
      <c r="C518">
        <v>55</v>
      </c>
      <c r="D518">
        <v>3</v>
      </c>
      <c r="E518" t="s">
        <v>23</v>
      </c>
      <c r="F518" t="s">
        <v>57</v>
      </c>
      <c r="G518" t="s">
        <v>10</v>
      </c>
      <c r="H518" s="1">
        <f>VLOOKUP(A518, [1]Orders!A:B, 2, FALSE)</f>
        <v>43168</v>
      </c>
      <c r="I518" t="str">
        <f>VLOOKUP(A518, [1]Orders!A:E, 3, FALSE)</f>
        <v>Kirti</v>
      </c>
      <c r="J518" t="str">
        <f>VLOOKUP(A518, [1]Orders!A:E, 4, FALSE)</f>
        <v>Jammu and Kashmir</v>
      </c>
      <c r="K518" t="str">
        <f>VLOOKUP(A518, [1]Orders!A:E, 5, FALSE)</f>
        <v>Kashmir</v>
      </c>
    </row>
    <row r="519" spans="1:11" x14ac:dyDescent="0.5">
      <c r="A519" t="s">
        <v>205</v>
      </c>
      <c r="B519">
        <v>229</v>
      </c>
      <c r="C519">
        <v>-23</v>
      </c>
      <c r="D519">
        <v>2</v>
      </c>
      <c r="E519" t="s">
        <v>23</v>
      </c>
      <c r="F519" t="s">
        <v>26</v>
      </c>
      <c r="G519" t="s">
        <v>28</v>
      </c>
      <c r="H519" s="1">
        <f>VLOOKUP(A519, [1]Orders!A:B, 2, FALSE)</f>
        <v>43230</v>
      </c>
      <c r="I519" t="str">
        <f>VLOOKUP(A519, [1]Orders!A:E, 3, FALSE)</f>
        <v>Sabah</v>
      </c>
      <c r="J519" t="str">
        <f>VLOOKUP(A519, [1]Orders!A:E, 4, FALSE)</f>
        <v>Maharashtra</v>
      </c>
      <c r="K519" t="str">
        <f>VLOOKUP(A519, [1]Orders!A:E, 5, FALSE)</f>
        <v>Mumbai</v>
      </c>
    </row>
    <row r="520" spans="1:11" x14ac:dyDescent="0.5">
      <c r="A520" t="s">
        <v>328</v>
      </c>
      <c r="B520">
        <v>27</v>
      </c>
      <c r="C520">
        <v>0</v>
      </c>
      <c r="D520">
        <v>2</v>
      </c>
      <c r="E520" t="s">
        <v>23</v>
      </c>
      <c r="F520" t="s">
        <v>63</v>
      </c>
      <c r="G520" t="s">
        <v>10</v>
      </c>
      <c r="H520" s="1">
        <f>VLOOKUP(A520, [1]Orders!A:B, 2, FALSE)</f>
        <v>43114</v>
      </c>
      <c r="I520" t="str">
        <f>VLOOKUP(A520, [1]Orders!A:E, 3, FALSE)</f>
        <v>Trupti</v>
      </c>
      <c r="J520" t="str">
        <f>VLOOKUP(A520, [1]Orders!A:E, 4, FALSE)</f>
        <v>Gujarat</v>
      </c>
      <c r="K520" t="str">
        <f>VLOOKUP(A520, [1]Orders!A:E, 5, FALSE)</f>
        <v>Ahmedabad</v>
      </c>
    </row>
    <row r="521" spans="1:11" x14ac:dyDescent="0.5">
      <c r="A521" t="s">
        <v>44</v>
      </c>
      <c r="B521">
        <v>685</v>
      </c>
      <c r="C521">
        <v>7</v>
      </c>
      <c r="D521">
        <v>7</v>
      </c>
      <c r="E521" t="s">
        <v>23</v>
      </c>
      <c r="F521" t="s">
        <v>24</v>
      </c>
      <c r="G521" t="s">
        <v>28</v>
      </c>
      <c r="H521" s="1">
        <f>VLOOKUP(A521, [1]Orders!A:B, 2, FALSE)</f>
        <v>43448</v>
      </c>
      <c r="I521" t="str">
        <f>VLOOKUP(A521, [1]Orders!A:E, 3, FALSE)</f>
        <v>Jay</v>
      </c>
      <c r="J521" t="str">
        <f>VLOOKUP(A521, [1]Orders!A:E, 4, FALSE)</f>
        <v>Delhi</v>
      </c>
      <c r="K521" t="str">
        <f>VLOOKUP(A521, [1]Orders!A:E, 5, FALSE)</f>
        <v>Delhi</v>
      </c>
    </row>
    <row r="522" spans="1:11" x14ac:dyDescent="0.5">
      <c r="A522" t="s">
        <v>228</v>
      </c>
      <c r="B522">
        <v>75</v>
      </c>
      <c r="C522">
        <v>2</v>
      </c>
      <c r="D522">
        <v>5</v>
      </c>
      <c r="E522" t="s">
        <v>23</v>
      </c>
      <c r="F522" t="s">
        <v>63</v>
      </c>
      <c r="G522" t="s">
        <v>82</v>
      </c>
      <c r="H522" s="1">
        <f>VLOOKUP(A522, [1]Orders!A:B, 2, FALSE)</f>
        <v>43175</v>
      </c>
      <c r="I522" t="str">
        <f>VLOOKUP(A522, [1]Orders!A:E, 3, FALSE)</f>
        <v>Ankita</v>
      </c>
      <c r="J522" t="str">
        <f>VLOOKUP(A522, [1]Orders!A:E, 4, FALSE)</f>
        <v>Maharashtra</v>
      </c>
      <c r="K522" t="str">
        <f>VLOOKUP(A522, [1]Orders!A:E, 5, FALSE)</f>
        <v>Mumbai</v>
      </c>
    </row>
    <row r="523" spans="1:11" x14ac:dyDescent="0.5">
      <c r="A523" t="s">
        <v>223</v>
      </c>
      <c r="B523">
        <v>161</v>
      </c>
      <c r="C523">
        <v>-229</v>
      </c>
      <c r="D523">
        <v>8</v>
      </c>
      <c r="E523" t="s">
        <v>12</v>
      </c>
      <c r="F523" t="s">
        <v>131</v>
      </c>
      <c r="G523" t="s">
        <v>10</v>
      </c>
      <c r="H523" s="1">
        <f>VLOOKUP(A523, [1]Orders!A:B, 2, FALSE)</f>
        <v>43130</v>
      </c>
      <c r="I523" t="str">
        <f>VLOOKUP(A523, [1]Orders!A:E, 3, FALSE)</f>
        <v>Atul</v>
      </c>
      <c r="J523" t="str">
        <f>VLOOKUP(A523, [1]Orders!A:E, 4, FALSE)</f>
        <v>Delhi</v>
      </c>
      <c r="K523" t="str">
        <f>VLOOKUP(A523, [1]Orders!A:E, 5, FALSE)</f>
        <v>Delhi</v>
      </c>
    </row>
    <row r="524" spans="1:11" x14ac:dyDescent="0.5">
      <c r="A524" t="s">
        <v>301</v>
      </c>
      <c r="B524">
        <v>71</v>
      </c>
      <c r="C524">
        <v>19</v>
      </c>
      <c r="D524">
        <v>3</v>
      </c>
      <c r="E524" t="s">
        <v>23</v>
      </c>
      <c r="F524" t="s">
        <v>81</v>
      </c>
      <c r="G524" t="s">
        <v>10</v>
      </c>
      <c r="H524" s="1">
        <f>VLOOKUP(A524, [1]Orders!A:B, 2, FALSE)</f>
        <v>43139</v>
      </c>
      <c r="I524" t="str">
        <f>VLOOKUP(A524, [1]Orders!A:E, 3, FALSE)</f>
        <v>Harsh</v>
      </c>
      <c r="J524" t="str">
        <f>VLOOKUP(A524, [1]Orders!A:E, 4, FALSE)</f>
        <v>Delhi</v>
      </c>
      <c r="K524" t="str">
        <f>VLOOKUP(A524, [1]Orders!A:E, 5, FALSE)</f>
        <v>Delhi</v>
      </c>
    </row>
    <row r="525" spans="1:11" x14ac:dyDescent="0.5">
      <c r="A525" t="s">
        <v>135</v>
      </c>
      <c r="B525">
        <v>211</v>
      </c>
      <c r="C525">
        <v>-105</v>
      </c>
      <c r="D525">
        <v>2</v>
      </c>
      <c r="E525" t="s">
        <v>23</v>
      </c>
      <c r="F525" t="s">
        <v>26</v>
      </c>
      <c r="G525" t="s">
        <v>19</v>
      </c>
      <c r="H525" s="1">
        <f>VLOOKUP(A525, [1]Orders!A:B, 2, FALSE)</f>
        <v>43226</v>
      </c>
      <c r="I525" t="str">
        <f>VLOOKUP(A525, [1]Orders!A:E, 3, FALSE)</f>
        <v>Chirag</v>
      </c>
      <c r="J525" t="str">
        <f>VLOOKUP(A525, [1]Orders!A:E, 4, FALSE)</f>
        <v>Maharashtra</v>
      </c>
      <c r="K525" t="str">
        <f>VLOOKUP(A525, [1]Orders!A:E, 5, FALSE)</f>
        <v>Mumbai</v>
      </c>
    </row>
    <row r="526" spans="1:11" x14ac:dyDescent="0.5">
      <c r="A526" t="s">
        <v>329</v>
      </c>
      <c r="B526">
        <v>79</v>
      </c>
      <c r="C526">
        <v>5</v>
      </c>
      <c r="D526">
        <v>6</v>
      </c>
      <c r="E526" t="s">
        <v>23</v>
      </c>
      <c r="F526" t="s">
        <v>30</v>
      </c>
      <c r="G526" t="s">
        <v>82</v>
      </c>
      <c r="H526" s="1">
        <f>VLOOKUP(A526, [1]Orders!A:B, 2, FALSE)</f>
        <v>43160</v>
      </c>
      <c r="I526" t="str">
        <f>VLOOKUP(A526, [1]Orders!A:E, 3, FALSE)</f>
        <v>Amit</v>
      </c>
      <c r="J526" t="str">
        <f>VLOOKUP(A526, [1]Orders!A:E, 4, FALSE)</f>
        <v>Sikkim</v>
      </c>
      <c r="K526" t="str">
        <f>VLOOKUP(A526, [1]Orders!A:E, 5, FALSE)</f>
        <v>Gangtok</v>
      </c>
    </row>
    <row r="527" spans="1:11" x14ac:dyDescent="0.5">
      <c r="A527" t="s">
        <v>143</v>
      </c>
      <c r="B527">
        <v>32</v>
      </c>
      <c r="C527">
        <v>-22</v>
      </c>
      <c r="D527">
        <v>5</v>
      </c>
      <c r="E527" t="s">
        <v>23</v>
      </c>
      <c r="F527" t="s">
        <v>26</v>
      </c>
      <c r="G527" t="s">
        <v>28</v>
      </c>
      <c r="H527" s="1">
        <f>VLOOKUP(A527, [1]Orders!A:B, 2, FALSE)</f>
        <v>43233</v>
      </c>
      <c r="I527" t="str">
        <f>VLOOKUP(A527, [1]Orders!A:E, 3, FALSE)</f>
        <v>Tulika</v>
      </c>
      <c r="J527" t="str">
        <f>VLOOKUP(A527, [1]Orders!A:E, 4, FALSE)</f>
        <v>Madhya Pradesh</v>
      </c>
      <c r="K527" t="str">
        <f>VLOOKUP(A527, [1]Orders!A:E, 5, FALSE)</f>
        <v>Bhopal</v>
      </c>
    </row>
    <row r="528" spans="1:11" x14ac:dyDescent="0.5">
      <c r="A528" t="s">
        <v>330</v>
      </c>
      <c r="B528">
        <v>161</v>
      </c>
      <c r="C528">
        <v>40</v>
      </c>
      <c r="D528">
        <v>3</v>
      </c>
      <c r="E528" t="s">
        <v>23</v>
      </c>
      <c r="F528" t="s">
        <v>57</v>
      </c>
      <c r="G528" t="s">
        <v>10</v>
      </c>
      <c r="H528" s="1">
        <f>VLOOKUP(A528, [1]Orders!A:B, 2, FALSE)</f>
        <v>43402</v>
      </c>
      <c r="I528" t="str">
        <f>VLOOKUP(A528, [1]Orders!A:E, 3, FALSE)</f>
        <v>Sanjana</v>
      </c>
      <c r="J528" t="str">
        <f>VLOOKUP(A528, [1]Orders!A:E, 4, FALSE)</f>
        <v>Madhya Pradesh</v>
      </c>
      <c r="K528" t="str">
        <f>VLOOKUP(A528, [1]Orders!A:E, 5, FALSE)</f>
        <v>Indore</v>
      </c>
    </row>
    <row r="529" spans="1:11" x14ac:dyDescent="0.5">
      <c r="A529" t="s">
        <v>119</v>
      </c>
      <c r="B529">
        <v>159</v>
      </c>
      <c r="C529">
        <v>4</v>
      </c>
      <c r="D529">
        <v>1</v>
      </c>
      <c r="E529" t="s">
        <v>23</v>
      </c>
      <c r="F529" t="s">
        <v>26</v>
      </c>
      <c r="G529" t="s">
        <v>10</v>
      </c>
      <c r="H529" s="1">
        <f>VLOOKUP(A529, [1]Orders!A:B, 2, FALSE)</f>
        <v>43227</v>
      </c>
      <c r="I529" t="str">
        <f>VLOOKUP(A529, [1]Orders!A:E, 3, FALSE)</f>
        <v>Anurag</v>
      </c>
      <c r="J529" t="str">
        <f>VLOOKUP(A529, [1]Orders!A:E, 4, FALSE)</f>
        <v>Madhya Pradesh</v>
      </c>
      <c r="K529" t="str">
        <f>VLOOKUP(A529, [1]Orders!A:E, 5, FALSE)</f>
        <v>Indore</v>
      </c>
    </row>
    <row r="530" spans="1:11" x14ac:dyDescent="0.5">
      <c r="A530" t="s">
        <v>145</v>
      </c>
      <c r="B530">
        <v>210</v>
      </c>
      <c r="C530">
        <v>-50</v>
      </c>
      <c r="D530">
        <v>4</v>
      </c>
      <c r="E530" t="s">
        <v>23</v>
      </c>
      <c r="F530" t="s">
        <v>30</v>
      </c>
      <c r="G530" t="s">
        <v>19</v>
      </c>
      <c r="H530" s="1">
        <f>VLOOKUP(A530, [1]Orders!A:B, 2, FALSE)</f>
        <v>43381</v>
      </c>
      <c r="I530" t="str">
        <f>VLOOKUP(A530, [1]Orders!A:E, 3, FALSE)</f>
        <v>Apsingekar</v>
      </c>
      <c r="J530" t="str">
        <f>VLOOKUP(A530, [1]Orders!A:E, 4, FALSE)</f>
        <v>Bihar</v>
      </c>
      <c r="K530" t="str">
        <f>VLOOKUP(A530, [1]Orders!A:E, 5, FALSE)</f>
        <v>Patna</v>
      </c>
    </row>
    <row r="531" spans="1:11" x14ac:dyDescent="0.5">
      <c r="A531" t="s">
        <v>225</v>
      </c>
      <c r="B531">
        <v>79</v>
      </c>
      <c r="C531">
        <v>39</v>
      </c>
      <c r="D531">
        <v>2</v>
      </c>
      <c r="E531" t="s">
        <v>23</v>
      </c>
      <c r="F531" t="s">
        <v>142</v>
      </c>
      <c r="G531" t="s">
        <v>82</v>
      </c>
      <c r="H531" s="1">
        <f>VLOOKUP(A531, [1]Orders!A:B, 2, FALSE)</f>
        <v>43124</v>
      </c>
      <c r="I531" t="str">
        <f>VLOOKUP(A531, [1]Orders!A:E, 3, FALSE)</f>
        <v>Madan Mohan</v>
      </c>
      <c r="J531" t="str">
        <f>VLOOKUP(A531, [1]Orders!A:E, 4, FALSE)</f>
        <v>Uttar Pradesh</v>
      </c>
      <c r="K531" t="str">
        <f>VLOOKUP(A531, [1]Orders!A:E, 5, FALSE)</f>
        <v>Mathura</v>
      </c>
    </row>
    <row r="532" spans="1:11" x14ac:dyDescent="0.5">
      <c r="A532" t="s">
        <v>182</v>
      </c>
      <c r="B532">
        <v>207</v>
      </c>
      <c r="C532">
        <v>153</v>
      </c>
      <c r="D532">
        <v>3</v>
      </c>
      <c r="E532" t="s">
        <v>23</v>
      </c>
      <c r="F532" t="s">
        <v>26</v>
      </c>
      <c r="G532" t="s">
        <v>19</v>
      </c>
      <c r="H532" s="1">
        <f>VLOOKUP(A532, [1]Orders!A:B, 2, FALSE)</f>
        <v>43274</v>
      </c>
      <c r="I532" t="str">
        <f>VLOOKUP(A532, [1]Orders!A:E, 3, FALSE)</f>
        <v>Amisha</v>
      </c>
      <c r="J532" t="str">
        <f>VLOOKUP(A532, [1]Orders!A:E, 4, FALSE)</f>
        <v>Tamil Nadu</v>
      </c>
      <c r="K532" t="str">
        <f>VLOOKUP(A532, [1]Orders!A:E, 5, FALSE)</f>
        <v>Chennai</v>
      </c>
    </row>
    <row r="533" spans="1:11" x14ac:dyDescent="0.5">
      <c r="A533" t="s">
        <v>198</v>
      </c>
      <c r="B533">
        <v>36</v>
      </c>
      <c r="C533">
        <v>0</v>
      </c>
      <c r="D533">
        <v>4</v>
      </c>
      <c r="E533" t="s">
        <v>23</v>
      </c>
      <c r="F533" t="s">
        <v>32</v>
      </c>
      <c r="G533" t="s">
        <v>10</v>
      </c>
      <c r="H533" s="1">
        <f>VLOOKUP(A533, [1]Orders!A:B, 2, FALSE)</f>
        <v>43387</v>
      </c>
      <c r="I533" t="str">
        <f>VLOOKUP(A533, [1]Orders!A:E, 3, FALSE)</f>
        <v>Sandeep</v>
      </c>
      <c r="J533" t="str">
        <f>VLOOKUP(A533, [1]Orders!A:E, 4, FALSE)</f>
        <v>Madhya Pradesh</v>
      </c>
      <c r="K533" t="str">
        <f>VLOOKUP(A533, [1]Orders!A:E, 5, FALSE)</f>
        <v>Indore</v>
      </c>
    </row>
    <row r="534" spans="1:11" x14ac:dyDescent="0.5">
      <c r="A534" t="s">
        <v>106</v>
      </c>
      <c r="B534">
        <v>206</v>
      </c>
      <c r="C534">
        <v>12</v>
      </c>
      <c r="D534">
        <v>1</v>
      </c>
      <c r="E534" t="s">
        <v>8</v>
      </c>
      <c r="F534" t="s">
        <v>18</v>
      </c>
      <c r="G534" t="s">
        <v>19</v>
      </c>
      <c r="H534" s="1">
        <f>VLOOKUP(A534, [1]Orders!A:B, 2, FALSE)</f>
        <v>43173</v>
      </c>
      <c r="I534" t="str">
        <f>VLOOKUP(A534, [1]Orders!A:E, 3, FALSE)</f>
        <v>Anurag</v>
      </c>
      <c r="J534" t="str">
        <f>VLOOKUP(A534, [1]Orders!A:E, 4, FALSE)</f>
        <v>Madhya Pradesh</v>
      </c>
      <c r="K534" t="str">
        <f>VLOOKUP(A534, [1]Orders!A:E, 5, FALSE)</f>
        <v>Indore</v>
      </c>
    </row>
    <row r="535" spans="1:11" x14ac:dyDescent="0.5">
      <c r="A535" t="s">
        <v>140</v>
      </c>
      <c r="B535">
        <v>46</v>
      </c>
      <c r="C535">
        <v>0</v>
      </c>
      <c r="D535">
        <v>4</v>
      </c>
      <c r="E535" t="s">
        <v>23</v>
      </c>
      <c r="F535" t="s">
        <v>63</v>
      </c>
      <c r="G535" t="s">
        <v>10</v>
      </c>
      <c r="H535" s="1">
        <f>VLOOKUP(A535, [1]Orders!A:B, 2, FALSE)</f>
        <v>43428</v>
      </c>
      <c r="I535" t="str">
        <f>VLOOKUP(A535, [1]Orders!A:E, 3, FALSE)</f>
        <v>Mrinal</v>
      </c>
      <c r="J535" t="str">
        <f>VLOOKUP(A535, [1]Orders!A:E, 4, FALSE)</f>
        <v>Maharashtra</v>
      </c>
      <c r="K535" t="str">
        <f>VLOOKUP(A535, [1]Orders!A:E, 5, FALSE)</f>
        <v>Mumbai</v>
      </c>
    </row>
    <row r="536" spans="1:11" x14ac:dyDescent="0.5">
      <c r="A536" t="s">
        <v>273</v>
      </c>
      <c r="B536">
        <v>156</v>
      </c>
      <c r="C536">
        <v>23</v>
      </c>
      <c r="D536">
        <v>3</v>
      </c>
      <c r="E536" t="s">
        <v>23</v>
      </c>
      <c r="F536" t="s">
        <v>57</v>
      </c>
      <c r="G536" t="s">
        <v>10</v>
      </c>
      <c r="H536" s="1">
        <f>VLOOKUP(A536, [1]Orders!A:B, 2, FALSE)</f>
        <v>43169</v>
      </c>
      <c r="I536" t="str">
        <f>VLOOKUP(A536, [1]Orders!A:E, 3, FALSE)</f>
        <v>Mayank</v>
      </c>
      <c r="J536" t="str">
        <f>VLOOKUP(A536, [1]Orders!A:E, 4, FALSE)</f>
        <v>Maharashtra</v>
      </c>
      <c r="K536" t="str">
        <f>VLOOKUP(A536, [1]Orders!A:E, 5, FALSE)</f>
        <v>Mumbai</v>
      </c>
    </row>
    <row r="537" spans="1:11" x14ac:dyDescent="0.5">
      <c r="A537" t="s">
        <v>286</v>
      </c>
      <c r="B537">
        <v>154</v>
      </c>
      <c r="C537">
        <v>54</v>
      </c>
      <c r="D537">
        <v>3</v>
      </c>
      <c r="E537" t="s">
        <v>23</v>
      </c>
      <c r="F537" t="s">
        <v>30</v>
      </c>
      <c r="G537" t="s">
        <v>10</v>
      </c>
      <c r="H537" s="1">
        <f>VLOOKUP(A537, [1]Orders!A:B, 2, FALSE)</f>
        <v>43382</v>
      </c>
      <c r="I537" t="str">
        <f>VLOOKUP(A537, [1]Orders!A:E, 3, FALSE)</f>
        <v>Suman</v>
      </c>
      <c r="J537" t="str">
        <f>VLOOKUP(A537, [1]Orders!A:E, 4, FALSE)</f>
        <v xml:space="preserve">Kerala </v>
      </c>
      <c r="K537" t="str">
        <f>VLOOKUP(A537, [1]Orders!A:E, 5, FALSE)</f>
        <v>Thiruvananthapuram</v>
      </c>
    </row>
    <row r="538" spans="1:11" x14ac:dyDescent="0.5">
      <c r="A538" t="s">
        <v>331</v>
      </c>
      <c r="B538">
        <v>36</v>
      </c>
      <c r="C538">
        <v>15</v>
      </c>
      <c r="D538">
        <v>3</v>
      </c>
      <c r="E538" t="s">
        <v>23</v>
      </c>
      <c r="F538" t="s">
        <v>57</v>
      </c>
      <c r="G538" t="s">
        <v>28</v>
      </c>
      <c r="H538" s="1">
        <f>VLOOKUP(A538, [1]Orders!A:B, 2, FALSE)</f>
        <v>43159</v>
      </c>
      <c r="I538" t="str">
        <f>VLOOKUP(A538, [1]Orders!A:E, 3, FALSE)</f>
        <v>Manish</v>
      </c>
      <c r="J538" t="str">
        <f>VLOOKUP(A538, [1]Orders!A:E, 4, FALSE)</f>
        <v>Himachal Pradesh</v>
      </c>
      <c r="K538" t="str">
        <f>VLOOKUP(A538, [1]Orders!A:E, 5, FALSE)</f>
        <v>Simla</v>
      </c>
    </row>
    <row r="539" spans="1:11" x14ac:dyDescent="0.5">
      <c r="A539" t="s">
        <v>332</v>
      </c>
      <c r="B539">
        <v>206</v>
      </c>
      <c r="C539">
        <v>51</v>
      </c>
      <c r="D539">
        <v>4</v>
      </c>
      <c r="E539" t="s">
        <v>23</v>
      </c>
      <c r="F539" t="s">
        <v>30</v>
      </c>
      <c r="G539" t="s">
        <v>19</v>
      </c>
      <c r="H539" s="1">
        <f>VLOOKUP(A539, [1]Orders!A:B, 2, FALSE)</f>
        <v>43140</v>
      </c>
      <c r="I539" t="str">
        <f>VLOOKUP(A539, [1]Orders!A:E, 3, FALSE)</f>
        <v>Kalyani</v>
      </c>
      <c r="J539" t="str">
        <f>VLOOKUP(A539, [1]Orders!A:E, 4, FALSE)</f>
        <v>Tamil Nadu</v>
      </c>
      <c r="K539" t="str">
        <f>VLOOKUP(A539, [1]Orders!A:E, 5, FALSE)</f>
        <v>Chennai</v>
      </c>
    </row>
    <row r="540" spans="1:11" x14ac:dyDescent="0.5">
      <c r="A540" t="s">
        <v>333</v>
      </c>
      <c r="B540">
        <v>200</v>
      </c>
      <c r="C540">
        <v>7</v>
      </c>
      <c r="D540">
        <v>4</v>
      </c>
      <c r="E540" t="s">
        <v>8</v>
      </c>
      <c r="F540" t="s">
        <v>9</v>
      </c>
      <c r="G540" t="s">
        <v>19</v>
      </c>
      <c r="H540" s="1">
        <f>VLOOKUP(A540, [1]Orders!A:B, 2, FALSE)</f>
        <v>43465</v>
      </c>
      <c r="I540" t="str">
        <f>VLOOKUP(A540, [1]Orders!A:E, 3, FALSE)</f>
        <v>Shreya</v>
      </c>
      <c r="J540" t="str">
        <f>VLOOKUP(A540, [1]Orders!A:E, 4, FALSE)</f>
        <v>Uttar Pradesh</v>
      </c>
      <c r="K540" t="str">
        <f>VLOOKUP(A540, [1]Orders!A:E, 5, FALSE)</f>
        <v>Lucknow</v>
      </c>
    </row>
    <row r="541" spans="1:11" x14ac:dyDescent="0.5">
      <c r="A541" t="s">
        <v>332</v>
      </c>
      <c r="B541">
        <v>199</v>
      </c>
      <c r="C541">
        <v>-1</v>
      </c>
      <c r="D541">
        <v>1</v>
      </c>
      <c r="E541" t="s">
        <v>23</v>
      </c>
      <c r="F541" t="s">
        <v>26</v>
      </c>
      <c r="G541" t="s">
        <v>19</v>
      </c>
      <c r="H541" s="1">
        <f>VLOOKUP(A541, [1]Orders!A:B, 2, FALSE)</f>
        <v>43140</v>
      </c>
      <c r="I541" t="str">
        <f>VLOOKUP(A541, [1]Orders!A:E, 3, FALSE)</f>
        <v>Kalyani</v>
      </c>
      <c r="J541" t="str">
        <f>VLOOKUP(A541, [1]Orders!A:E, 4, FALSE)</f>
        <v>Tamil Nadu</v>
      </c>
      <c r="K541" t="str">
        <f>VLOOKUP(A541, [1]Orders!A:E, 5, FALSE)</f>
        <v>Chennai</v>
      </c>
    </row>
    <row r="542" spans="1:11" x14ac:dyDescent="0.5">
      <c r="A542" t="s">
        <v>288</v>
      </c>
      <c r="B542">
        <v>154</v>
      </c>
      <c r="C542">
        <v>22</v>
      </c>
      <c r="D542">
        <v>7</v>
      </c>
      <c r="E542" t="s">
        <v>23</v>
      </c>
      <c r="F542" t="s">
        <v>81</v>
      </c>
      <c r="G542" t="s">
        <v>10</v>
      </c>
      <c r="H542" s="1">
        <f>VLOOKUP(A542, [1]Orders!A:B, 2, FALSE)</f>
        <v>43329</v>
      </c>
      <c r="I542" t="str">
        <f>VLOOKUP(A542, [1]Orders!A:E, 3, FALSE)</f>
        <v>Shivam</v>
      </c>
      <c r="J542" t="str">
        <f>VLOOKUP(A542, [1]Orders!A:E, 4, FALSE)</f>
        <v>Uttar Pradesh</v>
      </c>
      <c r="K542" t="str">
        <f>VLOOKUP(A542, [1]Orders!A:E, 5, FALSE)</f>
        <v>Lucknow</v>
      </c>
    </row>
    <row r="543" spans="1:11" x14ac:dyDescent="0.5">
      <c r="A543" t="s">
        <v>334</v>
      </c>
      <c r="B543">
        <v>152</v>
      </c>
      <c r="C543">
        <v>23</v>
      </c>
      <c r="D543">
        <v>3</v>
      </c>
      <c r="E543" t="s">
        <v>12</v>
      </c>
      <c r="F543" t="s">
        <v>131</v>
      </c>
      <c r="G543" t="s">
        <v>10</v>
      </c>
      <c r="H543" s="1">
        <f>VLOOKUP(A543, [1]Orders!A:B, 2, FALSE)</f>
        <v>43113</v>
      </c>
      <c r="I543" t="str">
        <f>VLOOKUP(A543, [1]Orders!A:E, 3, FALSE)</f>
        <v>Mukund</v>
      </c>
      <c r="J543" t="str">
        <f>VLOOKUP(A543, [1]Orders!A:E, 4, FALSE)</f>
        <v>Maharashtra</v>
      </c>
      <c r="K543" t="str">
        <f>VLOOKUP(A543, [1]Orders!A:E, 5, FALSE)</f>
        <v>Pune</v>
      </c>
    </row>
    <row r="544" spans="1:11" x14ac:dyDescent="0.5">
      <c r="A544" t="s">
        <v>335</v>
      </c>
      <c r="B544">
        <v>152</v>
      </c>
      <c r="C544">
        <v>50</v>
      </c>
      <c r="D544">
        <v>6</v>
      </c>
      <c r="E544" t="s">
        <v>23</v>
      </c>
      <c r="F544" t="s">
        <v>57</v>
      </c>
      <c r="G544" t="s">
        <v>10</v>
      </c>
      <c r="H544" s="1">
        <f>VLOOKUP(A544, [1]Orders!A:B, 2, FALSE)</f>
        <v>43186</v>
      </c>
      <c r="I544" t="str">
        <f>VLOOKUP(A544, [1]Orders!A:E, 3, FALSE)</f>
        <v>Deepak</v>
      </c>
      <c r="J544" t="str">
        <f>VLOOKUP(A544, [1]Orders!A:E, 4, FALSE)</f>
        <v>Madhya Pradesh</v>
      </c>
      <c r="K544" t="str">
        <f>VLOOKUP(A544, [1]Orders!A:E, 5, FALSE)</f>
        <v>Bhopal</v>
      </c>
    </row>
    <row r="545" spans="1:11" x14ac:dyDescent="0.5">
      <c r="A545" t="s">
        <v>205</v>
      </c>
      <c r="B545">
        <v>122</v>
      </c>
      <c r="C545">
        <v>-21</v>
      </c>
      <c r="D545">
        <v>3</v>
      </c>
      <c r="E545" t="s">
        <v>12</v>
      </c>
      <c r="F545" t="s">
        <v>131</v>
      </c>
      <c r="G545" t="s">
        <v>28</v>
      </c>
      <c r="H545" s="1">
        <f>VLOOKUP(A545, [1]Orders!A:B, 2, FALSE)</f>
        <v>43230</v>
      </c>
      <c r="I545" t="str">
        <f>VLOOKUP(A545, [1]Orders!A:E, 3, FALSE)</f>
        <v>Sabah</v>
      </c>
      <c r="J545" t="str">
        <f>VLOOKUP(A545, [1]Orders!A:E, 4, FALSE)</f>
        <v>Maharashtra</v>
      </c>
      <c r="K545" t="str">
        <f>VLOOKUP(A545, [1]Orders!A:E, 5, FALSE)</f>
        <v>Mumbai</v>
      </c>
    </row>
    <row r="546" spans="1:11" x14ac:dyDescent="0.5">
      <c r="A546" t="s">
        <v>234</v>
      </c>
      <c r="B546">
        <v>149</v>
      </c>
      <c r="C546">
        <v>48</v>
      </c>
      <c r="D546">
        <v>6</v>
      </c>
      <c r="E546" t="s">
        <v>23</v>
      </c>
      <c r="F546" t="s">
        <v>57</v>
      </c>
      <c r="G546" t="s">
        <v>10</v>
      </c>
      <c r="H546" s="1">
        <f>VLOOKUP(A546, [1]Orders!A:B, 2, FALSE)</f>
        <v>43412</v>
      </c>
      <c r="I546" t="str">
        <f>VLOOKUP(A546, [1]Orders!A:E, 3, FALSE)</f>
        <v>Shubham</v>
      </c>
      <c r="J546" t="str">
        <f>VLOOKUP(A546, [1]Orders!A:E, 4, FALSE)</f>
        <v>Maharashtra</v>
      </c>
      <c r="K546" t="str">
        <f>VLOOKUP(A546, [1]Orders!A:E, 5, FALSE)</f>
        <v>Pune</v>
      </c>
    </row>
    <row r="547" spans="1:11" x14ac:dyDescent="0.5">
      <c r="A547" t="s">
        <v>336</v>
      </c>
      <c r="B547">
        <v>149</v>
      </c>
      <c r="C547">
        <v>-87</v>
      </c>
      <c r="D547">
        <v>4</v>
      </c>
      <c r="E547" t="s">
        <v>23</v>
      </c>
      <c r="F547" t="s">
        <v>26</v>
      </c>
      <c r="G547" t="s">
        <v>10</v>
      </c>
      <c r="H547" s="1">
        <f>VLOOKUP(A547, [1]Orders!A:B, 2, FALSE)</f>
        <v>43212</v>
      </c>
      <c r="I547" t="str">
        <f>VLOOKUP(A547, [1]Orders!A:E, 3, FALSE)</f>
        <v>Atharv</v>
      </c>
      <c r="J547" t="str">
        <f>VLOOKUP(A547, [1]Orders!A:E, 4, FALSE)</f>
        <v>West Bengal</v>
      </c>
      <c r="K547" t="str">
        <f>VLOOKUP(A547, [1]Orders!A:E, 5, FALSE)</f>
        <v>Kolkata</v>
      </c>
    </row>
    <row r="548" spans="1:11" x14ac:dyDescent="0.5">
      <c r="A548" t="s">
        <v>281</v>
      </c>
      <c r="B548">
        <v>197</v>
      </c>
      <c r="C548">
        <v>20</v>
      </c>
      <c r="D548">
        <v>4</v>
      </c>
      <c r="E548" t="s">
        <v>23</v>
      </c>
      <c r="F548" t="s">
        <v>32</v>
      </c>
      <c r="G548" t="s">
        <v>19</v>
      </c>
      <c r="H548" s="1">
        <f>VLOOKUP(A548, [1]Orders!A:B, 2, FALSE)</f>
        <v>43131</v>
      </c>
      <c r="I548" t="str">
        <f>VLOOKUP(A548, [1]Orders!A:E, 3, FALSE)</f>
        <v>Ginny</v>
      </c>
      <c r="J548" t="str">
        <f>VLOOKUP(A548, [1]Orders!A:E, 4, FALSE)</f>
        <v>Madhya Pradesh</v>
      </c>
      <c r="K548" t="str">
        <f>VLOOKUP(A548, [1]Orders!A:E, 5, FALSE)</f>
        <v>Indore</v>
      </c>
    </row>
    <row r="549" spans="1:11" x14ac:dyDescent="0.5">
      <c r="A549" t="s">
        <v>66</v>
      </c>
      <c r="B549">
        <v>76</v>
      </c>
      <c r="C549">
        <v>-54</v>
      </c>
      <c r="D549">
        <v>3</v>
      </c>
      <c r="E549" t="s">
        <v>8</v>
      </c>
      <c r="F549" t="s">
        <v>9</v>
      </c>
      <c r="G549" t="s">
        <v>10</v>
      </c>
      <c r="H549" s="1">
        <f>VLOOKUP(A549, [1]Orders!A:B, 2, FALSE)</f>
        <v>43299</v>
      </c>
      <c r="I549" t="str">
        <f>VLOOKUP(A549, [1]Orders!A:E, 3, FALSE)</f>
        <v>Wale</v>
      </c>
      <c r="J549" t="str">
        <f>VLOOKUP(A549, [1]Orders!A:E, 4, FALSE)</f>
        <v>Maharashtra</v>
      </c>
      <c r="K549" t="str">
        <f>VLOOKUP(A549, [1]Orders!A:E, 5, FALSE)</f>
        <v>Mumbai</v>
      </c>
    </row>
    <row r="550" spans="1:11" x14ac:dyDescent="0.5">
      <c r="A550" t="s">
        <v>262</v>
      </c>
      <c r="B550">
        <v>221</v>
      </c>
      <c r="C550">
        <v>-15</v>
      </c>
      <c r="D550">
        <v>2</v>
      </c>
      <c r="E550" t="s">
        <v>8</v>
      </c>
      <c r="F550" t="s">
        <v>9</v>
      </c>
      <c r="G550" t="s">
        <v>10</v>
      </c>
      <c r="H550" s="1">
        <f>VLOOKUP(A550, [1]Orders!A:B, 2, FALSE)</f>
        <v>43326</v>
      </c>
      <c r="I550" t="str">
        <f>VLOOKUP(A550, [1]Orders!A:E, 3, FALSE)</f>
        <v>Nishant</v>
      </c>
      <c r="J550" t="str">
        <f>VLOOKUP(A550, [1]Orders!A:E, 4, FALSE)</f>
        <v>Maharashtra</v>
      </c>
      <c r="K550" t="str">
        <f>VLOOKUP(A550, [1]Orders!A:E, 5, FALSE)</f>
        <v>Mumbai</v>
      </c>
    </row>
    <row r="551" spans="1:11" x14ac:dyDescent="0.5">
      <c r="A551" t="s">
        <v>230</v>
      </c>
      <c r="B551">
        <v>79</v>
      </c>
      <c r="C551">
        <v>32</v>
      </c>
      <c r="D551">
        <v>3</v>
      </c>
      <c r="E551" t="s">
        <v>23</v>
      </c>
      <c r="F551" t="s">
        <v>26</v>
      </c>
      <c r="G551" t="s">
        <v>82</v>
      </c>
      <c r="H551" s="1">
        <f>VLOOKUP(A551, [1]Orders!A:B, 2, FALSE)</f>
        <v>43165</v>
      </c>
      <c r="I551" t="str">
        <f>VLOOKUP(A551, [1]Orders!A:E, 3, FALSE)</f>
        <v>Paridhi</v>
      </c>
      <c r="J551" t="str">
        <f>VLOOKUP(A551, [1]Orders!A:E, 4, FALSE)</f>
        <v>Rajasthan</v>
      </c>
      <c r="K551" t="str">
        <f>VLOOKUP(A551, [1]Orders!A:E, 5, FALSE)</f>
        <v>Jaipur</v>
      </c>
    </row>
    <row r="552" spans="1:11" x14ac:dyDescent="0.5">
      <c r="A552" t="s">
        <v>337</v>
      </c>
      <c r="B552">
        <v>45</v>
      </c>
      <c r="C552">
        <v>12</v>
      </c>
      <c r="D552">
        <v>7</v>
      </c>
      <c r="E552" t="s">
        <v>23</v>
      </c>
      <c r="F552" t="s">
        <v>30</v>
      </c>
      <c r="G552" t="s">
        <v>28</v>
      </c>
      <c r="H552" s="1">
        <f>VLOOKUP(A552, [1]Orders!A:B, 2, FALSE)</f>
        <v>43374</v>
      </c>
      <c r="I552" t="str">
        <f>VLOOKUP(A552, [1]Orders!A:E, 3, FALSE)</f>
        <v>Ishit</v>
      </c>
      <c r="J552" t="str">
        <f>VLOOKUP(A552, [1]Orders!A:E, 4, FALSE)</f>
        <v>Maharashtra</v>
      </c>
      <c r="K552" t="str">
        <f>VLOOKUP(A552, [1]Orders!A:E, 5, FALSE)</f>
        <v>Pune</v>
      </c>
    </row>
    <row r="553" spans="1:11" x14ac:dyDescent="0.5">
      <c r="A553" t="s">
        <v>221</v>
      </c>
      <c r="B553">
        <v>149</v>
      </c>
      <c r="C553">
        <v>-1</v>
      </c>
      <c r="D553">
        <v>1</v>
      </c>
      <c r="E553" t="s">
        <v>23</v>
      </c>
      <c r="F553" t="s">
        <v>26</v>
      </c>
      <c r="G553" t="s">
        <v>10</v>
      </c>
      <c r="H553" s="1">
        <f>VLOOKUP(A553, [1]Orders!A:B, 2, FALSE)</f>
        <v>43248</v>
      </c>
      <c r="I553" t="str">
        <f>VLOOKUP(A553, [1]Orders!A:E, 3, FALSE)</f>
        <v>Arsheen</v>
      </c>
      <c r="J553" t="str">
        <f>VLOOKUP(A553, [1]Orders!A:E, 4, FALSE)</f>
        <v>Gujarat</v>
      </c>
      <c r="K553" t="str">
        <f>VLOOKUP(A553, [1]Orders!A:E, 5, FALSE)</f>
        <v>Ahmedabad</v>
      </c>
    </row>
    <row r="554" spans="1:11" x14ac:dyDescent="0.5">
      <c r="A554" t="s">
        <v>301</v>
      </c>
      <c r="B554">
        <v>80</v>
      </c>
      <c r="C554">
        <v>22</v>
      </c>
      <c r="D554">
        <v>3</v>
      </c>
      <c r="E554" t="s">
        <v>23</v>
      </c>
      <c r="F554" t="s">
        <v>57</v>
      </c>
      <c r="G554" t="s">
        <v>82</v>
      </c>
      <c r="H554" s="1">
        <f>VLOOKUP(A554, [1]Orders!A:B, 2, FALSE)</f>
        <v>43139</v>
      </c>
      <c r="I554" t="str">
        <f>VLOOKUP(A554, [1]Orders!A:E, 3, FALSE)</f>
        <v>Harsh</v>
      </c>
      <c r="J554" t="str">
        <f>VLOOKUP(A554, [1]Orders!A:E, 4, FALSE)</f>
        <v>Delhi</v>
      </c>
      <c r="K554" t="str">
        <f>VLOOKUP(A554, [1]Orders!A:E, 5, FALSE)</f>
        <v>Delhi</v>
      </c>
    </row>
    <row r="555" spans="1:11" x14ac:dyDescent="0.5">
      <c r="A555" t="s">
        <v>256</v>
      </c>
      <c r="B555">
        <v>195</v>
      </c>
      <c r="C555">
        <v>12</v>
      </c>
      <c r="D555">
        <v>9</v>
      </c>
      <c r="E555" t="s">
        <v>23</v>
      </c>
      <c r="F555" t="s">
        <v>142</v>
      </c>
      <c r="G555" t="s">
        <v>19</v>
      </c>
      <c r="H555" s="1">
        <f>VLOOKUP(A555, [1]Orders!A:B, 2, FALSE)</f>
        <v>43141</v>
      </c>
      <c r="I555" t="str">
        <f>VLOOKUP(A555, [1]Orders!A:E, 3, FALSE)</f>
        <v>Komal</v>
      </c>
      <c r="J555" t="str">
        <f>VLOOKUP(A555, [1]Orders!A:E, 4, FALSE)</f>
        <v>Uttar Pradesh</v>
      </c>
      <c r="K555" t="str">
        <f>VLOOKUP(A555, [1]Orders!A:E, 5, FALSE)</f>
        <v>Lucknow</v>
      </c>
    </row>
    <row r="556" spans="1:11" x14ac:dyDescent="0.5">
      <c r="A556" t="s">
        <v>54</v>
      </c>
      <c r="B556">
        <v>19</v>
      </c>
      <c r="C556">
        <v>0</v>
      </c>
      <c r="D556">
        <v>3</v>
      </c>
      <c r="E556" t="s">
        <v>23</v>
      </c>
      <c r="F556" t="s">
        <v>43</v>
      </c>
      <c r="G556" t="s">
        <v>28</v>
      </c>
      <c r="H556" s="1">
        <f>VLOOKUP(A556, [1]Orders!A:B, 2, FALSE)</f>
        <v>43330</v>
      </c>
      <c r="I556" t="str">
        <f>VLOOKUP(A556, [1]Orders!A:E, 3, FALSE)</f>
        <v>Akshay</v>
      </c>
      <c r="J556" t="str">
        <f>VLOOKUP(A556, [1]Orders!A:E, 4, FALSE)</f>
        <v>Bihar</v>
      </c>
      <c r="K556" t="str">
        <f>VLOOKUP(A556, [1]Orders!A:E, 5, FALSE)</f>
        <v>Patna</v>
      </c>
    </row>
    <row r="557" spans="1:11" x14ac:dyDescent="0.5">
      <c r="A557" t="s">
        <v>132</v>
      </c>
      <c r="B557">
        <v>81</v>
      </c>
      <c r="C557">
        <v>41</v>
      </c>
      <c r="D557">
        <v>3</v>
      </c>
      <c r="E557" t="s">
        <v>23</v>
      </c>
      <c r="F557" t="s">
        <v>57</v>
      </c>
      <c r="G557" t="s">
        <v>82</v>
      </c>
      <c r="H557" s="1">
        <f>VLOOKUP(A557, [1]Orders!A:B, 2, FALSE)</f>
        <v>43114</v>
      </c>
      <c r="I557" t="str">
        <f>VLOOKUP(A557, [1]Orders!A:E, 3, FALSE)</f>
        <v>Krutika</v>
      </c>
      <c r="J557" t="str">
        <f>VLOOKUP(A557, [1]Orders!A:E, 4, FALSE)</f>
        <v>Andhra Pradesh</v>
      </c>
      <c r="K557" t="str">
        <f>VLOOKUP(A557, [1]Orders!A:E, 5, FALSE)</f>
        <v>Hyderabad</v>
      </c>
    </row>
    <row r="558" spans="1:11" x14ac:dyDescent="0.5">
      <c r="A558" t="s">
        <v>338</v>
      </c>
      <c r="B558">
        <v>83</v>
      </c>
      <c r="C558">
        <v>34</v>
      </c>
      <c r="D558">
        <v>5</v>
      </c>
      <c r="E558" t="s">
        <v>23</v>
      </c>
      <c r="F558" t="s">
        <v>142</v>
      </c>
      <c r="G558" t="s">
        <v>82</v>
      </c>
      <c r="H558" s="1">
        <f>VLOOKUP(A558, [1]Orders!A:B, 2, FALSE)</f>
        <v>43156</v>
      </c>
      <c r="I558" t="str">
        <f>VLOOKUP(A558, [1]Orders!A:E, 3, FALSE)</f>
        <v>Hemant</v>
      </c>
      <c r="J558" t="str">
        <f>VLOOKUP(A558, [1]Orders!A:E, 4, FALSE)</f>
        <v xml:space="preserve">Kerala </v>
      </c>
      <c r="K558" t="str">
        <f>VLOOKUP(A558, [1]Orders!A:E, 5, FALSE)</f>
        <v>Thiruvananthapuram</v>
      </c>
    </row>
    <row r="559" spans="1:11" x14ac:dyDescent="0.5">
      <c r="A559" t="s">
        <v>49</v>
      </c>
      <c r="B559">
        <v>149</v>
      </c>
      <c r="C559">
        <v>17</v>
      </c>
      <c r="D559">
        <v>4</v>
      </c>
      <c r="E559" t="s">
        <v>12</v>
      </c>
      <c r="F559" t="s">
        <v>131</v>
      </c>
      <c r="G559" t="s">
        <v>10</v>
      </c>
      <c r="H559" s="1">
        <f>VLOOKUP(A559, [1]Orders!A:B, 2, FALSE)</f>
        <v>43138</v>
      </c>
      <c r="I559" t="str">
        <f>VLOOKUP(A559, [1]Orders!A:E, 3, FALSE)</f>
        <v>Patil</v>
      </c>
      <c r="J559" t="str">
        <f>VLOOKUP(A559, [1]Orders!A:E, 4, FALSE)</f>
        <v>Delhi</v>
      </c>
      <c r="K559" t="str">
        <f>VLOOKUP(A559, [1]Orders!A:E, 5, FALSE)</f>
        <v>Delhi</v>
      </c>
    </row>
    <row r="560" spans="1:11" x14ac:dyDescent="0.5">
      <c r="A560" t="s">
        <v>339</v>
      </c>
      <c r="B560">
        <v>193</v>
      </c>
      <c r="C560">
        <v>46</v>
      </c>
      <c r="D560">
        <v>1</v>
      </c>
      <c r="E560" t="s">
        <v>8</v>
      </c>
      <c r="F560" t="s">
        <v>18</v>
      </c>
      <c r="G560" t="s">
        <v>19</v>
      </c>
      <c r="H560" s="1">
        <f>VLOOKUP(A560, [1]Orders!A:B, 2, FALSE)</f>
        <v>43210</v>
      </c>
      <c r="I560" t="str">
        <f>VLOOKUP(A560, [1]Orders!A:E, 3, FALSE)</f>
        <v>Sarita</v>
      </c>
      <c r="J560" t="str">
        <f>VLOOKUP(A560, [1]Orders!A:E, 4, FALSE)</f>
        <v>Maharashtra</v>
      </c>
      <c r="K560" t="str">
        <f>VLOOKUP(A560, [1]Orders!A:E, 5, FALSE)</f>
        <v>Pune</v>
      </c>
    </row>
    <row r="561" spans="1:11" x14ac:dyDescent="0.5">
      <c r="A561" t="s">
        <v>88</v>
      </c>
      <c r="B561">
        <v>85</v>
      </c>
      <c r="C561">
        <v>24</v>
      </c>
      <c r="D561">
        <v>10</v>
      </c>
      <c r="E561" t="s">
        <v>23</v>
      </c>
      <c r="F561" t="s">
        <v>30</v>
      </c>
      <c r="G561" t="s">
        <v>82</v>
      </c>
      <c r="H561" s="1">
        <f>VLOOKUP(A561, [1]Orders!A:B, 2, FALSE)</f>
        <v>43166</v>
      </c>
      <c r="I561" t="str">
        <f>VLOOKUP(A561, [1]Orders!A:E, 3, FALSE)</f>
        <v>Parishi</v>
      </c>
      <c r="J561" t="str">
        <f>VLOOKUP(A561, [1]Orders!A:E, 4, FALSE)</f>
        <v>West Bengal</v>
      </c>
      <c r="K561" t="str">
        <f>VLOOKUP(A561, [1]Orders!A:E, 5, FALSE)</f>
        <v>Kolkata</v>
      </c>
    </row>
    <row r="562" spans="1:11" x14ac:dyDescent="0.5">
      <c r="A562" t="s">
        <v>221</v>
      </c>
      <c r="B562">
        <v>44</v>
      </c>
      <c r="C562">
        <v>-17</v>
      </c>
      <c r="D562">
        <v>5</v>
      </c>
      <c r="E562" t="s">
        <v>23</v>
      </c>
      <c r="F562" t="s">
        <v>26</v>
      </c>
      <c r="G562" t="s">
        <v>28</v>
      </c>
      <c r="H562" s="1">
        <f>VLOOKUP(A562, [1]Orders!A:B, 2, FALSE)</f>
        <v>43248</v>
      </c>
      <c r="I562" t="str">
        <f>VLOOKUP(A562, [1]Orders!A:E, 3, FALSE)</f>
        <v>Arsheen</v>
      </c>
      <c r="J562" t="str">
        <f>VLOOKUP(A562, [1]Orders!A:E, 4, FALSE)</f>
        <v>Gujarat</v>
      </c>
      <c r="K562" t="str">
        <f>VLOOKUP(A562, [1]Orders!A:E, 5, FALSE)</f>
        <v>Ahmedabad</v>
      </c>
    </row>
    <row r="563" spans="1:11" x14ac:dyDescent="0.5">
      <c r="A563" t="s">
        <v>340</v>
      </c>
      <c r="B563">
        <v>149</v>
      </c>
      <c r="C563">
        <v>-40</v>
      </c>
      <c r="D563">
        <v>2</v>
      </c>
      <c r="E563" t="s">
        <v>8</v>
      </c>
      <c r="F563" t="s">
        <v>21</v>
      </c>
      <c r="G563" t="s">
        <v>10</v>
      </c>
      <c r="H563" s="1">
        <f>VLOOKUP(A563, [1]Orders!A:B, 2, FALSE)</f>
        <v>43297</v>
      </c>
      <c r="I563" t="str">
        <f>VLOOKUP(A563, [1]Orders!A:E, 3, FALSE)</f>
        <v>Anchal</v>
      </c>
      <c r="J563" t="str">
        <f>VLOOKUP(A563, [1]Orders!A:E, 4, FALSE)</f>
        <v>Haryana</v>
      </c>
      <c r="K563" t="str">
        <f>VLOOKUP(A563, [1]Orders!A:E, 5, FALSE)</f>
        <v>Chandigarh</v>
      </c>
    </row>
    <row r="564" spans="1:11" x14ac:dyDescent="0.5">
      <c r="A564" t="s">
        <v>341</v>
      </c>
      <c r="B564">
        <v>26</v>
      </c>
      <c r="C564">
        <v>0</v>
      </c>
      <c r="D564">
        <v>2</v>
      </c>
      <c r="E564" t="s">
        <v>23</v>
      </c>
      <c r="F564" t="s">
        <v>32</v>
      </c>
      <c r="G564" t="s">
        <v>10</v>
      </c>
      <c r="H564" s="1">
        <f>VLOOKUP(A564, [1]Orders!A:B, 2, FALSE)</f>
        <v>43340</v>
      </c>
      <c r="I564" t="str">
        <f>VLOOKUP(A564, [1]Orders!A:E, 3, FALSE)</f>
        <v>Sanjova</v>
      </c>
      <c r="J564" t="str">
        <f>VLOOKUP(A564, [1]Orders!A:E, 4, FALSE)</f>
        <v>Maharashtra</v>
      </c>
      <c r="K564" t="str">
        <f>VLOOKUP(A564, [1]Orders!A:E, 5, FALSE)</f>
        <v>Pune</v>
      </c>
    </row>
    <row r="565" spans="1:11" x14ac:dyDescent="0.5">
      <c r="A565" t="s">
        <v>258</v>
      </c>
      <c r="B565">
        <v>86</v>
      </c>
      <c r="C565">
        <v>0</v>
      </c>
      <c r="D565">
        <v>4</v>
      </c>
      <c r="E565" t="s">
        <v>23</v>
      </c>
      <c r="F565" t="s">
        <v>81</v>
      </c>
      <c r="G565" t="s">
        <v>82</v>
      </c>
      <c r="H565" s="1">
        <f>VLOOKUP(A565, [1]Orders!A:B, 2, FALSE)</f>
        <v>43221</v>
      </c>
      <c r="I565" t="str">
        <f>VLOOKUP(A565, [1]Orders!A:E, 3, FALSE)</f>
        <v>Yaanvi</v>
      </c>
      <c r="J565" t="str">
        <f>VLOOKUP(A565, [1]Orders!A:E, 4, FALSE)</f>
        <v>Madhya Pradesh</v>
      </c>
      <c r="K565" t="str">
        <f>VLOOKUP(A565, [1]Orders!A:E, 5, FALSE)</f>
        <v>Indore</v>
      </c>
    </row>
    <row r="566" spans="1:11" x14ac:dyDescent="0.5">
      <c r="A566" t="s">
        <v>342</v>
      </c>
      <c r="B566">
        <v>86</v>
      </c>
      <c r="C566">
        <v>22</v>
      </c>
      <c r="D566">
        <v>2</v>
      </c>
      <c r="E566" t="s">
        <v>23</v>
      </c>
      <c r="F566" t="s">
        <v>26</v>
      </c>
      <c r="G566" t="s">
        <v>82</v>
      </c>
      <c r="H566" s="1">
        <f>VLOOKUP(A566, [1]Orders!A:B, 2, FALSE)</f>
        <v>43175</v>
      </c>
      <c r="I566" t="str">
        <f>VLOOKUP(A566, [1]Orders!A:E, 3, FALSE)</f>
        <v>Priyanka</v>
      </c>
      <c r="J566" t="str">
        <f>VLOOKUP(A566, [1]Orders!A:E, 4, FALSE)</f>
        <v>Maharashtra</v>
      </c>
      <c r="K566" t="str">
        <f>VLOOKUP(A566, [1]Orders!A:E, 5, FALSE)</f>
        <v>Pune</v>
      </c>
    </row>
    <row r="567" spans="1:11" x14ac:dyDescent="0.5">
      <c r="A567" t="s">
        <v>60</v>
      </c>
      <c r="B567">
        <v>79</v>
      </c>
      <c r="C567">
        <v>16</v>
      </c>
      <c r="D567">
        <v>3</v>
      </c>
      <c r="E567" t="s">
        <v>23</v>
      </c>
      <c r="F567" t="s">
        <v>81</v>
      </c>
      <c r="G567" t="s">
        <v>10</v>
      </c>
      <c r="H567" s="1">
        <f>VLOOKUP(A567, [1]Orders!A:B, 2, FALSE)</f>
        <v>43139</v>
      </c>
      <c r="I567" t="str">
        <f>VLOOKUP(A567, [1]Orders!A:E, 3, FALSE)</f>
        <v>Hitesh</v>
      </c>
      <c r="J567" t="str">
        <f>VLOOKUP(A567, [1]Orders!A:E, 4, FALSE)</f>
        <v>Madhya Pradesh</v>
      </c>
      <c r="K567" t="str">
        <f>VLOOKUP(A567, [1]Orders!A:E, 5, FALSE)</f>
        <v>Bhopal</v>
      </c>
    </row>
    <row r="568" spans="1:11" x14ac:dyDescent="0.5">
      <c r="A568" t="s">
        <v>343</v>
      </c>
      <c r="B568">
        <v>193</v>
      </c>
      <c r="C568">
        <v>-275</v>
      </c>
      <c r="D568">
        <v>3</v>
      </c>
      <c r="E568" t="s">
        <v>8</v>
      </c>
      <c r="F568" t="s">
        <v>21</v>
      </c>
      <c r="G568" t="s">
        <v>19</v>
      </c>
      <c r="H568" s="1">
        <f>VLOOKUP(A568, [1]Orders!A:B, 2, FALSE)</f>
        <v>43288</v>
      </c>
      <c r="I568" t="str">
        <f>VLOOKUP(A568, [1]Orders!A:E, 3, FALSE)</f>
        <v>Adhvaita</v>
      </c>
      <c r="J568" t="str">
        <f>VLOOKUP(A568, [1]Orders!A:E, 4, FALSE)</f>
        <v>Rajasthan</v>
      </c>
      <c r="K568" t="str">
        <f>VLOOKUP(A568, [1]Orders!A:E, 5, FALSE)</f>
        <v>Jaipur</v>
      </c>
    </row>
    <row r="569" spans="1:11" x14ac:dyDescent="0.5">
      <c r="A569" t="s">
        <v>163</v>
      </c>
      <c r="B569">
        <v>148</v>
      </c>
      <c r="C569">
        <v>0</v>
      </c>
      <c r="D569">
        <v>3</v>
      </c>
      <c r="E569" t="s">
        <v>23</v>
      </c>
      <c r="F569" t="s">
        <v>26</v>
      </c>
      <c r="G569" t="s">
        <v>10</v>
      </c>
      <c r="H569" s="1">
        <f>VLOOKUP(A569, [1]Orders!A:B, 2, FALSE)</f>
        <v>43367</v>
      </c>
      <c r="I569" t="str">
        <f>VLOOKUP(A569, [1]Orders!A:E, 3, FALSE)</f>
        <v>Sukrith</v>
      </c>
      <c r="J569" t="str">
        <f>VLOOKUP(A569, [1]Orders!A:E, 4, FALSE)</f>
        <v>Maharashtra</v>
      </c>
      <c r="K569" t="str">
        <f>VLOOKUP(A569, [1]Orders!A:E, 5, FALSE)</f>
        <v>Mumbai</v>
      </c>
    </row>
    <row r="570" spans="1:11" x14ac:dyDescent="0.5">
      <c r="A570" t="s">
        <v>344</v>
      </c>
      <c r="B570">
        <v>70</v>
      </c>
      <c r="C570">
        <v>-14</v>
      </c>
      <c r="D570">
        <v>2</v>
      </c>
      <c r="E570" t="s">
        <v>12</v>
      </c>
      <c r="F570" t="s">
        <v>131</v>
      </c>
      <c r="G570" t="s">
        <v>28</v>
      </c>
      <c r="H570" s="1">
        <f>VLOOKUP(A570, [1]Orders!A:B, 2, FALSE)</f>
        <v>43314</v>
      </c>
      <c r="I570" t="str">
        <f>VLOOKUP(A570, [1]Orders!A:E, 3, FALSE)</f>
        <v>Ayush</v>
      </c>
      <c r="J570" t="str">
        <f>VLOOKUP(A570, [1]Orders!A:E, 4, FALSE)</f>
        <v>Punjab</v>
      </c>
      <c r="K570" t="str">
        <f>VLOOKUP(A570, [1]Orders!A:E, 5, FALSE)</f>
        <v>Chandigarh</v>
      </c>
    </row>
    <row r="571" spans="1:11" x14ac:dyDescent="0.5">
      <c r="A571" t="s">
        <v>345</v>
      </c>
      <c r="B571">
        <v>148</v>
      </c>
      <c r="C571">
        <v>59</v>
      </c>
      <c r="D571">
        <v>3</v>
      </c>
      <c r="E571" t="s">
        <v>23</v>
      </c>
      <c r="F571" t="s">
        <v>30</v>
      </c>
      <c r="G571" t="s">
        <v>10</v>
      </c>
      <c r="H571" s="1">
        <f>VLOOKUP(A571, [1]Orders!A:B, 2, FALSE)</f>
        <v>43345</v>
      </c>
      <c r="I571" t="str">
        <f>VLOOKUP(A571, [1]Orders!A:E, 3, FALSE)</f>
        <v>Vaibhavi</v>
      </c>
      <c r="J571" t="str">
        <f>VLOOKUP(A571, [1]Orders!A:E, 4, FALSE)</f>
        <v>Uttar Pradesh</v>
      </c>
      <c r="K571" t="str">
        <f>VLOOKUP(A571, [1]Orders!A:E, 5, FALSE)</f>
        <v>Lucknow</v>
      </c>
    </row>
    <row r="572" spans="1:11" x14ac:dyDescent="0.5">
      <c r="A572" t="s">
        <v>46</v>
      </c>
      <c r="B572">
        <v>190</v>
      </c>
      <c r="C572">
        <v>19</v>
      </c>
      <c r="D572">
        <v>9</v>
      </c>
      <c r="E572" t="s">
        <v>12</v>
      </c>
      <c r="F572" t="s">
        <v>131</v>
      </c>
      <c r="G572" t="s">
        <v>19</v>
      </c>
      <c r="H572" s="1">
        <f>VLOOKUP(A572, [1]Orders!A:B, 2, FALSE)</f>
        <v>43113</v>
      </c>
      <c r="I572" t="str">
        <f>VLOOKUP(A572, [1]Orders!A:E, 3, FALSE)</f>
        <v>Shruti</v>
      </c>
      <c r="J572" t="str">
        <f>VLOOKUP(A572, [1]Orders!A:E, 4, FALSE)</f>
        <v>Madhya Pradesh</v>
      </c>
      <c r="K572" t="str">
        <f>VLOOKUP(A572, [1]Orders!A:E, 5, FALSE)</f>
        <v>Indore</v>
      </c>
    </row>
    <row r="573" spans="1:11" x14ac:dyDescent="0.5">
      <c r="A573" t="s">
        <v>260</v>
      </c>
      <c r="B573">
        <v>52</v>
      </c>
      <c r="C573">
        <v>14</v>
      </c>
      <c r="D573">
        <v>2</v>
      </c>
      <c r="E573" t="s">
        <v>23</v>
      </c>
      <c r="F573" t="s">
        <v>57</v>
      </c>
      <c r="G573" t="s">
        <v>10</v>
      </c>
      <c r="H573" s="1">
        <f>VLOOKUP(A573, [1]Orders!A:B, 2, FALSE)</f>
        <v>43155</v>
      </c>
      <c r="I573" t="str">
        <f>VLOOKUP(A573, [1]Orders!A:E, 3, FALSE)</f>
        <v>Pooja</v>
      </c>
      <c r="J573" t="str">
        <f>VLOOKUP(A573, [1]Orders!A:E, 4, FALSE)</f>
        <v>Bihar</v>
      </c>
      <c r="K573" t="str">
        <f>VLOOKUP(A573, [1]Orders!A:E, 5, FALSE)</f>
        <v>Patna</v>
      </c>
    </row>
    <row r="574" spans="1:11" x14ac:dyDescent="0.5">
      <c r="A574" t="s">
        <v>327</v>
      </c>
      <c r="B574">
        <v>147</v>
      </c>
      <c r="C574">
        <v>44</v>
      </c>
      <c r="D574">
        <v>3</v>
      </c>
      <c r="E574" t="s">
        <v>23</v>
      </c>
      <c r="F574" t="s">
        <v>26</v>
      </c>
      <c r="G574" t="s">
        <v>10</v>
      </c>
      <c r="H574" s="1">
        <f>VLOOKUP(A574, [1]Orders!A:B, 2, FALSE)</f>
        <v>43139</v>
      </c>
      <c r="I574" t="str">
        <f>VLOOKUP(A574, [1]Orders!A:E, 3, FALSE)</f>
        <v>Nandita</v>
      </c>
      <c r="J574" t="str">
        <f>VLOOKUP(A574, [1]Orders!A:E, 4, FALSE)</f>
        <v>Rajasthan</v>
      </c>
      <c r="K574" t="str">
        <f>VLOOKUP(A574, [1]Orders!A:E, 5, FALSE)</f>
        <v>Jaipur</v>
      </c>
    </row>
    <row r="575" spans="1:11" x14ac:dyDescent="0.5">
      <c r="A575" t="s">
        <v>191</v>
      </c>
      <c r="B575">
        <v>190</v>
      </c>
      <c r="C575">
        <v>68</v>
      </c>
      <c r="D575">
        <v>8</v>
      </c>
      <c r="E575" t="s">
        <v>23</v>
      </c>
      <c r="F575" t="s">
        <v>81</v>
      </c>
      <c r="G575" t="s">
        <v>19</v>
      </c>
      <c r="H575" s="1">
        <f>VLOOKUP(A575, [1]Orders!A:B, 2, FALSE)</f>
        <v>43439</v>
      </c>
      <c r="I575" t="str">
        <f>VLOOKUP(A575, [1]Orders!A:E, 3, FALSE)</f>
        <v>Aman</v>
      </c>
      <c r="J575" t="str">
        <f>VLOOKUP(A575, [1]Orders!A:E, 4, FALSE)</f>
        <v>Maharashtra</v>
      </c>
      <c r="K575" t="str">
        <f>VLOOKUP(A575, [1]Orders!A:E, 5, FALSE)</f>
        <v>Mumbai</v>
      </c>
    </row>
    <row r="576" spans="1:11" x14ac:dyDescent="0.5">
      <c r="A576" t="s">
        <v>346</v>
      </c>
      <c r="B576">
        <v>80</v>
      </c>
      <c r="C576">
        <v>-56</v>
      </c>
      <c r="D576">
        <v>4</v>
      </c>
      <c r="E576" t="s">
        <v>8</v>
      </c>
      <c r="F576" t="s">
        <v>9</v>
      </c>
      <c r="G576" t="s">
        <v>28</v>
      </c>
      <c r="H576" s="1">
        <f>VLOOKUP(A576, [1]Orders!A:B, 2, FALSE)</f>
        <v>43191</v>
      </c>
      <c r="I576" t="str">
        <f>VLOOKUP(A576, [1]Orders!A:E, 3, FALSE)</f>
        <v>Bharat</v>
      </c>
      <c r="J576" t="str">
        <f>VLOOKUP(A576, [1]Orders!A:E, 4, FALSE)</f>
        <v>Gujarat</v>
      </c>
      <c r="K576" t="str">
        <f>VLOOKUP(A576, [1]Orders!A:E, 5, FALSE)</f>
        <v>Ahmedabad</v>
      </c>
    </row>
    <row r="577" spans="1:11" x14ac:dyDescent="0.5">
      <c r="A577" t="s">
        <v>133</v>
      </c>
      <c r="B577">
        <v>147</v>
      </c>
      <c r="C577">
        <v>48</v>
      </c>
      <c r="D577">
        <v>3</v>
      </c>
      <c r="E577" t="s">
        <v>23</v>
      </c>
      <c r="F577" t="s">
        <v>26</v>
      </c>
      <c r="G577" t="s">
        <v>10</v>
      </c>
      <c r="H577" s="1">
        <f>VLOOKUP(A577, [1]Orders!A:B, 2, FALSE)</f>
        <v>43113</v>
      </c>
      <c r="I577" t="str">
        <f>VLOOKUP(A577, [1]Orders!A:E, 3, FALSE)</f>
        <v>Priyanka</v>
      </c>
      <c r="J577" t="str">
        <f>VLOOKUP(A577, [1]Orders!A:E, 4, FALSE)</f>
        <v>Madhya Pradesh</v>
      </c>
      <c r="K577" t="str">
        <f>VLOOKUP(A577, [1]Orders!A:E, 5, FALSE)</f>
        <v>Indore</v>
      </c>
    </row>
    <row r="578" spans="1:11" x14ac:dyDescent="0.5">
      <c r="A578" t="s">
        <v>186</v>
      </c>
      <c r="B578">
        <v>66</v>
      </c>
      <c r="C578">
        <v>12</v>
      </c>
      <c r="D578">
        <v>3</v>
      </c>
      <c r="E578" t="s">
        <v>23</v>
      </c>
      <c r="F578" t="s">
        <v>57</v>
      </c>
      <c r="G578" t="s">
        <v>10</v>
      </c>
      <c r="H578" s="1">
        <f>VLOOKUP(A578, [1]Orders!A:B, 2, FALSE)</f>
        <v>43427</v>
      </c>
      <c r="I578" t="str">
        <f>VLOOKUP(A578, [1]Orders!A:E, 3, FALSE)</f>
        <v>Divyeta</v>
      </c>
      <c r="J578" t="str">
        <f>VLOOKUP(A578, [1]Orders!A:E, 4, FALSE)</f>
        <v>Madhya Pradesh</v>
      </c>
      <c r="K578" t="str">
        <f>VLOOKUP(A578, [1]Orders!A:E, 5, FALSE)</f>
        <v>Indore</v>
      </c>
    </row>
    <row r="579" spans="1:11" x14ac:dyDescent="0.5">
      <c r="A579" t="s">
        <v>347</v>
      </c>
      <c r="B579">
        <v>86</v>
      </c>
      <c r="C579">
        <v>8</v>
      </c>
      <c r="D579">
        <v>2</v>
      </c>
      <c r="E579" t="s">
        <v>23</v>
      </c>
      <c r="F579" t="s">
        <v>26</v>
      </c>
      <c r="G579" t="s">
        <v>82</v>
      </c>
      <c r="H579" s="1">
        <f>VLOOKUP(A579, [1]Orders!A:B, 2, FALSE)</f>
        <v>43407</v>
      </c>
      <c r="I579" t="str">
        <f>VLOOKUP(A579, [1]Orders!A:E, 3, FALSE)</f>
        <v>Swati</v>
      </c>
      <c r="J579" t="str">
        <f>VLOOKUP(A579, [1]Orders!A:E, 4, FALSE)</f>
        <v>Madhya Pradesh</v>
      </c>
      <c r="K579" t="str">
        <f>VLOOKUP(A579, [1]Orders!A:E, 5, FALSE)</f>
        <v>Indore</v>
      </c>
    </row>
    <row r="580" spans="1:11" x14ac:dyDescent="0.5">
      <c r="A580" t="s">
        <v>273</v>
      </c>
      <c r="B580">
        <v>88</v>
      </c>
      <c r="C580">
        <v>19</v>
      </c>
      <c r="D580">
        <v>2</v>
      </c>
      <c r="E580" t="s">
        <v>23</v>
      </c>
      <c r="F580" t="s">
        <v>142</v>
      </c>
      <c r="G580" t="s">
        <v>82</v>
      </c>
      <c r="H580" s="1">
        <f>VLOOKUP(A580, [1]Orders!A:B, 2, FALSE)</f>
        <v>43169</v>
      </c>
      <c r="I580" t="str">
        <f>VLOOKUP(A580, [1]Orders!A:E, 3, FALSE)</f>
        <v>Mayank</v>
      </c>
      <c r="J580" t="str">
        <f>VLOOKUP(A580, [1]Orders!A:E, 4, FALSE)</f>
        <v>Maharashtra</v>
      </c>
      <c r="K580" t="str">
        <f>VLOOKUP(A580, [1]Orders!A:E, 5, FALSE)</f>
        <v>Mumbai</v>
      </c>
    </row>
    <row r="581" spans="1:11" x14ac:dyDescent="0.5">
      <c r="A581" t="s">
        <v>132</v>
      </c>
      <c r="B581">
        <v>188</v>
      </c>
      <c r="C581">
        <v>-193</v>
      </c>
      <c r="D581">
        <v>2</v>
      </c>
      <c r="E581" t="s">
        <v>8</v>
      </c>
      <c r="F581" t="s">
        <v>9</v>
      </c>
      <c r="G581" t="s">
        <v>19</v>
      </c>
      <c r="H581" s="1">
        <f>VLOOKUP(A581, [1]Orders!A:B, 2, FALSE)</f>
        <v>43114</v>
      </c>
      <c r="I581" t="str">
        <f>VLOOKUP(A581, [1]Orders!A:E, 3, FALSE)</f>
        <v>Krutika</v>
      </c>
      <c r="J581" t="str">
        <f>VLOOKUP(A581, [1]Orders!A:E, 4, FALSE)</f>
        <v>Andhra Pradesh</v>
      </c>
      <c r="K581" t="str">
        <f>VLOOKUP(A581, [1]Orders!A:E, 5, FALSE)</f>
        <v>Hyderabad</v>
      </c>
    </row>
    <row r="582" spans="1:11" x14ac:dyDescent="0.5">
      <c r="A582" t="s">
        <v>179</v>
      </c>
      <c r="B582">
        <v>89</v>
      </c>
      <c r="C582">
        <v>29</v>
      </c>
      <c r="D582">
        <v>2</v>
      </c>
      <c r="E582" t="s">
        <v>23</v>
      </c>
      <c r="F582" t="s">
        <v>57</v>
      </c>
      <c r="G582" t="s">
        <v>28</v>
      </c>
      <c r="H582" s="1">
        <f>VLOOKUP(A582, [1]Orders!A:B, 2, FALSE)</f>
        <v>43113</v>
      </c>
      <c r="I582" t="str">
        <f>VLOOKUP(A582, [1]Orders!A:E, 3, FALSE)</f>
        <v>Jesal</v>
      </c>
      <c r="J582" t="str">
        <f>VLOOKUP(A582, [1]Orders!A:E, 4, FALSE)</f>
        <v>West Bengal</v>
      </c>
      <c r="K582" t="str">
        <f>VLOOKUP(A582, [1]Orders!A:E, 5, FALSE)</f>
        <v>Kolkata</v>
      </c>
    </row>
    <row r="583" spans="1:11" x14ac:dyDescent="0.5">
      <c r="A583" t="s">
        <v>348</v>
      </c>
      <c r="B583">
        <v>146</v>
      </c>
      <c r="C583">
        <v>19</v>
      </c>
      <c r="D583">
        <v>5</v>
      </c>
      <c r="E583" t="s">
        <v>23</v>
      </c>
      <c r="F583" t="s">
        <v>57</v>
      </c>
      <c r="G583" t="s">
        <v>10</v>
      </c>
      <c r="H583" s="1">
        <f>VLOOKUP(A583, [1]Orders!A:B, 2, FALSE)</f>
        <v>43175</v>
      </c>
      <c r="I583" t="str">
        <f>VLOOKUP(A583, [1]Orders!A:E, 3, FALSE)</f>
        <v>Nida</v>
      </c>
      <c r="J583" t="str">
        <f>VLOOKUP(A583, [1]Orders!A:E, 4, FALSE)</f>
        <v>Madhya Pradesh</v>
      </c>
      <c r="K583" t="str">
        <f>VLOOKUP(A583, [1]Orders!A:E, 5, FALSE)</f>
        <v>Indore</v>
      </c>
    </row>
    <row r="584" spans="1:11" x14ac:dyDescent="0.5">
      <c r="A584" t="s">
        <v>124</v>
      </c>
      <c r="B584">
        <v>143</v>
      </c>
      <c r="C584">
        <v>32</v>
      </c>
      <c r="D584">
        <v>1</v>
      </c>
      <c r="E584" t="s">
        <v>12</v>
      </c>
      <c r="F584" t="s">
        <v>16</v>
      </c>
      <c r="G584" t="s">
        <v>10</v>
      </c>
      <c r="H584" s="1">
        <f>VLOOKUP(A584, [1]Orders!A:B, 2, FALSE)</f>
        <v>43153</v>
      </c>
      <c r="I584" t="str">
        <f>VLOOKUP(A584, [1]Orders!A:E, 3, FALSE)</f>
        <v>Atharv</v>
      </c>
      <c r="J584" t="str">
        <f>VLOOKUP(A584, [1]Orders!A:E, 4, FALSE)</f>
        <v>West Bengal</v>
      </c>
      <c r="K584" t="str">
        <f>VLOOKUP(A584, [1]Orders!A:E, 5, FALSE)</f>
        <v>Kolkata</v>
      </c>
    </row>
    <row r="585" spans="1:11" x14ac:dyDescent="0.5">
      <c r="A585" t="s">
        <v>276</v>
      </c>
      <c r="B585">
        <v>25</v>
      </c>
      <c r="C585">
        <v>-1</v>
      </c>
      <c r="D585">
        <v>4</v>
      </c>
      <c r="E585" t="s">
        <v>23</v>
      </c>
      <c r="F585" t="s">
        <v>32</v>
      </c>
      <c r="G585" t="s">
        <v>10</v>
      </c>
      <c r="H585" s="1">
        <f>VLOOKUP(A585, [1]Orders!A:B, 2, FALSE)</f>
        <v>43357</v>
      </c>
      <c r="I585" t="str">
        <f>VLOOKUP(A585, [1]Orders!A:E, 3, FALSE)</f>
        <v>Rutuja</v>
      </c>
      <c r="J585" t="str">
        <f>VLOOKUP(A585, [1]Orders!A:E, 4, FALSE)</f>
        <v>Gujarat</v>
      </c>
      <c r="K585" t="str">
        <f>VLOOKUP(A585, [1]Orders!A:E, 5, FALSE)</f>
        <v>Ahmedabad</v>
      </c>
    </row>
    <row r="586" spans="1:11" x14ac:dyDescent="0.5">
      <c r="A586" t="s">
        <v>329</v>
      </c>
      <c r="B586">
        <v>30</v>
      </c>
      <c r="C586">
        <v>12</v>
      </c>
      <c r="D586">
        <v>3</v>
      </c>
      <c r="E586" t="s">
        <v>23</v>
      </c>
      <c r="F586" t="s">
        <v>43</v>
      </c>
      <c r="G586" t="s">
        <v>28</v>
      </c>
      <c r="H586" s="1">
        <f>VLOOKUP(A586, [1]Orders!A:B, 2, FALSE)</f>
        <v>43160</v>
      </c>
      <c r="I586" t="str">
        <f>VLOOKUP(A586, [1]Orders!A:E, 3, FALSE)</f>
        <v>Amit</v>
      </c>
      <c r="J586" t="str">
        <f>VLOOKUP(A586, [1]Orders!A:E, 4, FALSE)</f>
        <v>Sikkim</v>
      </c>
      <c r="K586" t="str">
        <f>VLOOKUP(A586, [1]Orders!A:E, 5, FALSE)</f>
        <v>Gangtok</v>
      </c>
    </row>
    <row r="587" spans="1:11" x14ac:dyDescent="0.5">
      <c r="A587" t="s">
        <v>144</v>
      </c>
      <c r="B587">
        <v>140</v>
      </c>
      <c r="C587">
        <v>-58</v>
      </c>
      <c r="D587">
        <v>4</v>
      </c>
      <c r="E587" t="s">
        <v>12</v>
      </c>
      <c r="F587" t="s">
        <v>131</v>
      </c>
      <c r="G587" t="s">
        <v>10</v>
      </c>
      <c r="H587" s="1">
        <f>VLOOKUP(A587, [1]Orders!A:B, 2, FALSE)</f>
        <v>43363</v>
      </c>
      <c r="I587" t="str">
        <f>VLOOKUP(A587, [1]Orders!A:E, 3, FALSE)</f>
        <v>Asish</v>
      </c>
      <c r="J587" t="str">
        <f>VLOOKUP(A587, [1]Orders!A:E, 4, FALSE)</f>
        <v>Jammu and Kashmir</v>
      </c>
      <c r="K587" t="str">
        <f>VLOOKUP(A587, [1]Orders!A:E, 5, FALSE)</f>
        <v>Kashmir</v>
      </c>
    </row>
    <row r="588" spans="1:11" x14ac:dyDescent="0.5">
      <c r="A588" t="s">
        <v>246</v>
      </c>
      <c r="B588">
        <v>83</v>
      </c>
      <c r="C588">
        <v>-48</v>
      </c>
      <c r="D588">
        <v>1</v>
      </c>
      <c r="E588" t="s">
        <v>12</v>
      </c>
      <c r="F588" t="s">
        <v>16</v>
      </c>
      <c r="G588" t="s">
        <v>28</v>
      </c>
      <c r="H588" s="1">
        <f>VLOOKUP(A588, [1]Orders!A:B, 2, FALSE)</f>
        <v>43240</v>
      </c>
      <c r="I588" t="str">
        <f>VLOOKUP(A588, [1]Orders!A:E, 3, FALSE)</f>
        <v>Pratyusmita</v>
      </c>
      <c r="J588" t="str">
        <f>VLOOKUP(A588, [1]Orders!A:E, 4, FALSE)</f>
        <v>Bihar</v>
      </c>
      <c r="K588" t="str">
        <f>VLOOKUP(A588, [1]Orders!A:E, 5, FALSE)</f>
        <v>Patna</v>
      </c>
    </row>
    <row r="589" spans="1:11" x14ac:dyDescent="0.5">
      <c r="A589" t="s">
        <v>349</v>
      </c>
      <c r="B589">
        <v>140</v>
      </c>
      <c r="C589">
        <v>6</v>
      </c>
      <c r="D589">
        <v>5</v>
      </c>
      <c r="E589" t="s">
        <v>23</v>
      </c>
      <c r="F589" t="s">
        <v>26</v>
      </c>
      <c r="G589" t="s">
        <v>10</v>
      </c>
      <c r="H589" s="1">
        <f>VLOOKUP(A589, [1]Orders!A:B, 2, FALSE)</f>
        <v>43394</v>
      </c>
      <c r="I589" t="str">
        <f>VLOOKUP(A589, [1]Orders!A:E, 3, FALSE)</f>
        <v>Kartik</v>
      </c>
      <c r="J589" t="str">
        <f>VLOOKUP(A589, [1]Orders!A:E, 4, FALSE)</f>
        <v>Madhya Pradesh</v>
      </c>
      <c r="K589" t="str">
        <f>VLOOKUP(A589, [1]Orders!A:E, 5, FALSE)</f>
        <v>Indore</v>
      </c>
    </row>
    <row r="590" spans="1:11" x14ac:dyDescent="0.5">
      <c r="A590" t="s">
        <v>198</v>
      </c>
      <c r="B590">
        <v>28</v>
      </c>
      <c r="C590">
        <v>14</v>
      </c>
      <c r="D590">
        <v>4</v>
      </c>
      <c r="E590" t="s">
        <v>23</v>
      </c>
      <c r="F590" t="s">
        <v>30</v>
      </c>
      <c r="G590" t="s">
        <v>10</v>
      </c>
      <c r="H590" s="1">
        <f>VLOOKUP(A590, [1]Orders!A:B, 2, FALSE)</f>
        <v>43387</v>
      </c>
      <c r="I590" t="str">
        <f>VLOOKUP(A590, [1]Orders!A:E, 3, FALSE)</f>
        <v>Sandeep</v>
      </c>
      <c r="J590" t="str">
        <f>VLOOKUP(A590, [1]Orders!A:E, 4, FALSE)</f>
        <v>Madhya Pradesh</v>
      </c>
      <c r="K590" t="str">
        <f>VLOOKUP(A590, [1]Orders!A:E, 5, FALSE)</f>
        <v>Indore</v>
      </c>
    </row>
    <row r="591" spans="1:11" x14ac:dyDescent="0.5">
      <c r="A591" t="s">
        <v>350</v>
      </c>
      <c r="B591">
        <v>139</v>
      </c>
      <c r="C591">
        <v>14</v>
      </c>
      <c r="D591">
        <v>3</v>
      </c>
      <c r="E591" t="s">
        <v>23</v>
      </c>
      <c r="F591" t="s">
        <v>57</v>
      </c>
      <c r="G591" t="s">
        <v>10</v>
      </c>
      <c r="H591" s="1">
        <f>VLOOKUP(A591, [1]Orders!A:B, 2, FALSE)</f>
        <v>43341</v>
      </c>
      <c r="I591" t="str">
        <f>VLOOKUP(A591, [1]Orders!A:E, 3, FALSE)</f>
        <v>Meghana</v>
      </c>
      <c r="J591" t="str">
        <f>VLOOKUP(A591, [1]Orders!A:E, 4, FALSE)</f>
        <v>Madhya Pradesh</v>
      </c>
      <c r="K591" t="str">
        <f>VLOOKUP(A591, [1]Orders!A:E, 5, FALSE)</f>
        <v>Bhopal</v>
      </c>
    </row>
    <row r="592" spans="1:11" x14ac:dyDescent="0.5">
      <c r="A592" t="s">
        <v>41</v>
      </c>
      <c r="B592">
        <v>30</v>
      </c>
      <c r="C592">
        <v>14</v>
      </c>
      <c r="D592">
        <v>3</v>
      </c>
      <c r="E592" t="s">
        <v>23</v>
      </c>
      <c r="F592" t="s">
        <v>30</v>
      </c>
      <c r="G592" t="s">
        <v>28</v>
      </c>
      <c r="H592" s="1">
        <f>VLOOKUP(A592, [1]Orders!A:B, 2, FALSE)</f>
        <v>43412</v>
      </c>
      <c r="I592" t="str">
        <f>VLOOKUP(A592, [1]Orders!A:E, 3, FALSE)</f>
        <v>Gaurav</v>
      </c>
      <c r="J592" t="str">
        <f>VLOOKUP(A592, [1]Orders!A:E, 4, FALSE)</f>
        <v>Gujarat</v>
      </c>
      <c r="K592" t="str">
        <f>VLOOKUP(A592, [1]Orders!A:E, 5, FALSE)</f>
        <v>Ahmedabad</v>
      </c>
    </row>
    <row r="593" spans="1:11" x14ac:dyDescent="0.5">
      <c r="A593" t="s">
        <v>254</v>
      </c>
      <c r="B593">
        <v>89</v>
      </c>
      <c r="C593">
        <v>36</v>
      </c>
      <c r="D593">
        <v>3</v>
      </c>
      <c r="E593" t="s">
        <v>23</v>
      </c>
      <c r="F593" t="s">
        <v>142</v>
      </c>
      <c r="G593" t="s">
        <v>28</v>
      </c>
      <c r="H593" s="1">
        <f>VLOOKUP(A593, [1]Orders!A:B, 2, FALSE)</f>
        <v>43152</v>
      </c>
      <c r="I593" t="str">
        <f>VLOOKUP(A593, [1]Orders!A:E, 3, FALSE)</f>
        <v>Sarita</v>
      </c>
      <c r="J593" t="str">
        <f>VLOOKUP(A593, [1]Orders!A:E, 4, FALSE)</f>
        <v>Maharashtra</v>
      </c>
      <c r="K593" t="str">
        <f>VLOOKUP(A593, [1]Orders!A:E, 5, FALSE)</f>
        <v>Pune</v>
      </c>
    </row>
    <row r="594" spans="1:11" x14ac:dyDescent="0.5">
      <c r="A594" t="s">
        <v>121</v>
      </c>
      <c r="B594">
        <v>187</v>
      </c>
      <c r="C594">
        <v>30</v>
      </c>
      <c r="D594">
        <v>4</v>
      </c>
      <c r="E594" t="s">
        <v>8</v>
      </c>
      <c r="F594" t="s">
        <v>73</v>
      </c>
      <c r="G594" t="s">
        <v>19</v>
      </c>
      <c r="H594" s="1">
        <f>VLOOKUP(A594, [1]Orders!A:B, 2, FALSE)</f>
        <v>43303</v>
      </c>
      <c r="I594" t="str">
        <f>VLOOKUP(A594, [1]Orders!A:E, 3, FALSE)</f>
        <v>Rishabh</v>
      </c>
      <c r="J594" t="str">
        <f>VLOOKUP(A594, [1]Orders!A:E, 4, FALSE)</f>
        <v>Rajasthan</v>
      </c>
      <c r="K594" t="str">
        <f>VLOOKUP(A594, [1]Orders!A:E, 5, FALSE)</f>
        <v>Jaipur</v>
      </c>
    </row>
    <row r="595" spans="1:11" x14ac:dyDescent="0.5">
      <c r="A595" t="s">
        <v>273</v>
      </c>
      <c r="B595">
        <v>139</v>
      </c>
      <c r="C595">
        <v>21</v>
      </c>
      <c r="D595">
        <v>3</v>
      </c>
      <c r="E595" t="s">
        <v>8</v>
      </c>
      <c r="F595" t="s">
        <v>73</v>
      </c>
      <c r="G595" t="s">
        <v>10</v>
      </c>
      <c r="H595" s="1">
        <f>VLOOKUP(A595, [1]Orders!A:B, 2, FALSE)</f>
        <v>43169</v>
      </c>
      <c r="I595" t="str">
        <f>VLOOKUP(A595, [1]Orders!A:E, 3, FALSE)</f>
        <v>Mayank</v>
      </c>
      <c r="J595" t="str">
        <f>VLOOKUP(A595, [1]Orders!A:E, 4, FALSE)</f>
        <v>Maharashtra</v>
      </c>
      <c r="K595" t="str">
        <f>VLOOKUP(A595, [1]Orders!A:E, 5, FALSE)</f>
        <v>Mumbai</v>
      </c>
    </row>
    <row r="596" spans="1:11" x14ac:dyDescent="0.5">
      <c r="A596" t="s">
        <v>289</v>
      </c>
      <c r="B596">
        <v>437</v>
      </c>
      <c r="C596">
        <v>-14</v>
      </c>
      <c r="D596">
        <v>2</v>
      </c>
      <c r="E596" t="s">
        <v>23</v>
      </c>
      <c r="F596" t="s">
        <v>26</v>
      </c>
      <c r="G596" t="s">
        <v>28</v>
      </c>
      <c r="H596" s="1">
        <f>VLOOKUP(A596, [1]Orders!A:B, 2, FALSE)</f>
        <v>43349</v>
      </c>
      <c r="I596" t="str">
        <f>VLOOKUP(A596, [1]Orders!A:E, 3, FALSE)</f>
        <v>Shreya</v>
      </c>
      <c r="J596" t="str">
        <f>VLOOKUP(A596, [1]Orders!A:E, 4, FALSE)</f>
        <v xml:space="preserve">Kerala </v>
      </c>
      <c r="K596" t="str">
        <f>VLOOKUP(A596, [1]Orders!A:E, 5, FALSE)</f>
        <v>Thiruvananthapuram</v>
      </c>
    </row>
    <row r="597" spans="1:11" x14ac:dyDescent="0.5">
      <c r="A597" t="s">
        <v>227</v>
      </c>
      <c r="B597">
        <v>138</v>
      </c>
      <c r="C597">
        <v>-3</v>
      </c>
      <c r="D597">
        <v>5</v>
      </c>
      <c r="E597" t="s">
        <v>23</v>
      </c>
      <c r="F597" t="s">
        <v>26</v>
      </c>
      <c r="G597" t="s">
        <v>10</v>
      </c>
      <c r="H597" s="1">
        <f>VLOOKUP(A597, [1]Orders!A:B, 2, FALSE)</f>
        <v>43293</v>
      </c>
      <c r="I597" t="str">
        <f>VLOOKUP(A597, [1]Orders!A:E, 3, FALSE)</f>
        <v>Manshul</v>
      </c>
      <c r="J597" t="str">
        <f>VLOOKUP(A597, [1]Orders!A:E, 4, FALSE)</f>
        <v>Uttar Pradesh</v>
      </c>
      <c r="K597" t="str">
        <f>VLOOKUP(A597, [1]Orders!A:E, 5, FALSE)</f>
        <v>Lucknow</v>
      </c>
    </row>
    <row r="598" spans="1:11" x14ac:dyDescent="0.5">
      <c r="A598" t="s">
        <v>299</v>
      </c>
      <c r="B598">
        <v>85</v>
      </c>
      <c r="C598">
        <v>13</v>
      </c>
      <c r="D598">
        <v>2</v>
      </c>
      <c r="E598" t="s">
        <v>23</v>
      </c>
      <c r="F598" t="s">
        <v>142</v>
      </c>
      <c r="G598" t="s">
        <v>28</v>
      </c>
      <c r="H598" s="1">
        <f>VLOOKUP(A598, [1]Orders!A:B, 2, FALSE)</f>
        <v>43142</v>
      </c>
      <c r="I598" t="str">
        <f>VLOOKUP(A598, [1]Orders!A:E, 3, FALSE)</f>
        <v>Kartikay</v>
      </c>
      <c r="J598" t="str">
        <f>VLOOKUP(A598, [1]Orders!A:E, 4, FALSE)</f>
        <v>Bihar</v>
      </c>
      <c r="K598" t="str">
        <f>VLOOKUP(A598, [1]Orders!A:E, 5, FALSE)</f>
        <v>Patna</v>
      </c>
    </row>
    <row r="599" spans="1:11" x14ac:dyDescent="0.5">
      <c r="A599" t="s">
        <v>202</v>
      </c>
      <c r="B599">
        <v>83</v>
      </c>
      <c r="C599">
        <v>12</v>
      </c>
      <c r="D599">
        <v>3</v>
      </c>
      <c r="E599" t="s">
        <v>23</v>
      </c>
      <c r="F599" t="s">
        <v>57</v>
      </c>
      <c r="G599" t="s">
        <v>28</v>
      </c>
      <c r="H599" s="1">
        <f>VLOOKUP(A599, [1]Orders!A:B, 2, FALSE)</f>
        <v>43438</v>
      </c>
      <c r="I599" t="str">
        <f>VLOOKUP(A599, [1]Orders!A:E, 3, FALSE)</f>
        <v>Vrinda</v>
      </c>
      <c r="J599" t="str">
        <f>VLOOKUP(A599, [1]Orders!A:E, 4, FALSE)</f>
        <v>Uttar Pradesh</v>
      </c>
      <c r="K599" t="str">
        <f>VLOOKUP(A599, [1]Orders!A:E, 5, FALSE)</f>
        <v>Mathura</v>
      </c>
    </row>
    <row r="600" spans="1:11" x14ac:dyDescent="0.5">
      <c r="A600" t="s">
        <v>294</v>
      </c>
      <c r="B600">
        <v>91</v>
      </c>
      <c r="C600">
        <v>22</v>
      </c>
      <c r="D600">
        <v>2</v>
      </c>
      <c r="E600" t="s">
        <v>23</v>
      </c>
      <c r="F600" t="s">
        <v>57</v>
      </c>
      <c r="G600" t="s">
        <v>28</v>
      </c>
      <c r="H600" s="1">
        <f>VLOOKUP(A600, [1]Orders!A:B, 2, FALSE)</f>
        <v>43180</v>
      </c>
      <c r="I600" t="str">
        <f>VLOOKUP(A600, [1]Orders!A:E, 3, FALSE)</f>
        <v>Jahan</v>
      </c>
      <c r="J600" t="str">
        <f>VLOOKUP(A600, [1]Orders!A:E, 4, FALSE)</f>
        <v>Madhya Pradesh</v>
      </c>
      <c r="K600" t="str">
        <f>VLOOKUP(A600, [1]Orders!A:E, 5, FALSE)</f>
        <v>Bhopal</v>
      </c>
    </row>
    <row r="601" spans="1:11" x14ac:dyDescent="0.5">
      <c r="A601" t="s">
        <v>172</v>
      </c>
      <c r="B601">
        <v>137</v>
      </c>
      <c r="C601">
        <v>5</v>
      </c>
      <c r="D601">
        <v>5</v>
      </c>
      <c r="E601" t="s">
        <v>23</v>
      </c>
      <c r="F601" t="s">
        <v>142</v>
      </c>
      <c r="G601" t="s">
        <v>10</v>
      </c>
      <c r="H601" s="1">
        <f>VLOOKUP(A601, [1]Orders!A:B, 2, FALSE)</f>
        <v>43378</v>
      </c>
      <c r="I601" t="str">
        <f>VLOOKUP(A601, [1]Orders!A:E, 3, FALSE)</f>
        <v>Shivanshu</v>
      </c>
      <c r="J601" t="str">
        <f>VLOOKUP(A601, [1]Orders!A:E, 4, FALSE)</f>
        <v>Madhya Pradesh</v>
      </c>
      <c r="K601" t="str">
        <f>VLOOKUP(A601, [1]Orders!A:E, 5, FALSE)</f>
        <v>Indore</v>
      </c>
    </row>
    <row r="602" spans="1:11" x14ac:dyDescent="0.5">
      <c r="A602" t="s">
        <v>351</v>
      </c>
      <c r="B602">
        <v>33</v>
      </c>
      <c r="C602">
        <v>-12</v>
      </c>
      <c r="D602">
        <v>7</v>
      </c>
      <c r="E602" t="s">
        <v>23</v>
      </c>
      <c r="F602" t="s">
        <v>26</v>
      </c>
      <c r="G602" t="s">
        <v>28</v>
      </c>
      <c r="H602" s="1">
        <f>VLOOKUP(A602, [1]Orders!A:B, 2, FALSE)</f>
        <v>43282</v>
      </c>
      <c r="I602" t="str">
        <f>VLOOKUP(A602, [1]Orders!A:E, 3, FALSE)</f>
        <v>Aakanksha</v>
      </c>
      <c r="J602" t="str">
        <f>VLOOKUP(A602, [1]Orders!A:E, 4, FALSE)</f>
        <v>Madhya Pradesh</v>
      </c>
      <c r="K602" t="str">
        <f>VLOOKUP(A602, [1]Orders!A:E, 5, FALSE)</f>
        <v>Indore</v>
      </c>
    </row>
    <row r="603" spans="1:11" x14ac:dyDescent="0.5">
      <c r="A603" t="s">
        <v>67</v>
      </c>
      <c r="B603">
        <v>134</v>
      </c>
      <c r="C603">
        <v>-34</v>
      </c>
      <c r="D603">
        <v>2</v>
      </c>
      <c r="E603" t="s">
        <v>12</v>
      </c>
      <c r="F603" t="s">
        <v>13</v>
      </c>
      <c r="G603" t="s">
        <v>10</v>
      </c>
      <c r="H603" s="1">
        <f>VLOOKUP(A603, [1]Orders!A:B, 2, FALSE)</f>
        <v>43331</v>
      </c>
      <c r="I603" t="str">
        <f>VLOOKUP(A603, [1]Orders!A:E, 3, FALSE)</f>
        <v>Shourya</v>
      </c>
      <c r="J603" t="str">
        <f>VLOOKUP(A603, [1]Orders!A:E, 4, FALSE)</f>
        <v xml:space="preserve">Kerala </v>
      </c>
      <c r="K603" t="str">
        <f>VLOOKUP(A603, [1]Orders!A:E, 5, FALSE)</f>
        <v>Thiruvananthapuram</v>
      </c>
    </row>
    <row r="604" spans="1:11" x14ac:dyDescent="0.5">
      <c r="A604" t="s">
        <v>352</v>
      </c>
      <c r="B604">
        <v>134</v>
      </c>
      <c r="C604">
        <v>42</v>
      </c>
      <c r="D604">
        <v>2</v>
      </c>
      <c r="E604" t="s">
        <v>12</v>
      </c>
      <c r="F604" t="s">
        <v>13</v>
      </c>
      <c r="G604" t="s">
        <v>10</v>
      </c>
      <c r="H604" s="1">
        <f>VLOOKUP(A604, [1]Orders!A:B, 2, FALSE)</f>
        <v>43260</v>
      </c>
      <c r="I604" t="str">
        <f>VLOOKUP(A604, [1]Orders!A:E, 3, FALSE)</f>
        <v>Samiksha</v>
      </c>
      <c r="J604" t="str">
        <f>VLOOKUP(A604, [1]Orders!A:E, 4, FALSE)</f>
        <v>Maharashtra</v>
      </c>
      <c r="K604" t="str">
        <f>VLOOKUP(A604, [1]Orders!A:E, 5, FALSE)</f>
        <v>Mumbai</v>
      </c>
    </row>
    <row r="605" spans="1:11" x14ac:dyDescent="0.5">
      <c r="A605" t="s">
        <v>353</v>
      </c>
      <c r="B605">
        <v>133</v>
      </c>
      <c r="C605">
        <v>-56</v>
      </c>
      <c r="D605">
        <v>2</v>
      </c>
      <c r="E605" t="s">
        <v>12</v>
      </c>
      <c r="F605" t="s">
        <v>13</v>
      </c>
      <c r="G605" t="s">
        <v>10</v>
      </c>
      <c r="H605" s="1">
        <f>VLOOKUP(A605, [1]Orders!A:B, 2, FALSE)</f>
        <v>43315</v>
      </c>
      <c r="I605" t="str">
        <f>VLOOKUP(A605, [1]Orders!A:E, 3, FALSE)</f>
        <v>Daksh</v>
      </c>
      <c r="J605" t="str">
        <f>VLOOKUP(A605, [1]Orders!A:E, 4, FALSE)</f>
        <v>Haryana</v>
      </c>
      <c r="K605" t="str">
        <f>VLOOKUP(A605, [1]Orders!A:E, 5, FALSE)</f>
        <v>Chandigarh</v>
      </c>
    </row>
    <row r="606" spans="1:11" x14ac:dyDescent="0.5">
      <c r="A606" t="s">
        <v>200</v>
      </c>
      <c r="B606">
        <v>93</v>
      </c>
      <c r="C606">
        <v>-84</v>
      </c>
      <c r="D606">
        <v>3</v>
      </c>
      <c r="E606" t="s">
        <v>23</v>
      </c>
      <c r="F606" t="s">
        <v>26</v>
      </c>
      <c r="G606" t="s">
        <v>28</v>
      </c>
      <c r="H606" s="1">
        <f>VLOOKUP(A606, [1]Orders!A:B, 2, FALSE)</f>
        <v>43181</v>
      </c>
      <c r="I606" t="str">
        <f>VLOOKUP(A606, [1]Orders!A:E, 3, FALSE)</f>
        <v>Aarushi</v>
      </c>
      <c r="J606" t="str">
        <f>VLOOKUP(A606, [1]Orders!A:E, 4, FALSE)</f>
        <v>Tamil Nadu</v>
      </c>
      <c r="K606" t="str">
        <f>VLOOKUP(A606, [1]Orders!A:E, 5, FALSE)</f>
        <v>Chennai</v>
      </c>
    </row>
    <row r="607" spans="1:11" x14ac:dyDescent="0.5">
      <c r="A607" t="s">
        <v>161</v>
      </c>
      <c r="B607">
        <v>86</v>
      </c>
      <c r="C607">
        <v>-21</v>
      </c>
      <c r="D607">
        <v>1</v>
      </c>
      <c r="E607" t="s">
        <v>8</v>
      </c>
      <c r="F607" t="s">
        <v>9</v>
      </c>
      <c r="G607" t="s">
        <v>28</v>
      </c>
      <c r="H607" s="1">
        <f>VLOOKUP(A607, [1]Orders!A:B, 2, FALSE)</f>
        <v>43237</v>
      </c>
      <c r="I607" t="str">
        <f>VLOOKUP(A607, [1]Orders!A:E, 3, FALSE)</f>
        <v>Sweta</v>
      </c>
      <c r="J607" t="str">
        <f>VLOOKUP(A607, [1]Orders!A:E, 4, FALSE)</f>
        <v>Maharashtra</v>
      </c>
      <c r="K607" t="str">
        <f>VLOOKUP(A607, [1]Orders!A:E, 5, FALSE)</f>
        <v>Mumbai</v>
      </c>
    </row>
    <row r="608" spans="1:11" x14ac:dyDescent="0.5">
      <c r="A608" t="s">
        <v>48</v>
      </c>
      <c r="B608">
        <v>132</v>
      </c>
      <c r="C608">
        <v>54</v>
      </c>
      <c r="D608">
        <v>5</v>
      </c>
      <c r="E608" t="s">
        <v>23</v>
      </c>
      <c r="F608" t="s">
        <v>57</v>
      </c>
      <c r="G608" t="s">
        <v>10</v>
      </c>
      <c r="H608" s="1">
        <f>VLOOKUP(A608, [1]Orders!A:B, 2, FALSE)</f>
        <v>43407</v>
      </c>
      <c r="I608" t="str">
        <f>VLOOKUP(A608, [1]Orders!A:E, 3, FALSE)</f>
        <v>Snel</v>
      </c>
      <c r="J608" t="str">
        <f>VLOOKUP(A608, [1]Orders!A:E, 4, FALSE)</f>
        <v xml:space="preserve">Kerala </v>
      </c>
      <c r="K608" t="str">
        <f>VLOOKUP(A608, [1]Orders!A:E, 5, FALSE)</f>
        <v>Thiruvananthapuram</v>
      </c>
    </row>
    <row r="609" spans="1:11" x14ac:dyDescent="0.5">
      <c r="A609" t="s">
        <v>83</v>
      </c>
      <c r="B609">
        <v>132</v>
      </c>
      <c r="C609">
        <v>-10</v>
      </c>
      <c r="D609">
        <v>3</v>
      </c>
      <c r="E609" t="s">
        <v>23</v>
      </c>
      <c r="F609" t="s">
        <v>26</v>
      </c>
      <c r="G609" t="s">
        <v>10</v>
      </c>
      <c r="H609" s="1">
        <f>VLOOKUP(A609, [1]Orders!A:B, 2, FALSE)</f>
        <v>43185</v>
      </c>
      <c r="I609" t="str">
        <f>VLOOKUP(A609, [1]Orders!A:E, 3, FALSE)</f>
        <v>Shrichand</v>
      </c>
      <c r="J609" t="str">
        <f>VLOOKUP(A609, [1]Orders!A:E, 4, FALSE)</f>
        <v>Punjab</v>
      </c>
      <c r="K609" t="str">
        <f>VLOOKUP(A609, [1]Orders!A:E, 5, FALSE)</f>
        <v>Chandigarh</v>
      </c>
    </row>
    <row r="610" spans="1:11" x14ac:dyDescent="0.5">
      <c r="A610" t="s">
        <v>252</v>
      </c>
      <c r="B610">
        <v>132</v>
      </c>
      <c r="C610">
        <v>-79</v>
      </c>
      <c r="D610">
        <v>5</v>
      </c>
      <c r="E610" t="s">
        <v>12</v>
      </c>
      <c r="F610" t="s">
        <v>131</v>
      </c>
      <c r="G610" t="s">
        <v>10</v>
      </c>
      <c r="H610" s="1">
        <f>VLOOKUP(A610, [1]Orders!A:B, 2, FALSE)</f>
        <v>43321</v>
      </c>
      <c r="I610" t="str">
        <f>VLOOKUP(A610, [1]Orders!A:E, 3, FALSE)</f>
        <v>Kartik</v>
      </c>
      <c r="J610" t="str">
        <f>VLOOKUP(A610, [1]Orders!A:E, 4, FALSE)</f>
        <v>Gujarat</v>
      </c>
      <c r="K610" t="str">
        <f>VLOOKUP(A610, [1]Orders!A:E, 5, FALSE)</f>
        <v>Ahmedabad</v>
      </c>
    </row>
    <row r="611" spans="1:11" x14ac:dyDescent="0.5">
      <c r="A611" t="s">
        <v>292</v>
      </c>
      <c r="B611">
        <v>93</v>
      </c>
      <c r="C611">
        <v>-65</v>
      </c>
      <c r="D611">
        <v>4</v>
      </c>
      <c r="E611" t="s">
        <v>23</v>
      </c>
      <c r="F611" t="s">
        <v>57</v>
      </c>
      <c r="G611" t="s">
        <v>28</v>
      </c>
      <c r="H611" s="1">
        <f>VLOOKUP(A611, [1]Orders!A:B, 2, FALSE)</f>
        <v>43136</v>
      </c>
      <c r="I611" t="str">
        <f>VLOOKUP(A611, [1]Orders!A:E, 3, FALSE)</f>
        <v>Diwakar</v>
      </c>
      <c r="J611" t="str">
        <f>VLOOKUP(A611, [1]Orders!A:E, 4, FALSE)</f>
        <v>Delhi</v>
      </c>
      <c r="K611" t="str">
        <f>VLOOKUP(A611, [1]Orders!A:E, 5, FALSE)</f>
        <v>Delhi</v>
      </c>
    </row>
    <row r="612" spans="1:11" x14ac:dyDescent="0.5">
      <c r="A612" t="s">
        <v>354</v>
      </c>
      <c r="B612">
        <v>95</v>
      </c>
      <c r="C612">
        <v>5</v>
      </c>
      <c r="D612">
        <v>2</v>
      </c>
      <c r="E612" t="s">
        <v>23</v>
      </c>
      <c r="F612" t="s">
        <v>57</v>
      </c>
      <c r="G612" t="s">
        <v>28</v>
      </c>
      <c r="H612" s="1">
        <f>VLOOKUP(A612, [1]Orders!A:B, 2, FALSE)</f>
        <v>43182</v>
      </c>
      <c r="I612" t="str">
        <f>VLOOKUP(A612, [1]Orders!A:E, 3, FALSE)</f>
        <v>Jitesh</v>
      </c>
      <c r="J612" t="str">
        <f>VLOOKUP(A612, [1]Orders!A:E, 4, FALSE)</f>
        <v>Uttar Pradesh</v>
      </c>
      <c r="K612" t="str">
        <f>VLOOKUP(A612, [1]Orders!A:E, 5, FALSE)</f>
        <v>Lucknow</v>
      </c>
    </row>
    <row r="613" spans="1:11" x14ac:dyDescent="0.5">
      <c r="A613" t="s">
        <v>61</v>
      </c>
      <c r="B613">
        <v>97</v>
      </c>
      <c r="C613">
        <v>12</v>
      </c>
      <c r="D613">
        <v>2</v>
      </c>
      <c r="E613" t="s">
        <v>23</v>
      </c>
      <c r="F613" t="s">
        <v>30</v>
      </c>
      <c r="G613" t="s">
        <v>28</v>
      </c>
      <c r="H613" s="1">
        <f>VLOOKUP(A613, [1]Orders!A:B, 2, FALSE)</f>
        <v>43187</v>
      </c>
      <c r="I613" t="str">
        <f>VLOOKUP(A613, [1]Orders!A:E, 3, FALSE)</f>
        <v>Vini</v>
      </c>
      <c r="J613" t="str">
        <f>VLOOKUP(A613, [1]Orders!A:E, 4, FALSE)</f>
        <v>Karnataka</v>
      </c>
      <c r="K613" t="str">
        <f>VLOOKUP(A613, [1]Orders!A:E, 5, FALSE)</f>
        <v>Bangalore</v>
      </c>
    </row>
    <row r="614" spans="1:11" x14ac:dyDescent="0.5">
      <c r="A614" t="s">
        <v>355</v>
      </c>
      <c r="B614">
        <v>131</v>
      </c>
      <c r="C614">
        <v>-154</v>
      </c>
      <c r="D614">
        <v>8</v>
      </c>
      <c r="E614" t="s">
        <v>12</v>
      </c>
      <c r="F614" t="s">
        <v>131</v>
      </c>
      <c r="G614" t="s">
        <v>10</v>
      </c>
      <c r="H614" s="1">
        <f>VLOOKUP(A614, [1]Orders!A:B, 2, FALSE)</f>
        <v>43307</v>
      </c>
      <c r="I614" t="str">
        <f>VLOOKUP(A614, [1]Orders!A:E, 3, FALSE)</f>
        <v>Akash</v>
      </c>
      <c r="J614" t="str">
        <f>VLOOKUP(A614, [1]Orders!A:E, 4, FALSE)</f>
        <v>West Bengal</v>
      </c>
      <c r="K614" t="str">
        <f>VLOOKUP(A614, [1]Orders!A:E, 5, FALSE)</f>
        <v>Kolkata</v>
      </c>
    </row>
    <row r="615" spans="1:11" x14ac:dyDescent="0.5">
      <c r="A615" t="s">
        <v>298</v>
      </c>
      <c r="B615">
        <v>97</v>
      </c>
      <c r="C615">
        <v>29</v>
      </c>
      <c r="D615">
        <v>2</v>
      </c>
      <c r="E615" t="s">
        <v>23</v>
      </c>
      <c r="F615" t="s">
        <v>30</v>
      </c>
      <c r="G615" t="s">
        <v>28</v>
      </c>
      <c r="H615" s="1">
        <f>VLOOKUP(A615, [1]Orders!A:B, 2, FALSE)</f>
        <v>43213</v>
      </c>
      <c r="I615" t="str">
        <f>VLOOKUP(A615, [1]Orders!A:E, 3, FALSE)</f>
        <v>Pinky</v>
      </c>
      <c r="J615" t="str">
        <f>VLOOKUP(A615, [1]Orders!A:E, 4, FALSE)</f>
        <v>Jammu and Kashmir</v>
      </c>
      <c r="K615" t="str">
        <f>VLOOKUP(A615, [1]Orders!A:E, 5, FALSE)</f>
        <v>Kashmir</v>
      </c>
    </row>
    <row r="616" spans="1:11" x14ac:dyDescent="0.5">
      <c r="A616" t="s">
        <v>41</v>
      </c>
      <c r="B616">
        <v>128</v>
      </c>
      <c r="C616">
        <v>4</v>
      </c>
      <c r="D616">
        <v>3</v>
      </c>
      <c r="E616" t="s">
        <v>23</v>
      </c>
      <c r="F616" t="s">
        <v>26</v>
      </c>
      <c r="G616" t="s">
        <v>10</v>
      </c>
      <c r="H616" s="1">
        <f>VLOOKUP(A616, [1]Orders!A:B, 2, FALSE)</f>
        <v>43412</v>
      </c>
      <c r="I616" t="str">
        <f>VLOOKUP(A616, [1]Orders!A:E, 3, FALSE)</f>
        <v>Gaurav</v>
      </c>
      <c r="J616" t="str">
        <f>VLOOKUP(A616, [1]Orders!A:E, 4, FALSE)</f>
        <v>Gujarat</v>
      </c>
      <c r="K616" t="str">
        <f>VLOOKUP(A616, [1]Orders!A:E, 5, FALSE)</f>
        <v>Ahmedabad</v>
      </c>
    </row>
    <row r="617" spans="1:11" x14ac:dyDescent="0.5">
      <c r="A617" t="s">
        <v>33</v>
      </c>
      <c r="B617">
        <v>186</v>
      </c>
      <c r="C617">
        <v>241</v>
      </c>
      <c r="D617">
        <v>9</v>
      </c>
      <c r="E617" t="s">
        <v>23</v>
      </c>
      <c r="F617" t="s">
        <v>142</v>
      </c>
      <c r="G617" t="s">
        <v>19</v>
      </c>
      <c r="H617" s="1">
        <f>VLOOKUP(A617, [1]Orders!A:B, 2, FALSE)</f>
        <v>43279</v>
      </c>
      <c r="I617" t="str">
        <f>VLOOKUP(A617, [1]Orders!A:E, 3, FALSE)</f>
        <v>Ekta</v>
      </c>
      <c r="J617" t="str">
        <f>VLOOKUP(A617, [1]Orders!A:E, 4, FALSE)</f>
        <v>Madhya Pradesh</v>
      </c>
      <c r="K617" t="str">
        <f>VLOOKUP(A617, [1]Orders!A:E, 5, FALSE)</f>
        <v>Indore</v>
      </c>
    </row>
    <row r="618" spans="1:11" x14ac:dyDescent="0.5">
      <c r="A618" t="s">
        <v>60</v>
      </c>
      <c r="B618">
        <v>128</v>
      </c>
      <c r="C618">
        <v>47</v>
      </c>
      <c r="D618">
        <v>4</v>
      </c>
      <c r="E618" t="s">
        <v>23</v>
      </c>
      <c r="F618" t="s">
        <v>30</v>
      </c>
      <c r="G618" t="s">
        <v>10</v>
      </c>
      <c r="H618" s="1">
        <f>VLOOKUP(A618, [1]Orders!A:B, 2, FALSE)</f>
        <v>43139</v>
      </c>
      <c r="I618" t="str">
        <f>VLOOKUP(A618, [1]Orders!A:E, 3, FALSE)</f>
        <v>Hitesh</v>
      </c>
      <c r="J618" t="str">
        <f>VLOOKUP(A618, [1]Orders!A:E, 4, FALSE)</f>
        <v>Madhya Pradesh</v>
      </c>
      <c r="K618" t="str">
        <f>VLOOKUP(A618, [1]Orders!A:E, 5, FALSE)</f>
        <v>Bhopal</v>
      </c>
    </row>
    <row r="619" spans="1:11" x14ac:dyDescent="0.5">
      <c r="A619" t="s">
        <v>172</v>
      </c>
      <c r="B619">
        <v>185</v>
      </c>
      <c r="C619">
        <v>48</v>
      </c>
      <c r="D619">
        <v>4</v>
      </c>
      <c r="E619" t="s">
        <v>23</v>
      </c>
      <c r="F619" t="s">
        <v>57</v>
      </c>
      <c r="G619" t="s">
        <v>19</v>
      </c>
      <c r="H619" s="1">
        <f>VLOOKUP(A619, [1]Orders!A:B, 2, FALSE)</f>
        <v>43378</v>
      </c>
      <c r="I619" t="str">
        <f>VLOOKUP(A619, [1]Orders!A:E, 3, FALSE)</f>
        <v>Shivanshu</v>
      </c>
      <c r="J619" t="str">
        <f>VLOOKUP(A619, [1]Orders!A:E, 4, FALSE)</f>
        <v>Madhya Pradesh</v>
      </c>
      <c r="K619" t="str">
        <f>VLOOKUP(A619, [1]Orders!A:E, 5, FALSE)</f>
        <v>Indore</v>
      </c>
    </row>
    <row r="620" spans="1:11" x14ac:dyDescent="0.5">
      <c r="A620" t="s">
        <v>356</v>
      </c>
      <c r="B620">
        <v>29</v>
      </c>
      <c r="C620">
        <v>10</v>
      </c>
      <c r="D620">
        <v>2</v>
      </c>
      <c r="E620" t="s">
        <v>23</v>
      </c>
      <c r="F620" t="s">
        <v>57</v>
      </c>
      <c r="G620" t="s">
        <v>10</v>
      </c>
      <c r="H620" s="1">
        <f>VLOOKUP(A620, [1]Orders!A:B, 2, FALSE)</f>
        <v>43293</v>
      </c>
      <c r="I620" t="str">
        <f>VLOOKUP(A620, [1]Orders!A:E, 3, FALSE)</f>
        <v>Rashmi</v>
      </c>
      <c r="J620" t="str">
        <f>VLOOKUP(A620, [1]Orders!A:E, 4, FALSE)</f>
        <v>Madhya Pradesh</v>
      </c>
      <c r="K620" t="str">
        <f>VLOOKUP(A620, [1]Orders!A:E, 5, FALSE)</f>
        <v>Indore</v>
      </c>
    </row>
    <row r="621" spans="1:11" x14ac:dyDescent="0.5">
      <c r="A621" t="s">
        <v>59</v>
      </c>
      <c r="B621">
        <v>127</v>
      </c>
      <c r="C621">
        <v>29</v>
      </c>
      <c r="D621">
        <v>3</v>
      </c>
      <c r="E621" t="s">
        <v>12</v>
      </c>
      <c r="F621" t="s">
        <v>131</v>
      </c>
      <c r="G621" t="s">
        <v>10</v>
      </c>
      <c r="H621" s="1">
        <f>VLOOKUP(A621, [1]Orders!A:B, 2, FALSE)</f>
        <v>43431</v>
      </c>
      <c r="I621" t="str">
        <f>VLOOKUP(A621, [1]Orders!A:E, 3, FALSE)</f>
        <v>Saptadeep</v>
      </c>
      <c r="J621" t="str">
        <f>VLOOKUP(A621, [1]Orders!A:E, 4, FALSE)</f>
        <v>Gujarat</v>
      </c>
      <c r="K621" t="str">
        <f>VLOOKUP(A621, [1]Orders!A:E, 5, FALSE)</f>
        <v>Surat</v>
      </c>
    </row>
    <row r="622" spans="1:11" x14ac:dyDescent="0.5">
      <c r="A622" t="s">
        <v>237</v>
      </c>
      <c r="B622">
        <v>97</v>
      </c>
      <c r="C622">
        <v>36</v>
      </c>
      <c r="D622">
        <v>7</v>
      </c>
      <c r="E622" t="s">
        <v>23</v>
      </c>
      <c r="F622" t="s">
        <v>30</v>
      </c>
      <c r="G622" t="s">
        <v>28</v>
      </c>
      <c r="H622" s="1">
        <f>VLOOKUP(A622, [1]Orders!A:B, 2, FALSE)</f>
        <v>43438</v>
      </c>
      <c r="I622" t="str">
        <f>VLOOKUP(A622, [1]Orders!A:E, 3, FALSE)</f>
        <v>Shivani</v>
      </c>
      <c r="J622" t="str">
        <f>VLOOKUP(A622, [1]Orders!A:E, 4, FALSE)</f>
        <v>Madhya Pradesh</v>
      </c>
      <c r="K622" t="str">
        <f>VLOOKUP(A622, [1]Orders!A:E, 5, FALSE)</f>
        <v>Indore</v>
      </c>
    </row>
    <row r="623" spans="1:11" x14ac:dyDescent="0.5">
      <c r="A623" t="s">
        <v>139</v>
      </c>
      <c r="B623">
        <v>125</v>
      </c>
      <c r="C623">
        <v>0</v>
      </c>
      <c r="D623">
        <v>3</v>
      </c>
      <c r="E623" t="s">
        <v>8</v>
      </c>
      <c r="F623" t="s">
        <v>73</v>
      </c>
      <c r="G623" t="s">
        <v>10</v>
      </c>
      <c r="H623" s="1">
        <f>VLOOKUP(A623, [1]Orders!A:B, 2, FALSE)</f>
        <v>43389</v>
      </c>
      <c r="I623" t="str">
        <f>VLOOKUP(A623, [1]Orders!A:E, 3, FALSE)</f>
        <v>Ajay</v>
      </c>
      <c r="J623" t="str">
        <f>VLOOKUP(A623, [1]Orders!A:E, 4, FALSE)</f>
        <v>West Bengal</v>
      </c>
      <c r="K623" t="str">
        <f>VLOOKUP(A623, [1]Orders!A:E, 5, FALSE)</f>
        <v>Kolkata</v>
      </c>
    </row>
    <row r="624" spans="1:11" x14ac:dyDescent="0.5">
      <c r="A624" t="s">
        <v>357</v>
      </c>
      <c r="B624">
        <v>299</v>
      </c>
      <c r="C624">
        <v>-8</v>
      </c>
      <c r="D624">
        <v>2</v>
      </c>
      <c r="E624" t="s">
        <v>23</v>
      </c>
      <c r="F624" t="s">
        <v>26</v>
      </c>
      <c r="G624" t="s">
        <v>10</v>
      </c>
      <c r="H624" s="1">
        <f>VLOOKUP(A624, [1]Orders!A:B, 2, FALSE)</f>
        <v>43221</v>
      </c>
      <c r="I624" t="str">
        <f>VLOOKUP(A624, [1]Orders!A:E, 3, FALSE)</f>
        <v>Sonal</v>
      </c>
      <c r="J624" t="str">
        <f>VLOOKUP(A624, [1]Orders!A:E, 4, FALSE)</f>
        <v>Bihar</v>
      </c>
      <c r="K624" t="str">
        <f>VLOOKUP(A624, [1]Orders!A:E, 5, FALSE)</f>
        <v>Patna</v>
      </c>
    </row>
    <row r="625" spans="1:11" x14ac:dyDescent="0.5">
      <c r="A625" t="s">
        <v>358</v>
      </c>
      <c r="B625">
        <v>124</v>
      </c>
      <c r="C625">
        <v>54</v>
      </c>
      <c r="D625">
        <v>5</v>
      </c>
      <c r="E625" t="s">
        <v>23</v>
      </c>
      <c r="F625" t="s">
        <v>81</v>
      </c>
      <c r="G625" t="s">
        <v>10</v>
      </c>
      <c r="H625" s="1">
        <f>VLOOKUP(A625, [1]Orders!A:B, 2, FALSE)</f>
        <v>43428</v>
      </c>
      <c r="I625" t="str">
        <f>VLOOKUP(A625, [1]Orders!A:E, 3, FALSE)</f>
        <v>Megha</v>
      </c>
      <c r="J625" t="str">
        <f>VLOOKUP(A625, [1]Orders!A:E, 4, FALSE)</f>
        <v>Rajasthan</v>
      </c>
      <c r="K625" t="str">
        <f>VLOOKUP(A625, [1]Orders!A:E, 5, FALSE)</f>
        <v>Udaipur</v>
      </c>
    </row>
    <row r="626" spans="1:11" x14ac:dyDescent="0.5">
      <c r="A626" t="s">
        <v>227</v>
      </c>
      <c r="B626">
        <v>90</v>
      </c>
      <c r="C626">
        <v>17</v>
      </c>
      <c r="D626">
        <v>3</v>
      </c>
      <c r="E626" t="s">
        <v>23</v>
      </c>
      <c r="F626" t="s">
        <v>142</v>
      </c>
      <c r="G626" t="s">
        <v>10</v>
      </c>
      <c r="H626" s="1">
        <f>VLOOKUP(A626, [1]Orders!A:B, 2, FALSE)</f>
        <v>43293</v>
      </c>
      <c r="I626" t="str">
        <f>VLOOKUP(A626, [1]Orders!A:E, 3, FALSE)</f>
        <v>Manshul</v>
      </c>
      <c r="J626" t="str">
        <f>VLOOKUP(A626, [1]Orders!A:E, 4, FALSE)</f>
        <v>Uttar Pradesh</v>
      </c>
      <c r="K626" t="str">
        <f>VLOOKUP(A626, [1]Orders!A:E, 5, FALSE)</f>
        <v>Lucknow</v>
      </c>
    </row>
    <row r="627" spans="1:11" x14ac:dyDescent="0.5">
      <c r="A627" t="s">
        <v>253</v>
      </c>
      <c r="B627">
        <v>122</v>
      </c>
      <c r="C627">
        <v>11</v>
      </c>
      <c r="D627">
        <v>4</v>
      </c>
      <c r="E627" t="s">
        <v>23</v>
      </c>
      <c r="F627" t="s">
        <v>30</v>
      </c>
      <c r="G627" t="s">
        <v>10</v>
      </c>
      <c r="H627" s="1">
        <f>VLOOKUP(A627, [1]Orders!A:B, 2, FALSE)</f>
        <v>43180</v>
      </c>
      <c r="I627" t="str">
        <f>VLOOKUP(A627, [1]Orders!A:E, 3, FALSE)</f>
        <v>Pournamasi</v>
      </c>
      <c r="J627" t="str">
        <f>VLOOKUP(A627, [1]Orders!A:E, 4, FALSE)</f>
        <v>Madhya Pradesh</v>
      </c>
      <c r="K627" t="str">
        <f>VLOOKUP(A627, [1]Orders!A:E, 5, FALSE)</f>
        <v>Indore</v>
      </c>
    </row>
    <row r="628" spans="1:11" x14ac:dyDescent="0.5">
      <c r="A628" t="s">
        <v>337</v>
      </c>
      <c r="B628">
        <v>122</v>
      </c>
      <c r="C628">
        <v>-66</v>
      </c>
      <c r="D628">
        <v>9</v>
      </c>
      <c r="E628" t="s">
        <v>8</v>
      </c>
      <c r="F628" t="s">
        <v>73</v>
      </c>
      <c r="G628" t="s">
        <v>10</v>
      </c>
      <c r="H628" s="1">
        <f>VLOOKUP(A628, [1]Orders!A:B, 2, FALSE)</f>
        <v>43374</v>
      </c>
      <c r="I628" t="str">
        <f>VLOOKUP(A628, [1]Orders!A:E, 3, FALSE)</f>
        <v>Ishit</v>
      </c>
      <c r="J628" t="str">
        <f>VLOOKUP(A628, [1]Orders!A:E, 4, FALSE)</f>
        <v>Maharashtra</v>
      </c>
      <c r="K628" t="str">
        <f>VLOOKUP(A628, [1]Orders!A:E, 5, FALSE)</f>
        <v>Pune</v>
      </c>
    </row>
    <row r="629" spans="1:11" x14ac:dyDescent="0.5">
      <c r="A629" t="s">
        <v>69</v>
      </c>
      <c r="B629">
        <v>90</v>
      </c>
      <c r="C629">
        <v>30</v>
      </c>
      <c r="D629">
        <v>2</v>
      </c>
      <c r="E629" t="s">
        <v>12</v>
      </c>
      <c r="F629" t="s">
        <v>13</v>
      </c>
      <c r="G629" t="s">
        <v>28</v>
      </c>
      <c r="H629" s="1">
        <f>VLOOKUP(A629, [1]Orders!A:B, 2, FALSE)</f>
        <v>43134</v>
      </c>
      <c r="I629" t="str">
        <f>VLOOKUP(A629, [1]Orders!A:E, 3, FALSE)</f>
        <v>Mansi</v>
      </c>
      <c r="J629" t="str">
        <f>VLOOKUP(A629, [1]Orders!A:E, 4, FALSE)</f>
        <v>Madhya Pradesh</v>
      </c>
      <c r="K629" t="str">
        <f>VLOOKUP(A629, [1]Orders!A:E, 5, FALSE)</f>
        <v>Indore</v>
      </c>
    </row>
    <row r="630" spans="1:11" x14ac:dyDescent="0.5">
      <c r="A630" t="s">
        <v>359</v>
      </c>
      <c r="B630">
        <v>182</v>
      </c>
      <c r="C630">
        <v>-11</v>
      </c>
      <c r="D630">
        <v>3</v>
      </c>
      <c r="E630" t="s">
        <v>12</v>
      </c>
      <c r="F630" t="s">
        <v>16</v>
      </c>
      <c r="G630" t="s">
        <v>19</v>
      </c>
      <c r="H630" s="1">
        <f>VLOOKUP(A630, [1]Orders!A:B, 2, FALSE)</f>
        <v>43216</v>
      </c>
      <c r="I630" t="str">
        <f>VLOOKUP(A630, [1]Orders!A:E, 3, FALSE)</f>
        <v>Parth</v>
      </c>
      <c r="J630" t="str">
        <f>VLOOKUP(A630, [1]Orders!A:E, 4, FALSE)</f>
        <v>Maharashtra</v>
      </c>
      <c r="K630" t="str">
        <f>VLOOKUP(A630, [1]Orders!A:E, 5, FALSE)</f>
        <v>Pune</v>
      </c>
    </row>
    <row r="631" spans="1:11" x14ac:dyDescent="0.5">
      <c r="A631" t="s">
        <v>153</v>
      </c>
      <c r="B631">
        <v>122</v>
      </c>
      <c r="C631">
        <v>59</v>
      </c>
      <c r="D631">
        <v>7</v>
      </c>
      <c r="E631" t="s">
        <v>12</v>
      </c>
      <c r="F631" t="s">
        <v>131</v>
      </c>
      <c r="G631" t="s">
        <v>10</v>
      </c>
      <c r="H631" s="1">
        <f>VLOOKUP(A631, [1]Orders!A:B, 2, FALSE)</f>
        <v>43148</v>
      </c>
      <c r="I631" t="str">
        <f>VLOOKUP(A631, [1]Orders!A:E, 3, FALSE)</f>
        <v>Anita</v>
      </c>
      <c r="J631" t="str">
        <f>VLOOKUP(A631, [1]Orders!A:E, 4, FALSE)</f>
        <v xml:space="preserve">Kerala </v>
      </c>
      <c r="K631" t="str">
        <f>VLOOKUP(A631, [1]Orders!A:E, 5, FALSE)</f>
        <v>Thiruvananthapuram</v>
      </c>
    </row>
    <row r="632" spans="1:11" x14ac:dyDescent="0.5">
      <c r="A632" t="s">
        <v>360</v>
      </c>
      <c r="B632">
        <v>121</v>
      </c>
      <c r="C632">
        <v>19</v>
      </c>
      <c r="D632">
        <v>4</v>
      </c>
      <c r="E632" t="s">
        <v>23</v>
      </c>
      <c r="F632" t="s">
        <v>57</v>
      </c>
      <c r="G632" t="s">
        <v>10</v>
      </c>
      <c r="H632" s="1">
        <f>VLOOKUP(A632, [1]Orders!A:B, 2, FALSE)</f>
        <v>43430</v>
      </c>
      <c r="I632" t="str">
        <f>VLOOKUP(A632, [1]Orders!A:E, 3, FALSE)</f>
        <v>Masurkar</v>
      </c>
      <c r="J632" t="str">
        <f>VLOOKUP(A632, [1]Orders!A:E, 4, FALSE)</f>
        <v>Punjab</v>
      </c>
      <c r="K632" t="str">
        <f>VLOOKUP(A632, [1]Orders!A:E, 5, FALSE)</f>
        <v>Amritsar</v>
      </c>
    </row>
    <row r="633" spans="1:11" x14ac:dyDescent="0.5">
      <c r="A633" t="s">
        <v>167</v>
      </c>
      <c r="B633">
        <v>120</v>
      </c>
      <c r="C633">
        <v>1</v>
      </c>
      <c r="D633">
        <v>1</v>
      </c>
      <c r="E633" t="s">
        <v>12</v>
      </c>
      <c r="F633" t="s">
        <v>13</v>
      </c>
      <c r="G633" t="s">
        <v>10</v>
      </c>
      <c r="H633" s="1">
        <f>VLOOKUP(A633, [1]Orders!A:B, 2, FALSE)</f>
        <v>43168</v>
      </c>
      <c r="I633" t="str">
        <f>VLOOKUP(A633, [1]Orders!A:E, 3, FALSE)</f>
        <v>Kirti</v>
      </c>
      <c r="J633" t="str">
        <f>VLOOKUP(A633, [1]Orders!A:E, 4, FALSE)</f>
        <v>Jammu and Kashmir</v>
      </c>
      <c r="K633" t="str">
        <f>VLOOKUP(A633, [1]Orders!A:E, 5, FALSE)</f>
        <v>Kashmir</v>
      </c>
    </row>
    <row r="634" spans="1:11" x14ac:dyDescent="0.5">
      <c r="A634" t="s">
        <v>179</v>
      </c>
      <c r="B634">
        <v>120</v>
      </c>
      <c r="C634">
        <v>23</v>
      </c>
      <c r="D634">
        <v>5</v>
      </c>
      <c r="E634" t="s">
        <v>23</v>
      </c>
      <c r="F634" t="s">
        <v>57</v>
      </c>
      <c r="G634" t="s">
        <v>10</v>
      </c>
      <c r="H634" s="1">
        <f>VLOOKUP(A634, [1]Orders!A:B, 2, FALSE)</f>
        <v>43113</v>
      </c>
      <c r="I634" t="str">
        <f>VLOOKUP(A634, [1]Orders!A:E, 3, FALSE)</f>
        <v>Jesal</v>
      </c>
      <c r="J634" t="str">
        <f>VLOOKUP(A634, [1]Orders!A:E, 4, FALSE)</f>
        <v>West Bengal</v>
      </c>
      <c r="K634" t="str">
        <f>VLOOKUP(A634, [1]Orders!A:E, 5, FALSE)</f>
        <v>Kolkata</v>
      </c>
    </row>
    <row r="635" spans="1:11" x14ac:dyDescent="0.5">
      <c r="A635" t="s">
        <v>104</v>
      </c>
      <c r="B635">
        <v>34</v>
      </c>
      <c r="C635">
        <v>-11</v>
      </c>
      <c r="D635">
        <v>5</v>
      </c>
      <c r="E635" t="s">
        <v>23</v>
      </c>
      <c r="F635" t="s">
        <v>81</v>
      </c>
      <c r="G635" t="s">
        <v>10</v>
      </c>
      <c r="H635" s="1">
        <f>VLOOKUP(A635, [1]Orders!A:B, 2, FALSE)</f>
        <v>43333</v>
      </c>
      <c r="I635" t="str">
        <f>VLOOKUP(A635, [1]Orders!A:E, 3, FALSE)</f>
        <v>Vishakha</v>
      </c>
      <c r="J635" t="str">
        <f>VLOOKUP(A635, [1]Orders!A:E, 4, FALSE)</f>
        <v>Madhya Pradesh</v>
      </c>
      <c r="K635" t="str">
        <f>VLOOKUP(A635, [1]Orders!A:E, 5, FALSE)</f>
        <v>Indore</v>
      </c>
    </row>
    <row r="636" spans="1:11" x14ac:dyDescent="0.5">
      <c r="A636" t="s">
        <v>97</v>
      </c>
      <c r="B636">
        <v>117</v>
      </c>
      <c r="C636">
        <v>17</v>
      </c>
      <c r="D636">
        <v>6</v>
      </c>
      <c r="E636" t="s">
        <v>23</v>
      </c>
      <c r="F636" t="s">
        <v>32</v>
      </c>
      <c r="G636" t="s">
        <v>10</v>
      </c>
      <c r="H636" s="1">
        <f>VLOOKUP(A636, [1]Orders!A:B, 2, FALSE)</f>
        <v>43353</v>
      </c>
      <c r="I636" t="str">
        <f>VLOOKUP(A636, [1]Orders!A:E, 3, FALSE)</f>
        <v>Aditi</v>
      </c>
      <c r="J636" t="str">
        <f>VLOOKUP(A636, [1]Orders!A:E, 4, FALSE)</f>
        <v>Madhya Pradesh</v>
      </c>
      <c r="K636" t="str">
        <f>VLOOKUP(A636, [1]Orders!A:E, 5, FALSE)</f>
        <v>Indore</v>
      </c>
    </row>
    <row r="637" spans="1:11" x14ac:dyDescent="0.5">
      <c r="A637" t="s">
        <v>361</v>
      </c>
      <c r="B637">
        <v>38</v>
      </c>
      <c r="C637">
        <v>9</v>
      </c>
      <c r="D637">
        <v>2</v>
      </c>
      <c r="E637" t="s">
        <v>23</v>
      </c>
      <c r="F637" t="s">
        <v>57</v>
      </c>
      <c r="G637" t="s">
        <v>10</v>
      </c>
      <c r="H637" s="1">
        <f>VLOOKUP(A637, [1]Orders!A:B, 2, FALSE)</f>
        <v>43157</v>
      </c>
      <c r="I637" t="str">
        <f>VLOOKUP(A637, [1]Orders!A:E, 3, FALSE)</f>
        <v>Sahil</v>
      </c>
      <c r="J637" t="str">
        <f>VLOOKUP(A637, [1]Orders!A:E, 4, FALSE)</f>
        <v>Punjab</v>
      </c>
      <c r="K637" t="str">
        <f>VLOOKUP(A637, [1]Orders!A:E, 5, FALSE)</f>
        <v>Chandigarh</v>
      </c>
    </row>
    <row r="638" spans="1:11" x14ac:dyDescent="0.5">
      <c r="A638" t="s">
        <v>25</v>
      </c>
      <c r="B638">
        <v>117</v>
      </c>
      <c r="C638">
        <v>-6</v>
      </c>
      <c r="D638">
        <v>3</v>
      </c>
      <c r="E638" t="s">
        <v>8</v>
      </c>
      <c r="F638" t="s">
        <v>21</v>
      </c>
      <c r="G638" t="s">
        <v>10</v>
      </c>
      <c r="H638" s="1">
        <f>VLOOKUP(A638, [1]Orders!A:B, 2, FALSE)</f>
        <v>43272</v>
      </c>
      <c r="I638" t="str">
        <f>VLOOKUP(A638, [1]Orders!A:E, 3, FALSE)</f>
        <v>Noopur</v>
      </c>
      <c r="J638" t="str">
        <f>VLOOKUP(A638, [1]Orders!A:E, 4, FALSE)</f>
        <v>Karnataka</v>
      </c>
      <c r="K638" t="str">
        <f>VLOOKUP(A638, [1]Orders!A:E, 5, FALSE)</f>
        <v>Bangalore</v>
      </c>
    </row>
    <row r="639" spans="1:11" x14ac:dyDescent="0.5">
      <c r="A639" t="s">
        <v>217</v>
      </c>
      <c r="B639">
        <v>180</v>
      </c>
      <c r="C639">
        <v>54</v>
      </c>
      <c r="D639">
        <v>4</v>
      </c>
      <c r="E639" t="s">
        <v>23</v>
      </c>
      <c r="F639" t="s">
        <v>81</v>
      </c>
      <c r="G639" t="s">
        <v>19</v>
      </c>
      <c r="H639" s="1">
        <f>VLOOKUP(A639, [1]Orders!A:B, 2, FALSE)</f>
        <v>43127</v>
      </c>
      <c r="I639" t="str">
        <f>VLOOKUP(A639, [1]Orders!A:E, 3, FALSE)</f>
        <v>Aayushi</v>
      </c>
      <c r="J639" t="str">
        <f>VLOOKUP(A639, [1]Orders!A:E, 4, FALSE)</f>
        <v>Gujarat</v>
      </c>
      <c r="K639" t="str">
        <f>VLOOKUP(A639, [1]Orders!A:E, 5, FALSE)</f>
        <v>Surat</v>
      </c>
    </row>
    <row r="640" spans="1:11" x14ac:dyDescent="0.5">
      <c r="A640" t="s">
        <v>224</v>
      </c>
      <c r="B640">
        <v>99</v>
      </c>
      <c r="C640">
        <v>-5</v>
      </c>
      <c r="D640">
        <v>1</v>
      </c>
      <c r="E640" t="s">
        <v>23</v>
      </c>
      <c r="F640" t="s">
        <v>26</v>
      </c>
      <c r="G640" t="s">
        <v>28</v>
      </c>
      <c r="H640" s="1">
        <f>VLOOKUP(A640, [1]Orders!A:B, 2, FALSE)</f>
        <v>43319</v>
      </c>
      <c r="I640" t="str">
        <f>VLOOKUP(A640, [1]Orders!A:E, 3, FALSE)</f>
        <v>Aman</v>
      </c>
      <c r="J640" t="str">
        <f>VLOOKUP(A640, [1]Orders!A:E, 4, FALSE)</f>
        <v>Nagaland</v>
      </c>
      <c r="K640" t="str">
        <f>VLOOKUP(A640, [1]Orders!A:E, 5, FALSE)</f>
        <v>Kohima</v>
      </c>
    </row>
    <row r="641" spans="1:11" x14ac:dyDescent="0.5">
      <c r="A641" t="s">
        <v>119</v>
      </c>
      <c r="B641">
        <v>172</v>
      </c>
      <c r="C641">
        <v>-103</v>
      </c>
      <c r="D641">
        <v>3</v>
      </c>
      <c r="E641" t="s">
        <v>12</v>
      </c>
      <c r="F641" t="s">
        <v>13</v>
      </c>
      <c r="G641" t="s">
        <v>14</v>
      </c>
      <c r="H641" s="1">
        <f>VLOOKUP(A641, [1]Orders!A:B, 2, FALSE)</f>
        <v>43227</v>
      </c>
      <c r="I641" t="str">
        <f>VLOOKUP(A641, [1]Orders!A:E, 3, FALSE)</f>
        <v>Anurag</v>
      </c>
      <c r="J641" t="str">
        <f>VLOOKUP(A641, [1]Orders!A:E, 4, FALSE)</f>
        <v>Madhya Pradesh</v>
      </c>
      <c r="K641" t="str">
        <f>VLOOKUP(A641, [1]Orders!A:E, 5, FALSE)</f>
        <v>Indore</v>
      </c>
    </row>
    <row r="642" spans="1:11" x14ac:dyDescent="0.5">
      <c r="A642" t="s">
        <v>149</v>
      </c>
      <c r="B642">
        <v>116</v>
      </c>
      <c r="C642">
        <v>16</v>
      </c>
      <c r="D642">
        <v>4</v>
      </c>
      <c r="E642" t="s">
        <v>23</v>
      </c>
      <c r="F642" t="s">
        <v>57</v>
      </c>
      <c r="G642" t="s">
        <v>10</v>
      </c>
      <c r="H642" s="1">
        <f>VLOOKUP(A642, [1]Orders!A:B, 2, FALSE)</f>
        <v>43193</v>
      </c>
      <c r="I642" t="str">
        <f>VLOOKUP(A642, [1]Orders!A:E, 3, FALSE)</f>
        <v>Jahan</v>
      </c>
      <c r="J642" t="str">
        <f>VLOOKUP(A642, [1]Orders!A:E, 4, FALSE)</f>
        <v>Madhya Pradesh</v>
      </c>
      <c r="K642" t="str">
        <f>VLOOKUP(A642, [1]Orders!A:E, 5, FALSE)</f>
        <v>Bhopal</v>
      </c>
    </row>
    <row r="643" spans="1:11" x14ac:dyDescent="0.5">
      <c r="A643" t="s">
        <v>25</v>
      </c>
      <c r="B643">
        <v>116</v>
      </c>
      <c r="C643">
        <v>-4</v>
      </c>
      <c r="D643">
        <v>1</v>
      </c>
      <c r="E643" t="s">
        <v>23</v>
      </c>
      <c r="F643" t="s">
        <v>26</v>
      </c>
      <c r="G643" t="s">
        <v>10</v>
      </c>
      <c r="H643" s="1">
        <f>VLOOKUP(A643, [1]Orders!A:B, 2, FALSE)</f>
        <v>43272</v>
      </c>
      <c r="I643" t="str">
        <f>VLOOKUP(A643, [1]Orders!A:E, 3, FALSE)</f>
        <v>Noopur</v>
      </c>
      <c r="J643" t="str">
        <f>VLOOKUP(A643, [1]Orders!A:E, 4, FALSE)</f>
        <v>Karnataka</v>
      </c>
      <c r="K643" t="str">
        <f>VLOOKUP(A643, [1]Orders!A:E, 5, FALSE)</f>
        <v>Bangalore</v>
      </c>
    </row>
    <row r="644" spans="1:11" x14ac:dyDescent="0.5">
      <c r="A644" t="s">
        <v>362</v>
      </c>
      <c r="B644">
        <v>171</v>
      </c>
      <c r="C644">
        <v>68</v>
      </c>
      <c r="D644">
        <v>7</v>
      </c>
      <c r="E644" t="s">
        <v>23</v>
      </c>
      <c r="F644" t="s">
        <v>57</v>
      </c>
      <c r="G644" t="s">
        <v>14</v>
      </c>
      <c r="H644" s="1">
        <f>VLOOKUP(A644, [1]Orders!A:B, 2, FALSE)</f>
        <v>43154</v>
      </c>
      <c r="I644" t="str">
        <f>VLOOKUP(A644, [1]Orders!A:E, 3, FALSE)</f>
        <v>Hitika</v>
      </c>
      <c r="J644" t="str">
        <f>VLOOKUP(A644, [1]Orders!A:E, 4, FALSE)</f>
        <v>Madhya Pradesh</v>
      </c>
      <c r="K644" t="str">
        <f>VLOOKUP(A644, [1]Orders!A:E, 5, FALSE)</f>
        <v>Indore</v>
      </c>
    </row>
    <row r="645" spans="1:11" x14ac:dyDescent="0.5">
      <c r="A645" t="s">
        <v>128</v>
      </c>
      <c r="B645">
        <v>46</v>
      </c>
      <c r="C645">
        <v>14</v>
      </c>
      <c r="D645">
        <v>5</v>
      </c>
      <c r="E645" t="s">
        <v>23</v>
      </c>
      <c r="F645" t="s">
        <v>43</v>
      </c>
      <c r="G645" t="s">
        <v>10</v>
      </c>
      <c r="H645" s="1">
        <f>VLOOKUP(A645, [1]Orders!A:B, 2, FALSE)</f>
        <v>43188</v>
      </c>
      <c r="I645" t="str">
        <f>VLOOKUP(A645, [1]Orders!A:E, 3, FALSE)</f>
        <v>Pinky</v>
      </c>
      <c r="J645" t="str">
        <f>VLOOKUP(A645, [1]Orders!A:E, 4, FALSE)</f>
        <v>Jammu and Kashmir</v>
      </c>
      <c r="K645" t="str">
        <f>VLOOKUP(A645, [1]Orders!A:E, 5, FALSE)</f>
        <v>Kashmir</v>
      </c>
    </row>
    <row r="646" spans="1:11" x14ac:dyDescent="0.5">
      <c r="A646" t="s">
        <v>99</v>
      </c>
      <c r="B646">
        <v>115</v>
      </c>
      <c r="C646">
        <v>-39</v>
      </c>
      <c r="D646">
        <v>3</v>
      </c>
      <c r="E646" t="s">
        <v>23</v>
      </c>
      <c r="F646" t="s">
        <v>24</v>
      </c>
      <c r="G646" t="s">
        <v>10</v>
      </c>
      <c r="H646" s="1">
        <f>VLOOKUP(A646, [1]Orders!A:B, 2, FALSE)</f>
        <v>43273</v>
      </c>
      <c r="I646" t="str">
        <f>VLOOKUP(A646, [1]Orders!A:E, 3, FALSE)</f>
        <v>Vijay</v>
      </c>
      <c r="J646" t="str">
        <f>VLOOKUP(A646, [1]Orders!A:E, 4, FALSE)</f>
        <v>Jammu and Kashmir</v>
      </c>
      <c r="K646" t="str">
        <f>VLOOKUP(A646, [1]Orders!A:E, 5, FALSE)</f>
        <v>Kashmir</v>
      </c>
    </row>
    <row r="647" spans="1:11" x14ac:dyDescent="0.5">
      <c r="A647" t="s">
        <v>363</v>
      </c>
      <c r="B647">
        <v>100</v>
      </c>
      <c r="C647">
        <v>7</v>
      </c>
      <c r="D647">
        <v>2</v>
      </c>
      <c r="E647" t="s">
        <v>23</v>
      </c>
      <c r="F647" t="s">
        <v>81</v>
      </c>
      <c r="G647" t="s">
        <v>28</v>
      </c>
      <c r="H647" s="1">
        <f>VLOOKUP(A647, [1]Orders!A:B, 2, FALSE)</f>
        <v>43458</v>
      </c>
      <c r="I647" t="str">
        <f>VLOOKUP(A647, [1]Orders!A:E, 3, FALSE)</f>
        <v>Jayanti</v>
      </c>
      <c r="J647" t="str">
        <f>VLOOKUP(A647, [1]Orders!A:E, 4, FALSE)</f>
        <v>Uttar Pradesh</v>
      </c>
      <c r="K647" t="str">
        <f>VLOOKUP(A647, [1]Orders!A:E, 5, FALSE)</f>
        <v>Prayagraj</v>
      </c>
    </row>
    <row r="648" spans="1:11" x14ac:dyDescent="0.5">
      <c r="A648" t="s">
        <v>164</v>
      </c>
      <c r="B648">
        <v>44</v>
      </c>
      <c r="C648">
        <v>8</v>
      </c>
      <c r="D648">
        <v>2</v>
      </c>
      <c r="E648" t="s">
        <v>23</v>
      </c>
      <c r="F648" t="s">
        <v>57</v>
      </c>
      <c r="G648" t="s">
        <v>10</v>
      </c>
      <c r="H648" s="1">
        <f>VLOOKUP(A648, [1]Orders!A:B, 2, FALSE)</f>
        <v>43134</v>
      </c>
      <c r="I648" t="str">
        <f>VLOOKUP(A648, [1]Orders!A:E, 3, FALSE)</f>
        <v>Madhav</v>
      </c>
      <c r="J648" t="str">
        <f>VLOOKUP(A648, [1]Orders!A:E, 4, FALSE)</f>
        <v>Delhi</v>
      </c>
      <c r="K648" t="str">
        <f>VLOOKUP(A648, [1]Orders!A:E, 5, FALSE)</f>
        <v>Delhi</v>
      </c>
    </row>
    <row r="649" spans="1:11" x14ac:dyDescent="0.5">
      <c r="A649" t="s">
        <v>238</v>
      </c>
      <c r="B649">
        <v>139</v>
      </c>
      <c r="C649">
        <v>14</v>
      </c>
      <c r="D649">
        <v>3</v>
      </c>
      <c r="E649" t="s">
        <v>23</v>
      </c>
      <c r="F649" t="s">
        <v>32</v>
      </c>
      <c r="G649" t="s">
        <v>10</v>
      </c>
      <c r="H649" s="1">
        <f>VLOOKUP(A649, [1]Orders!A:B, 2, FALSE)</f>
        <v>43185</v>
      </c>
      <c r="I649" t="str">
        <f>VLOOKUP(A649, [1]Orders!A:E, 3, FALSE)</f>
        <v>Kanak</v>
      </c>
      <c r="J649" t="str">
        <f>VLOOKUP(A649, [1]Orders!A:E, 4, FALSE)</f>
        <v>Goa</v>
      </c>
      <c r="K649" t="str">
        <f>VLOOKUP(A649, [1]Orders!A:E, 5, FALSE)</f>
        <v>Goa</v>
      </c>
    </row>
    <row r="650" spans="1:11" x14ac:dyDescent="0.5">
      <c r="A650" t="s">
        <v>364</v>
      </c>
      <c r="B650">
        <v>171</v>
      </c>
      <c r="C650">
        <v>-140</v>
      </c>
      <c r="D650">
        <v>2</v>
      </c>
      <c r="E650" t="s">
        <v>12</v>
      </c>
      <c r="F650" t="s">
        <v>16</v>
      </c>
      <c r="G650" t="s">
        <v>14</v>
      </c>
      <c r="H650" s="1">
        <f>VLOOKUP(A650, [1]Orders!A:B, 2, FALSE)</f>
        <v>43118</v>
      </c>
      <c r="I650" t="str">
        <f>VLOOKUP(A650, [1]Orders!A:E, 3, FALSE)</f>
        <v>Shreya</v>
      </c>
      <c r="J650" t="str">
        <f>VLOOKUP(A650, [1]Orders!A:E, 4, FALSE)</f>
        <v>Andhra Pradesh</v>
      </c>
      <c r="K650" t="str">
        <f>VLOOKUP(A650, [1]Orders!A:E, 5, FALSE)</f>
        <v>Hyderabad</v>
      </c>
    </row>
    <row r="651" spans="1:11" x14ac:dyDescent="0.5">
      <c r="A651" t="s">
        <v>365</v>
      </c>
      <c r="B651">
        <v>100</v>
      </c>
      <c r="C651">
        <v>12</v>
      </c>
      <c r="D651">
        <v>2</v>
      </c>
      <c r="E651" t="s">
        <v>23</v>
      </c>
      <c r="F651" t="s">
        <v>81</v>
      </c>
      <c r="G651" t="s">
        <v>28</v>
      </c>
      <c r="H651" s="1">
        <f>VLOOKUP(A651, [1]Orders!A:B, 2, FALSE)</f>
        <v>43455</v>
      </c>
      <c r="I651" t="str">
        <f>VLOOKUP(A651, [1]Orders!A:E, 3, FALSE)</f>
        <v>Sanjay</v>
      </c>
      <c r="J651" t="str">
        <f>VLOOKUP(A651, [1]Orders!A:E, 4, FALSE)</f>
        <v>Maharashtra</v>
      </c>
      <c r="K651" t="str">
        <f>VLOOKUP(A651, [1]Orders!A:E, 5, FALSE)</f>
        <v>Mumbai</v>
      </c>
    </row>
    <row r="652" spans="1:11" x14ac:dyDescent="0.5">
      <c r="A652" t="s">
        <v>349</v>
      </c>
      <c r="B652">
        <v>115</v>
      </c>
      <c r="C652">
        <v>25</v>
      </c>
      <c r="D652">
        <v>6</v>
      </c>
      <c r="E652" t="s">
        <v>23</v>
      </c>
      <c r="F652" t="s">
        <v>57</v>
      </c>
      <c r="G652" t="s">
        <v>10</v>
      </c>
      <c r="H652" s="1">
        <f>VLOOKUP(A652, [1]Orders!A:B, 2, FALSE)</f>
        <v>43394</v>
      </c>
      <c r="I652" t="str">
        <f>VLOOKUP(A652, [1]Orders!A:E, 3, FALSE)</f>
        <v>Kartik</v>
      </c>
      <c r="J652" t="str">
        <f>VLOOKUP(A652, [1]Orders!A:E, 4, FALSE)</f>
        <v>Madhya Pradesh</v>
      </c>
      <c r="K652" t="str">
        <f>VLOOKUP(A652, [1]Orders!A:E, 5, FALSE)</f>
        <v>Indore</v>
      </c>
    </row>
    <row r="653" spans="1:11" x14ac:dyDescent="0.5">
      <c r="A653" t="s">
        <v>25</v>
      </c>
      <c r="B653">
        <v>168</v>
      </c>
      <c r="C653">
        <v>-9</v>
      </c>
      <c r="D653">
        <v>3</v>
      </c>
      <c r="E653" t="s">
        <v>23</v>
      </c>
      <c r="F653" t="s">
        <v>26</v>
      </c>
      <c r="G653" t="s">
        <v>10</v>
      </c>
      <c r="H653" s="1">
        <f>VLOOKUP(A653, [1]Orders!A:B, 2, FALSE)</f>
        <v>43272</v>
      </c>
      <c r="I653" t="str">
        <f>VLOOKUP(A653, [1]Orders!A:E, 3, FALSE)</f>
        <v>Noopur</v>
      </c>
      <c r="J653" t="str">
        <f>VLOOKUP(A653, [1]Orders!A:E, 4, FALSE)</f>
        <v>Karnataka</v>
      </c>
      <c r="K653" t="str">
        <f>VLOOKUP(A653, [1]Orders!A:E, 5, FALSE)</f>
        <v>Bangalore</v>
      </c>
    </row>
    <row r="654" spans="1:11" x14ac:dyDescent="0.5">
      <c r="A654" t="s">
        <v>366</v>
      </c>
      <c r="B654">
        <v>115</v>
      </c>
      <c r="C654">
        <v>47</v>
      </c>
      <c r="D654">
        <v>2</v>
      </c>
      <c r="E654" t="s">
        <v>8</v>
      </c>
      <c r="F654" t="s">
        <v>73</v>
      </c>
      <c r="G654" t="s">
        <v>10</v>
      </c>
      <c r="H654" s="1">
        <f>VLOOKUP(A654, [1]Orders!A:B, 2, FALSE)</f>
        <v>43123</v>
      </c>
      <c r="I654" t="str">
        <f>VLOOKUP(A654, [1]Orders!A:E, 3, FALSE)</f>
        <v>Jesslyn</v>
      </c>
      <c r="J654" t="str">
        <f>VLOOKUP(A654, [1]Orders!A:E, 4, FALSE)</f>
        <v>Rajasthan</v>
      </c>
      <c r="K654" t="str">
        <f>VLOOKUP(A654, [1]Orders!A:E, 5, FALSE)</f>
        <v>Udaipur</v>
      </c>
    </row>
    <row r="655" spans="1:11" x14ac:dyDescent="0.5">
      <c r="A655" t="s">
        <v>20</v>
      </c>
      <c r="B655">
        <v>168</v>
      </c>
      <c r="C655">
        <v>-111</v>
      </c>
      <c r="D655">
        <v>2</v>
      </c>
      <c r="E655" t="s">
        <v>8</v>
      </c>
      <c r="F655" t="s">
        <v>21</v>
      </c>
      <c r="G655" t="s">
        <v>14</v>
      </c>
      <c r="H655" s="1">
        <f>VLOOKUP(A655, [1]Orders!A:B, 2, FALSE)</f>
        <v>43191</v>
      </c>
      <c r="I655" t="str">
        <f>VLOOKUP(A655, [1]Orders!A:E, 3, FALSE)</f>
        <v>Vrinda</v>
      </c>
      <c r="J655" t="str">
        <f>VLOOKUP(A655, [1]Orders!A:E, 4, FALSE)</f>
        <v>Maharashtra</v>
      </c>
      <c r="K655" t="str">
        <f>VLOOKUP(A655, [1]Orders!A:E, 5, FALSE)</f>
        <v>Pune</v>
      </c>
    </row>
    <row r="656" spans="1:11" x14ac:dyDescent="0.5">
      <c r="A656" t="s">
        <v>367</v>
      </c>
      <c r="B656">
        <v>31</v>
      </c>
      <c r="C656">
        <v>-7</v>
      </c>
      <c r="D656">
        <v>5</v>
      </c>
      <c r="E656" t="s">
        <v>23</v>
      </c>
      <c r="F656" t="s">
        <v>43</v>
      </c>
      <c r="G656" t="s">
        <v>28</v>
      </c>
      <c r="H656" s="1">
        <f>VLOOKUP(A656, [1]Orders!A:B, 2, FALSE)</f>
        <v>43312</v>
      </c>
      <c r="I656" t="str">
        <f>VLOOKUP(A656, [1]Orders!A:E, 3, FALSE)</f>
        <v>Akshat</v>
      </c>
      <c r="J656" t="str">
        <f>VLOOKUP(A656, [1]Orders!A:E, 4, FALSE)</f>
        <v>Maharashtra</v>
      </c>
      <c r="K656" t="str">
        <f>VLOOKUP(A656, [1]Orders!A:E, 5, FALSE)</f>
        <v>Mumbai</v>
      </c>
    </row>
    <row r="657" spans="1:11" x14ac:dyDescent="0.5">
      <c r="A657" t="s">
        <v>60</v>
      </c>
      <c r="B657">
        <v>114</v>
      </c>
      <c r="C657">
        <v>41</v>
      </c>
      <c r="D657">
        <v>6</v>
      </c>
      <c r="E657" t="s">
        <v>12</v>
      </c>
      <c r="F657" t="s">
        <v>131</v>
      </c>
      <c r="G657" t="s">
        <v>10</v>
      </c>
      <c r="H657" s="1">
        <f>VLOOKUP(A657, [1]Orders!A:B, 2, FALSE)</f>
        <v>43139</v>
      </c>
      <c r="I657" t="str">
        <f>VLOOKUP(A657, [1]Orders!A:E, 3, FALSE)</f>
        <v>Hitesh</v>
      </c>
      <c r="J657" t="str">
        <f>VLOOKUP(A657, [1]Orders!A:E, 4, FALSE)</f>
        <v>Madhya Pradesh</v>
      </c>
      <c r="K657" t="str">
        <f>VLOOKUP(A657, [1]Orders!A:E, 5, FALSE)</f>
        <v>Bhopal</v>
      </c>
    </row>
    <row r="658" spans="1:11" x14ac:dyDescent="0.5">
      <c r="A658" t="s">
        <v>136</v>
      </c>
      <c r="B658">
        <v>111</v>
      </c>
      <c r="C658">
        <v>9</v>
      </c>
      <c r="D658">
        <v>4</v>
      </c>
      <c r="E658" t="s">
        <v>23</v>
      </c>
      <c r="F658" t="s">
        <v>57</v>
      </c>
      <c r="G658" t="s">
        <v>10</v>
      </c>
      <c r="H658" s="1">
        <f>VLOOKUP(A658, [1]Orders!A:B, 2, FALSE)</f>
        <v>43122</v>
      </c>
      <c r="I658" t="str">
        <f>VLOOKUP(A658, [1]Orders!A:E, 3, FALSE)</f>
        <v>Rhea</v>
      </c>
      <c r="J658" t="str">
        <f>VLOOKUP(A658, [1]Orders!A:E, 4, FALSE)</f>
        <v>Maharashtra</v>
      </c>
      <c r="K658" t="str">
        <f>VLOOKUP(A658, [1]Orders!A:E, 5, FALSE)</f>
        <v>Mumbai</v>
      </c>
    </row>
    <row r="659" spans="1:11" x14ac:dyDescent="0.5">
      <c r="A659" t="s">
        <v>368</v>
      </c>
      <c r="B659">
        <v>11</v>
      </c>
      <c r="C659">
        <v>-8</v>
      </c>
      <c r="D659">
        <v>2</v>
      </c>
      <c r="E659" t="s">
        <v>23</v>
      </c>
      <c r="F659" t="s">
        <v>43</v>
      </c>
      <c r="G659" t="s">
        <v>28</v>
      </c>
      <c r="H659" s="1">
        <f>VLOOKUP(A659, [1]Orders!A:B, 2, FALSE)</f>
        <v>43315</v>
      </c>
      <c r="I659" t="str">
        <f>VLOOKUP(A659, [1]Orders!A:E, 3, FALSE)</f>
        <v>Ashwin</v>
      </c>
      <c r="J659" t="str">
        <f>VLOOKUP(A659, [1]Orders!A:E, 4, FALSE)</f>
        <v>Goa</v>
      </c>
      <c r="K659" t="str">
        <f>VLOOKUP(A659, [1]Orders!A:E, 5, FALSE)</f>
        <v>Goa</v>
      </c>
    </row>
    <row r="660" spans="1:11" x14ac:dyDescent="0.5">
      <c r="A660" t="s">
        <v>249</v>
      </c>
      <c r="B660">
        <v>110</v>
      </c>
      <c r="C660">
        <v>35</v>
      </c>
      <c r="D660">
        <v>1</v>
      </c>
      <c r="E660" t="s">
        <v>12</v>
      </c>
      <c r="F660" t="s">
        <v>131</v>
      </c>
      <c r="G660" t="s">
        <v>10</v>
      </c>
      <c r="H660" s="1">
        <f>VLOOKUP(A660, [1]Orders!A:B, 2, FALSE)</f>
        <v>43345</v>
      </c>
      <c r="I660" t="str">
        <f>VLOOKUP(A660, [1]Orders!A:E, 3, FALSE)</f>
        <v>Sakshi</v>
      </c>
      <c r="J660" t="str">
        <f>VLOOKUP(A660, [1]Orders!A:E, 4, FALSE)</f>
        <v>Madhya Pradesh</v>
      </c>
      <c r="K660" t="str">
        <f>VLOOKUP(A660, [1]Orders!A:E, 5, FALSE)</f>
        <v>Indore</v>
      </c>
    </row>
    <row r="661" spans="1:11" x14ac:dyDescent="0.5">
      <c r="A661" t="s">
        <v>128</v>
      </c>
      <c r="B661">
        <v>59</v>
      </c>
      <c r="C661">
        <v>15</v>
      </c>
      <c r="D661">
        <v>2</v>
      </c>
      <c r="E661" t="s">
        <v>23</v>
      </c>
      <c r="F661" t="s">
        <v>81</v>
      </c>
      <c r="G661" t="s">
        <v>28</v>
      </c>
      <c r="H661" s="1">
        <f>VLOOKUP(A661, [1]Orders!A:B, 2, FALSE)</f>
        <v>43188</v>
      </c>
      <c r="I661" t="str">
        <f>VLOOKUP(A661, [1]Orders!A:E, 3, FALSE)</f>
        <v>Pinky</v>
      </c>
      <c r="J661" t="str">
        <f>VLOOKUP(A661, [1]Orders!A:E, 4, FALSE)</f>
        <v>Jammu and Kashmir</v>
      </c>
      <c r="K661" t="str">
        <f>VLOOKUP(A661, [1]Orders!A:E, 5, FALSE)</f>
        <v>Kashmir</v>
      </c>
    </row>
    <row r="662" spans="1:11" x14ac:dyDescent="0.5">
      <c r="A662" t="s">
        <v>230</v>
      </c>
      <c r="B662">
        <v>166</v>
      </c>
      <c r="C662">
        <v>27</v>
      </c>
      <c r="D662">
        <v>2</v>
      </c>
      <c r="E662" t="s">
        <v>8</v>
      </c>
      <c r="F662" t="s">
        <v>73</v>
      </c>
      <c r="G662" t="s">
        <v>14</v>
      </c>
      <c r="H662" s="1">
        <f>VLOOKUP(A662, [1]Orders!A:B, 2, FALSE)</f>
        <v>43165</v>
      </c>
      <c r="I662" t="str">
        <f>VLOOKUP(A662, [1]Orders!A:E, 3, FALSE)</f>
        <v>Paridhi</v>
      </c>
      <c r="J662" t="str">
        <f>VLOOKUP(A662, [1]Orders!A:E, 4, FALSE)</f>
        <v>Rajasthan</v>
      </c>
      <c r="K662" t="str">
        <f>VLOOKUP(A662, [1]Orders!A:E, 5, FALSE)</f>
        <v>Jaipur</v>
      </c>
    </row>
    <row r="663" spans="1:11" x14ac:dyDescent="0.5">
      <c r="A663" t="s">
        <v>52</v>
      </c>
      <c r="B663">
        <v>109</v>
      </c>
      <c r="C663">
        <v>-6</v>
      </c>
      <c r="D663">
        <v>6</v>
      </c>
      <c r="E663" t="s">
        <v>23</v>
      </c>
      <c r="F663" t="s">
        <v>26</v>
      </c>
      <c r="G663" t="s">
        <v>10</v>
      </c>
      <c r="H663" s="1">
        <f>VLOOKUP(A663, [1]Orders!A:B, 2, FALSE)</f>
        <v>43354</v>
      </c>
      <c r="I663" t="str">
        <f>VLOOKUP(A663, [1]Orders!A:E, 3, FALSE)</f>
        <v>Surabhi</v>
      </c>
      <c r="J663" t="str">
        <f>VLOOKUP(A663, [1]Orders!A:E, 4, FALSE)</f>
        <v>Maharashtra</v>
      </c>
      <c r="K663" t="str">
        <f>VLOOKUP(A663, [1]Orders!A:E, 5, FALSE)</f>
        <v>Mumbai</v>
      </c>
    </row>
    <row r="664" spans="1:11" x14ac:dyDescent="0.5">
      <c r="A664" t="s">
        <v>308</v>
      </c>
      <c r="B664">
        <v>34</v>
      </c>
      <c r="C664">
        <v>-6</v>
      </c>
      <c r="D664">
        <v>4</v>
      </c>
      <c r="E664" t="s">
        <v>23</v>
      </c>
      <c r="F664" t="s">
        <v>63</v>
      </c>
      <c r="G664" t="s">
        <v>10</v>
      </c>
      <c r="H664" s="1">
        <f>VLOOKUP(A664, [1]Orders!A:B, 2, FALSE)</f>
        <v>43228</v>
      </c>
      <c r="I664" t="str">
        <f>VLOOKUP(A664, [1]Orders!A:E, 3, FALSE)</f>
        <v>Tushina</v>
      </c>
      <c r="J664" t="str">
        <f>VLOOKUP(A664, [1]Orders!A:E, 4, FALSE)</f>
        <v>Goa</v>
      </c>
      <c r="K664" t="str">
        <f>VLOOKUP(A664, [1]Orders!A:E, 5, FALSE)</f>
        <v>Goa</v>
      </c>
    </row>
    <row r="665" spans="1:11" x14ac:dyDescent="0.5">
      <c r="A665" t="s">
        <v>292</v>
      </c>
      <c r="B665">
        <v>109</v>
      </c>
      <c r="C665">
        <v>40</v>
      </c>
      <c r="D665">
        <v>1</v>
      </c>
      <c r="E665" t="s">
        <v>12</v>
      </c>
      <c r="F665" t="s">
        <v>131</v>
      </c>
      <c r="G665" t="s">
        <v>10</v>
      </c>
      <c r="H665" s="1">
        <f>VLOOKUP(A665, [1]Orders!A:B, 2, FALSE)</f>
        <v>43136</v>
      </c>
      <c r="I665" t="str">
        <f>VLOOKUP(A665, [1]Orders!A:E, 3, FALSE)</f>
        <v>Diwakar</v>
      </c>
      <c r="J665" t="str">
        <f>VLOOKUP(A665, [1]Orders!A:E, 4, FALSE)</f>
        <v>Delhi</v>
      </c>
      <c r="K665" t="str">
        <f>VLOOKUP(A665, [1]Orders!A:E, 5, FALSE)</f>
        <v>Delhi</v>
      </c>
    </row>
    <row r="666" spans="1:11" x14ac:dyDescent="0.5">
      <c r="A666" t="s">
        <v>71</v>
      </c>
      <c r="B666">
        <v>108</v>
      </c>
      <c r="C666">
        <v>22</v>
      </c>
      <c r="D666">
        <v>3</v>
      </c>
      <c r="E666" t="s">
        <v>8</v>
      </c>
      <c r="F666" t="s">
        <v>73</v>
      </c>
      <c r="G666" t="s">
        <v>10</v>
      </c>
      <c r="H666" s="1">
        <f>VLOOKUP(A666, [1]Orders!A:B, 2, FALSE)</f>
        <v>43447</v>
      </c>
      <c r="I666" t="str">
        <f>VLOOKUP(A666, [1]Orders!A:E, 3, FALSE)</f>
        <v>Sujay</v>
      </c>
      <c r="J666" t="str">
        <f>VLOOKUP(A666, [1]Orders!A:E, 4, FALSE)</f>
        <v>Maharashtra</v>
      </c>
      <c r="K666" t="str">
        <f>VLOOKUP(A666, [1]Orders!A:E, 5, FALSE)</f>
        <v>Pune</v>
      </c>
    </row>
    <row r="667" spans="1:11" x14ac:dyDescent="0.5">
      <c r="A667" t="s">
        <v>310</v>
      </c>
      <c r="B667">
        <v>103</v>
      </c>
      <c r="C667">
        <v>50</v>
      </c>
      <c r="D667">
        <v>2</v>
      </c>
      <c r="E667" t="s">
        <v>12</v>
      </c>
      <c r="F667" t="s">
        <v>131</v>
      </c>
      <c r="G667" t="s">
        <v>28</v>
      </c>
      <c r="H667" s="1">
        <f>VLOOKUP(A667, [1]Orders!A:B, 2, FALSE)</f>
        <v>43391</v>
      </c>
      <c r="I667" t="str">
        <f>VLOOKUP(A667, [1]Orders!A:E, 3, FALSE)</f>
        <v>Rohan</v>
      </c>
      <c r="J667" t="str">
        <f>VLOOKUP(A667, [1]Orders!A:E, 4, FALSE)</f>
        <v>Maharashtra</v>
      </c>
      <c r="K667" t="str">
        <f>VLOOKUP(A667, [1]Orders!A:E, 5, FALSE)</f>
        <v>Mumbai</v>
      </c>
    </row>
    <row r="668" spans="1:11" x14ac:dyDescent="0.5">
      <c r="A668" t="s">
        <v>210</v>
      </c>
      <c r="B668">
        <v>10</v>
      </c>
      <c r="C668">
        <v>-8</v>
      </c>
      <c r="D668">
        <v>2</v>
      </c>
      <c r="E668" t="s">
        <v>23</v>
      </c>
      <c r="F668" t="s">
        <v>43</v>
      </c>
      <c r="G668" t="s">
        <v>10</v>
      </c>
      <c r="H668" s="1">
        <f>VLOOKUP(A668, [1]Orders!A:B, 2, FALSE)</f>
        <v>43277</v>
      </c>
      <c r="I668" t="str">
        <f>VLOOKUP(A668, [1]Orders!A:E, 3, FALSE)</f>
        <v>Maithilee</v>
      </c>
      <c r="J668" t="str">
        <f>VLOOKUP(A668, [1]Orders!A:E, 4, FALSE)</f>
        <v>Madhya Pradesh</v>
      </c>
      <c r="K668" t="str">
        <f>VLOOKUP(A668, [1]Orders!A:E, 5, FALSE)</f>
        <v>Indore</v>
      </c>
    </row>
    <row r="669" spans="1:11" x14ac:dyDescent="0.5">
      <c r="A669" t="s">
        <v>171</v>
      </c>
      <c r="B669">
        <v>90</v>
      </c>
      <c r="C669">
        <v>17</v>
      </c>
      <c r="D669">
        <v>3</v>
      </c>
      <c r="E669" t="s">
        <v>23</v>
      </c>
      <c r="F669" t="s">
        <v>30</v>
      </c>
      <c r="G669" t="s">
        <v>10</v>
      </c>
      <c r="H669" s="1">
        <f>VLOOKUP(A669, [1]Orders!A:B, 2, FALSE)</f>
        <v>43412</v>
      </c>
      <c r="I669" t="str">
        <f>VLOOKUP(A669, [1]Orders!A:E, 3, FALSE)</f>
        <v>Abhijeet</v>
      </c>
      <c r="J669" t="str">
        <f>VLOOKUP(A669, [1]Orders!A:E, 4, FALSE)</f>
        <v>Madhya Pradesh</v>
      </c>
      <c r="K669" t="str">
        <f>VLOOKUP(A669, [1]Orders!A:E, 5, FALSE)</f>
        <v>Bhopal</v>
      </c>
    </row>
    <row r="670" spans="1:11" x14ac:dyDescent="0.5">
      <c r="A670" t="s">
        <v>205</v>
      </c>
      <c r="B670">
        <v>105</v>
      </c>
      <c r="C670">
        <v>46</v>
      </c>
      <c r="D670">
        <v>2</v>
      </c>
      <c r="E670" t="s">
        <v>23</v>
      </c>
      <c r="F670" t="s">
        <v>57</v>
      </c>
      <c r="G670" t="s">
        <v>28</v>
      </c>
      <c r="H670" s="1">
        <f>VLOOKUP(A670, [1]Orders!A:B, 2, FALSE)</f>
        <v>43230</v>
      </c>
      <c r="I670" t="str">
        <f>VLOOKUP(A670, [1]Orders!A:E, 3, FALSE)</f>
        <v>Sabah</v>
      </c>
      <c r="J670" t="str">
        <f>VLOOKUP(A670, [1]Orders!A:E, 4, FALSE)</f>
        <v>Maharashtra</v>
      </c>
      <c r="K670" t="str">
        <f>VLOOKUP(A670, [1]Orders!A:E, 5, FALSE)</f>
        <v>Mumbai</v>
      </c>
    </row>
    <row r="671" spans="1:11" x14ac:dyDescent="0.5">
      <c r="A671" t="s">
        <v>336</v>
      </c>
      <c r="B671">
        <v>105</v>
      </c>
      <c r="C671">
        <v>20</v>
      </c>
      <c r="D671">
        <v>2</v>
      </c>
      <c r="E671" t="s">
        <v>23</v>
      </c>
      <c r="F671" t="s">
        <v>57</v>
      </c>
      <c r="G671" t="s">
        <v>82</v>
      </c>
      <c r="H671" s="1">
        <f>VLOOKUP(A671, [1]Orders!A:B, 2, FALSE)</f>
        <v>43212</v>
      </c>
      <c r="I671" t="str">
        <f>VLOOKUP(A671, [1]Orders!A:E, 3, FALSE)</f>
        <v>Atharv</v>
      </c>
      <c r="J671" t="str">
        <f>VLOOKUP(A671, [1]Orders!A:E, 4, FALSE)</f>
        <v>West Bengal</v>
      </c>
      <c r="K671" t="str">
        <f>VLOOKUP(A671, [1]Orders!A:E, 5, FALSE)</f>
        <v>Kolkata</v>
      </c>
    </row>
    <row r="672" spans="1:11" x14ac:dyDescent="0.5">
      <c r="A672" t="s">
        <v>369</v>
      </c>
      <c r="B672">
        <v>22</v>
      </c>
      <c r="C672">
        <v>-6</v>
      </c>
      <c r="D672">
        <v>1</v>
      </c>
      <c r="E672" t="s">
        <v>12</v>
      </c>
      <c r="F672" t="s">
        <v>131</v>
      </c>
      <c r="G672" t="s">
        <v>10</v>
      </c>
      <c r="H672" s="1">
        <f>VLOOKUP(A672, [1]Orders!A:B, 2, FALSE)</f>
        <v>43217</v>
      </c>
      <c r="I672" t="str">
        <f>VLOOKUP(A672, [1]Orders!A:E, 3, FALSE)</f>
        <v>Parishi</v>
      </c>
      <c r="J672" t="str">
        <f>VLOOKUP(A672, [1]Orders!A:E, 4, FALSE)</f>
        <v>West Bengal</v>
      </c>
      <c r="K672" t="str">
        <f>VLOOKUP(A672, [1]Orders!A:E, 5, FALSE)</f>
        <v>Kolkata</v>
      </c>
    </row>
    <row r="673" spans="1:11" x14ac:dyDescent="0.5">
      <c r="A673" t="s">
        <v>113</v>
      </c>
      <c r="B673">
        <v>105</v>
      </c>
      <c r="C673">
        <v>-33</v>
      </c>
      <c r="D673">
        <v>5</v>
      </c>
      <c r="E673" t="s">
        <v>23</v>
      </c>
      <c r="F673" t="s">
        <v>32</v>
      </c>
      <c r="G673" t="s">
        <v>10</v>
      </c>
      <c r="H673" s="1">
        <f>VLOOKUP(A673, [1]Orders!A:B, 2, FALSE)</f>
        <v>43411</v>
      </c>
      <c r="I673" t="str">
        <f>VLOOKUP(A673, [1]Orders!A:E, 3, FALSE)</f>
        <v>Soumyabrata</v>
      </c>
      <c r="J673" t="str">
        <f>VLOOKUP(A673, [1]Orders!A:E, 4, FALSE)</f>
        <v>Andhra Pradesh</v>
      </c>
      <c r="K673" t="str">
        <f>VLOOKUP(A673, [1]Orders!A:E, 5, FALSE)</f>
        <v>Hyderabad</v>
      </c>
    </row>
    <row r="674" spans="1:11" x14ac:dyDescent="0.5">
      <c r="A674" t="s">
        <v>370</v>
      </c>
      <c r="B674">
        <v>105</v>
      </c>
      <c r="C674">
        <v>25</v>
      </c>
      <c r="D674">
        <v>2</v>
      </c>
      <c r="E674" t="s">
        <v>23</v>
      </c>
      <c r="F674" t="s">
        <v>30</v>
      </c>
      <c r="G674" t="s">
        <v>14</v>
      </c>
      <c r="H674" s="1">
        <f>VLOOKUP(A674, [1]Orders!A:B, 2, FALSE)</f>
        <v>43118</v>
      </c>
      <c r="I674" t="str">
        <f>VLOOKUP(A674, [1]Orders!A:E, 3, FALSE)</f>
        <v>Aparajita</v>
      </c>
      <c r="J674" t="str">
        <f>VLOOKUP(A674, [1]Orders!A:E, 4, FALSE)</f>
        <v>West Bengal</v>
      </c>
      <c r="K674" t="str">
        <f>VLOOKUP(A674, [1]Orders!A:E, 5, FALSE)</f>
        <v>Kolkata</v>
      </c>
    </row>
    <row r="675" spans="1:11" x14ac:dyDescent="0.5">
      <c r="A675" t="s">
        <v>371</v>
      </c>
      <c r="B675">
        <v>25</v>
      </c>
      <c r="C675">
        <v>-7</v>
      </c>
      <c r="D675">
        <v>5</v>
      </c>
      <c r="E675" t="s">
        <v>23</v>
      </c>
      <c r="F675" t="s">
        <v>26</v>
      </c>
      <c r="G675" t="s">
        <v>28</v>
      </c>
      <c r="H675" s="1">
        <f>VLOOKUP(A675, [1]Orders!A:B, 2, FALSE)</f>
        <v>43378</v>
      </c>
      <c r="I675" t="str">
        <f>VLOOKUP(A675, [1]Orders!A:E, 3, FALSE)</f>
        <v>Yash</v>
      </c>
      <c r="J675" t="str">
        <f>VLOOKUP(A675, [1]Orders!A:E, 4, FALSE)</f>
        <v>Maharashtra</v>
      </c>
      <c r="K675" t="str">
        <f>VLOOKUP(A675, [1]Orders!A:E, 5, FALSE)</f>
        <v>Mumbai</v>
      </c>
    </row>
    <row r="676" spans="1:11" x14ac:dyDescent="0.5">
      <c r="A676" t="s">
        <v>310</v>
      </c>
      <c r="B676">
        <v>104</v>
      </c>
      <c r="C676">
        <v>2</v>
      </c>
      <c r="D676">
        <v>2</v>
      </c>
      <c r="E676" t="s">
        <v>12</v>
      </c>
      <c r="F676" t="s">
        <v>131</v>
      </c>
      <c r="G676" t="s">
        <v>10</v>
      </c>
      <c r="H676" s="1">
        <f>VLOOKUP(A676, [1]Orders!A:B, 2, FALSE)</f>
        <v>43391</v>
      </c>
      <c r="I676" t="str">
        <f>VLOOKUP(A676, [1]Orders!A:E, 3, FALSE)</f>
        <v>Rohan</v>
      </c>
      <c r="J676" t="str">
        <f>VLOOKUP(A676, [1]Orders!A:E, 4, FALSE)</f>
        <v>Maharashtra</v>
      </c>
      <c r="K676" t="str">
        <f>VLOOKUP(A676, [1]Orders!A:E, 5, FALSE)</f>
        <v>Mumbai</v>
      </c>
    </row>
    <row r="677" spans="1:11" x14ac:dyDescent="0.5">
      <c r="A677" t="s">
        <v>372</v>
      </c>
      <c r="B677">
        <v>16</v>
      </c>
      <c r="C677">
        <v>5</v>
      </c>
      <c r="D677">
        <v>1</v>
      </c>
      <c r="E677" t="s">
        <v>23</v>
      </c>
      <c r="F677" t="s">
        <v>57</v>
      </c>
      <c r="G677" t="s">
        <v>28</v>
      </c>
      <c r="H677" s="1">
        <f>VLOOKUP(A677, [1]Orders!A:B, 2, FALSE)</f>
        <v>43402</v>
      </c>
      <c r="I677" t="str">
        <f>VLOOKUP(A677, [1]Orders!A:E, 3, FALSE)</f>
        <v>Ananya</v>
      </c>
      <c r="J677" t="str">
        <f>VLOOKUP(A677, [1]Orders!A:E, 4, FALSE)</f>
        <v>Andhra Pradesh</v>
      </c>
      <c r="K677" t="str">
        <f>VLOOKUP(A677, [1]Orders!A:E, 5, FALSE)</f>
        <v>Hyderabad</v>
      </c>
    </row>
    <row r="678" spans="1:11" x14ac:dyDescent="0.5">
      <c r="A678" t="s">
        <v>215</v>
      </c>
      <c r="B678">
        <v>64</v>
      </c>
      <c r="C678">
        <v>-7</v>
      </c>
      <c r="D678">
        <v>3</v>
      </c>
      <c r="E678" t="s">
        <v>23</v>
      </c>
      <c r="F678" t="s">
        <v>26</v>
      </c>
      <c r="G678" t="s">
        <v>10</v>
      </c>
      <c r="H678" s="1">
        <f>VLOOKUP(A678, [1]Orders!A:B, 2, FALSE)</f>
        <v>43254</v>
      </c>
      <c r="I678" t="str">
        <f>VLOOKUP(A678, [1]Orders!A:E, 3, FALSE)</f>
        <v>Bathina</v>
      </c>
      <c r="J678" t="str">
        <f>VLOOKUP(A678, [1]Orders!A:E, 4, FALSE)</f>
        <v>Karnataka</v>
      </c>
      <c r="K678" t="str">
        <f>VLOOKUP(A678, [1]Orders!A:E, 5, FALSE)</f>
        <v>Bangalore</v>
      </c>
    </row>
    <row r="679" spans="1:11" x14ac:dyDescent="0.5">
      <c r="A679" t="s">
        <v>373</v>
      </c>
      <c r="B679">
        <v>38</v>
      </c>
      <c r="C679">
        <v>-6</v>
      </c>
      <c r="D679">
        <v>2</v>
      </c>
      <c r="E679" t="s">
        <v>12</v>
      </c>
      <c r="F679" t="s">
        <v>131</v>
      </c>
      <c r="G679" t="s">
        <v>28</v>
      </c>
      <c r="H679" s="1">
        <f>VLOOKUP(A679, [1]Orders!A:B, 2, FALSE)</f>
        <v>43350</v>
      </c>
      <c r="I679" t="str">
        <f>VLOOKUP(A679, [1]Orders!A:E, 3, FALSE)</f>
        <v>Snehal</v>
      </c>
      <c r="J679" t="str">
        <f>VLOOKUP(A679, [1]Orders!A:E, 4, FALSE)</f>
        <v>Punjab</v>
      </c>
      <c r="K679" t="str">
        <f>VLOOKUP(A679, [1]Orders!A:E, 5, FALSE)</f>
        <v>Chandigarh</v>
      </c>
    </row>
    <row r="680" spans="1:11" x14ac:dyDescent="0.5">
      <c r="A680" t="s">
        <v>374</v>
      </c>
      <c r="B680">
        <v>83</v>
      </c>
      <c r="C680">
        <v>12</v>
      </c>
      <c r="D680">
        <v>2</v>
      </c>
      <c r="E680" t="s">
        <v>12</v>
      </c>
      <c r="F680" t="s">
        <v>13</v>
      </c>
      <c r="G680" t="s">
        <v>10</v>
      </c>
      <c r="H680" s="1">
        <f>VLOOKUP(A680, [1]Orders!A:B, 2, FALSE)</f>
        <v>43444</v>
      </c>
      <c r="I680" t="str">
        <f>VLOOKUP(A680, [1]Orders!A:E, 3, FALSE)</f>
        <v>Swapnil</v>
      </c>
      <c r="J680" t="str">
        <f>VLOOKUP(A680, [1]Orders!A:E, 4, FALSE)</f>
        <v>Delhi</v>
      </c>
      <c r="K680" t="str">
        <f>VLOOKUP(A680, [1]Orders!A:E, 5, FALSE)</f>
        <v>Delhi</v>
      </c>
    </row>
    <row r="681" spans="1:11" x14ac:dyDescent="0.5">
      <c r="A681" t="s">
        <v>191</v>
      </c>
      <c r="B681">
        <v>103</v>
      </c>
      <c r="C681">
        <v>36</v>
      </c>
      <c r="D681">
        <v>2</v>
      </c>
      <c r="E681" t="s">
        <v>23</v>
      </c>
      <c r="F681" t="s">
        <v>30</v>
      </c>
      <c r="G681" t="s">
        <v>10</v>
      </c>
      <c r="H681" s="1">
        <f>VLOOKUP(A681, [1]Orders!A:B, 2, FALSE)</f>
        <v>43439</v>
      </c>
      <c r="I681" t="str">
        <f>VLOOKUP(A681, [1]Orders!A:E, 3, FALSE)</f>
        <v>Aman</v>
      </c>
      <c r="J681" t="str">
        <f>VLOOKUP(A681, [1]Orders!A:E, 4, FALSE)</f>
        <v>Maharashtra</v>
      </c>
      <c r="K681" t="str">
        <f>VLOOKUP(A681, [1]Orders!A:E, 5, FALSE)</f>
        <v>Mumbai</v>
      </c>
    </row>
    <row r="682" spans="1:11" x14ac:dyDescent="0.5">
      <c r="A682" t="s">
        <v>163</v>
      </c>
      <c r="B682">
        <v>37</v>
      </c>
      <c r="C682">
        <v>-6</v>
      </c>
      <c r="D682">
        <v>1</v>
      </c>
      <c r="E682" t="s">
        <v>23</v>
      </c>
      <c r="F682" t="s">
        <v>26</v>
      </c>
      <c r="G682" t="s">
        <v>28</v>
      </c>
      <c r="H682" s="1">
        <f>VLOOKUP(A682, [1]Orders!A:B, 2, FALSE)</f>
        <v>43367</v>
      </c>
      <c r="I682" t="str">
        <f>VLOOKUP(A682, [1]Orders!A:E, 3, FALSE)</f>
        <v>Sukrith</v>
      </c>
      <c r="J682" t="str">
        <f>VLOOKUP(A682, [1]Orders!A:E, 4, FALSE)</f>
        <v>Maharashtra</v>
      </c>
      <c r="K682" t="str">
        <f>VLOOKUP(A682, [1]Orders!A:E, 5, FALSE)</f>
        <v>Mumbai</v>
      </c>
    </row>
    <row r="683" spans="1:11" x14ac:dyDescent="0.5">
      <c r="A683" t="s">
        <v>375</v>
      </c>
      <c r="B683">
        <v>105</v>
      </c>
      <c r="C683">
        <v>33</v>
      </c>
      <c r="D683">
        <v>6</v>
      </c>
      <c r="E683" t="s">
        <v>23</v>
      </c>
      <c r="F683" t="s">
        <v>26</v>
      </c>
      <c r="G683" t="s">
        <v>14</v>
      </c>
      <c r="H683" s="1">
        <f>VLOOKUP(A683, [1]Orders!A:B, 2, FALSE)</f>
        <v>43104</v>
      </c>
      <c r="I683" t="str">
        <f>VLOOKUP(A683, [1]Orders!A:E, 3, FALSE)</f>
        <v>Rahul</v>
      </c>
      <c r="J683" t="str">
        <f>VLOOKUP(A683, [1]Orders!A:E, 4, FALSE)</f>
        <v>Madhya Pradesh</v>
      </c>
      <c r="K683" t="str">
        <f>VLOOKUP(A683, [1]Orders!A:E, 5, FALSE)</f>
        <v>Indore</v>
      </c>
    </row>
    <row r="684" spans="1:11" x14ac:dyDescent="0.5">
      <c r="A684" t="s">
        <v>141</v>
      </c>
      <c r="B684">
        <v>78</v>
      </c>
      <c r="C684">
        <v>-6</v>
      </c>
      <c r="D684">
        <v>2</v>
      </c>
      <c r="E684" t="s">
        <v>12</v>
      </c>
      <c r="F684" t="s">
        <v>131</v>
      </c>
      <c r="G684" t="s">
        <v>28</v>
      </c>
      <c r="H684" s="1">
        <f>VLOOKUP(A684, [1]Orders!A:B, 2, FALSE)</f>
        <v>43326</v>
      </c>
      <c r="I684" t="str">
        <f>VLOOKUP(A684, [1]Orders!A:E, 3, FALSE)</f>
        <v>Priyanshu</v>
      </c>
      <c r="J684" t="str">
        <f>VLOOKUP(A684, [1]Orders!A:E, 4, FALSE)</f>
        <v>Madhya Pradesh</v>
      </c>
      <c r="K684" t="str">
        <f>VLOOKUP(A684, [1]Orders!A:E, 5, FALSE)</f>
        <v>Indore</v>
      </c>
    </row>
    <row r="685" spans="1:11" x14ac:dyDescent="0.5">
      <c r="A685" t="s">
        <v>37</v>
      </c>
      <c r="B685">
        <v>102</v>
      </c>
      <c r="C685">
        <v>-90</v>
      </c>
      <c r="D685">
        <v>1</v>
      </c>
      <c r="E685" t="s">
        <v>23</v>
      </c>
      <c r="F685" t="s">
        <v>26</v>
      </c>
      <c r="G685" t="s">
        <v>10</v>
      </c>
      <c r="H685" s="1">
        <f>VLOOKUP(A685, [1]Orders!A:B, 2, FALSE)</f>
        <v>43337</v>
      </c>
      <c r="I685" t="str">
        <f>VLOOKUP(A685, [1]Orders!A:E, 3, FALSE)</f>
        <v>Madhav</v>
      </c>
      <c r="J685" t="str">
        <f>VLOOKUP(A685, [1]Orders!A:E, 4, FALSE)</f>
        <v>Uttar Pradesh</v>
      </c>
      <c r="K685" t="str">
        <f>VLOOKUP(A685, [1]Orders!A:E, 5, FALSE)</f>
        <v>Mathura</v>
      </c>
    </row>
    <row r="686" spans="1:11" x14ac:dyDescent="0.5">
      <c r="A686" t="s">
        <v>376</v>
      </c>
      <c r="B686">
        <v>102</v>
      </c>
      <c r="C686">
        <v>11</v>
      </c>
      <c r="D686">
        <v>6</v>
      </c>
      <c r="E686" t="s">
        <v>23</v>
      </c>
      <c r="F686" t="s">
        <v>81</v>
      </c>
      <c r="G686" t="s">
        <v>10</v>
      </c>
      <c r="H686" s="1">
        <f>VLOOKUP(A686, [1]Orders!A:B, 2, FALSE)</f>
        <v>43450</v>
      </c>
      <c r="I686" t="str">
        <f>VLOOKUP(A686, [1]Orders!A:E, 3, FALSE)</f>
        <v>Preksha</v>
      </c>
      <c r="J686" t="str">
        <f>VLOOKUP(A686, [1]Orders!A:E, 4, FALSE)</f>
        <v>Delhi</v>
      </c>
      <c r="K686" t="str">
        <f>VLOOKUP(A686, [1]Orders!A:E, 5, FALSE)</f>
        <v>Delhi</v>
      </c>
    </row>
    <row r="687" spans="1:11" x14ac:dyDescent="0.5">
      <c r="A687" t="s">
        <v>262</v>
      </c>
      <c r="B687">
        <v>10</v>
      </c>
      <c r="C687">
        <v>-8</v>
      </c>
      <c r="D687">
        <v>1</v>
      </c>
      <c r="E687" t="s">
        <v>23</v>
      </c>
      <c r="F687" t="s">
        <v>32</v>
      </c>
      <c r="G687" t="s">
        <v>28</v>
      </c>
      <c r="H687" s="1">
        <f>VLOOKUP(A687, [1]Orders!A:B, 2, FALSE)</f>
        <v>43326</v>
      </c>
      <c r="I687" t="str">
        <f>VLOOKUP(A687, [1]Orders!A:E, 3, FALSE)</f>
        <v>Nishant</v>
      </c>
      <c r="J687" t="str">
        <f>VLOOKUP(A687, [1]Orders!A:E, 4, FALSE)</f>
        <v>Maharashtra</v>
      </c>
      <c r="K687" t="str">
        <f>VLOOKUP(A687, [1]Orders!A:E, 5, FALSE)</f>
        <v>Mumbai</v>
      </c>
    </row>
    <row r="688" spans="1:11" x14ac:dyDescent="0.5">
      <c r="A688" t="s">
        <v>123</v>
      </c>
      <c r="B688">
        <v>101</v>
      </c>
      <c r="C688">
        <v>18</v>
      </c>
      <c r="D688">
        <v>9</v>
      </c>
      <c r="E688" t="s">
        <v>23</v>
      </c>
      <c r="F688" t="s">
        <v>43</v>
      </c>
      <c r="G688" t="s">
        <v>10</v>
      </c>
      <c r="H688" s="1">
        <f>VLOOKUP(A688, [1]Orders!A:B, 2, FALSE)</f>
        <v>43231</v>
      </c>
      <c r="I688" t="str">
        <f>VLOOKUP(A688, [1]Orders!A:E, 3, FALSE)</f>
        <v>Priyanka</v>
      </c>
      <c r="J688" t="str">
        <f>VLOOKUP(A688, [1]Orders!A:E, 4, FALSE)</f>
        <v>Maharashtra</v>
      </c>
      <c r="K688" t="str">
        <f>VLOOKUP(A688, [1]Orders!A:E, 5, FALSE)</f>
        <v>Pune</v>
      </c>
    </row>
    <row r="689" spans="1:11" x14ac:dyDescent="0.5">
      <c r="A689" t="s">
        <v>377</v>
      </c>
      <c r="B689">
        <v>42</v>
      </c>
      <c r="C689">
        <v>-6</v>
      </c>
      <c r="D689">
        <v>4</v>
      </c>
      <c r="E689" t="s">
        <v>23</v>
      </c>
      <c r="F689" t="s">
        <v>26</v>
      </c>
      <c r="G689" t="s">
        <v>28</v>
      </c>
      <c r="H689" s="1">
        <f>VLOOKUP(A689, [1]Orders!A:B, 2, FALSE)</f>
        <v>43223</v>
      </c>
      <c r="I689" t="str">
        <f>VLOOKUP(A689, [1]Orders!A:E, 3, FALSE)</f>
        <v>Sharda</v>
      </c>
      <c r="J689" t="str">
        <f>VLOOKUP(A689, [1]Orders!A:E, 4, FALSE)</f>
        <v xml:space="preserve">Kerala </v>
      </c>
      <c r="K689" t="str">
        <f>VLOOKUP(A689, [1]Orders!A:E, 5, FALSE)</f>
        <v>Thiruvananthapuram</v>
      </c>
    </row>
    <row r="690" spans="1:11" x14ac:dyDescent="0.5">
      <c r="A690" t="s">
        <v>271</v>
      </c>
      <c r="B690">
        <v>56</v>
      </c>
      <c r="C690">
        <v>18</v>
      </c>
      <c r="D690">
        <v>2</v>
      </c>
      <c r="E690" t="s">
        <v>23</v>
      </c>
      <c r="F690" t="s">
        <v>30</v>
      </c>
      <c r="G690" t="s">
        <v>28</v>
      </c>
      <c r="H690" s="1">
        <f>VLOOKUP(A690, [1]Orders!A:B, 2, FALSE)</f>
        <v>43419</v>
      </c>
      <c r="I690" t="str">
        <f>VLOOKUP(A690, [1]Orders!A:E, 3, FALSE)</f>
        <v>Aayush</v>
      </c>
      <c r="J690" t="str">
        <f>VLOOKUP(A690, [1]Orders!A:E, 4, FALSE)</f>
        <v>Uttar Pradesh</v>
      </c>
      <c r="K690" t="str">
        <f>VLOOKUP(A690, [1]Orders!A:E, 5, FALSE)</f>
        <v>Lucknow</v>
      </c>
    </row>
    <row r="691" spans="1:11" x14ac:dyDescent="0.5">
      <c r="A691" t="s">
        <v>371</v>
      </c>
      <c r="B691">
        <v>95</v>
      </c>
      <c r="C691">
        <v>5</v>
      </c>
      <c r="D691">
        <v>2</v>
      </c>
      <c r="E691" t="s">
        <v>23</v>
      </c>
      <c r="F691" t="s">
        <v>57</v>
      </c>
      <c r="G691" t="s">
        <v>10</v>
      </c>
      <c r="H691" s="1">
        <f>VLOOKUP(A691, [1]Orders!A:B, 2, FALSE)</f>
        <v>43378</v>
      </c>
      <c r="I691" t="str">
        <f>VLOOKUP(A691, [1]Orders!A:E, 3, FALSE)</f>
        <v>Yash</v>
      </c>
      <c r="J691" t="str">
        <f>VLOOKUP(A691, [1]Orders!A:E, 4, FALSE)</f>
        <v>Maharashtra</v>
      </c>
      <c r="K691" t="str">
        <f>VLOOKUP(A691, [1]Orders!A:E, 5, FALSE)</f>
        <v>Mumbai</v>
      </c>
    </row>
    <row r="692" spans="1:11" x14ac:dyDescent="0.5">
      <c r="A692" t="s">
        <v>378</v>
      </c>
      <c r="B692">
        <v>159</v>
      </c>
      <c r="C692">
        <v>2</v>
      </c>
      <c r="D692">
        <v>3</v>
      </c>
      <c r="E692" t="s">
        <v>12</v>
      </c>
      <c r="F692" t="s">
        <v>131</v>
      </c>
      <c r="G692" t="s">
        <v>14</v>
      </c>
      <c r="H692" s="1">
        <f>VLOOKUP(A692, [1]Orders!A:B, 2, FALSE)</f>
        <v>43444</v>
      </c>
      <c r="I692" t="str">
        <f>VLOOKUP(A692, [1]Orders!A:E, 3, FALSE)</f>
        <v>Suraj</v>
      </c>
      <c r="J692" t="str">
        <f>VLOOKUP(A692, [1]Orders!A:E, 4, FALSE)</f>
        <v>Gujarat</v>
      </c>
      <c r="K692" t="str">
        <f>VLOOKUP(A692, [1]Orders!A:E, 5, FALSE)</f>
        <v>Surat</v>
      </c>
    </row>
    <row r="693" spans="1:11" x14ac:dyDescent="0.5">
      <c r="A693" t="s">
        <v>336</v>
      </c>
      <c r="B693">
        <v>158</v>
      </c>
      <c r="C693">
        <v>69</v>
      </c>
      <c r="D693">
        <v>3</v>
      </c>
      <c r="E693" t="s">
        <v>23</v>
      </c>
      <c r="F693" t="s">
        <v>57</v>
      </c>
      <c r="G693" t="s">
        <v>14</v>
      </c>
      <c r="H693" s="1">
        <f>VLOOKUP(A693, [1]Orders!A:B, 2, FALSE)</f>
        <v>43212</v>
      </c>
      <c r="I693" t="str">
        <f>VLOOKUP(A693, [1]Orders!A:E, 3, FALSE)</f>
        <v>Atharv</v>
      </c>
      <c r="J693" t="str">
        <f>VLOOKUP(A693, [1]Orders!A:E, 4, FALSE)</f>
        <v>West Bengal</v>
      </c>
      <c r="K693" t="str">
        <f>VLOOKUP(A693, [1]Orders!A:E, 5, FALSE)</f>
        <v>Kolkata</v>
      </c>
    </row>
    <row r="694" spans="1:11" x14ac:dyDescent="0.5">
      <c r="A694" t="s">
        <v>262</v>
      </c>
      <c r="B694">
        <v>106</v>
      </c>
      <c r="C694">
        <v>0</v>
      </c>
      <c r="D694">
        <v>2</v>
      </c>
      <c r="E694" t="s">
        <v>8</v>
      </c>
      <c r="F694" t="s">
        <v>21</v>
      </c>
      <c r="G694" t="s">
        <v>14</v>
      </c>
      <c r="H694" s="1">
        <f>VLOOKUP(A694, [1]Orders!A:B, 2, FALSE)</f>
        <v>43326</v>
      </c>
      <c r="I694" t="str">
        <f>VLOOKUP(A694, [1]Orders!A:E, 3, FALSE)</f>
        <v>Nishant</v>
      </c>
      <c r="J694" t="str">
        <f>VLOOKUP(A694, [1]Orders!A:E, 4, FALSE)</f>
        <v>Maharashtra</v>
      </c>
      <c r="K694" t="str">
        <f>VLOOKUP(A694, [1]Orders!A:E, 5, FALSE)</f>
        <v>Mumbai</v>
      </c>
    </row>
    <row r="695" spans="1:11" x14ac:dyDescent="0.5">
      <c r="A695" t="s">
        <v>122</v>
      </c>
      <c r="B695">
        <v>101</v>
      </c>
      <c r="C695">
        <v>16</v>
      </c>
      <c r="D695">
        <v>4</v>
      </c>
      <c r="E695" t="s">
        <v>23</v>
      </c>
      <c r="F695" t="s">
        <v>81</v>
      </c>
      <c r="G695" t="s">
        <v>10</v>
      </c>
      <c r="H695" s="1">
        <f>VLOOKUP(A695, [1]Orders!A:B, 2, FALSE)</f>
        <v>43167</v>
      </c>
      <c r="I695" t="str">
        <f>VLOOKUP(A695, [1]Orders!A:E, 3, FALSE)</f>
        <v>Ajay</v>
      </c>
      <c r="J695" t="str">
        <f>VLOOKUP(A695, [1]Orders!A:E, 4, FALSE)</f>
        <v>Karnataka</v>
      </c>
      <c r="K695" t="str">
        <f>VLOOKUP(A695, [1]Orders!A:E, 5, FALSE)</f>
        <v>Bangalore</v>
      </c>
    </row>
    <row r="696" spans="1:11" x14ac:dyDescent="0.5">
      <c r="A696" t="s">
        <v>184</v>
      </c>
      <c r="B696">
        <v>107</v>
      </c>
      <c r="C696">
        <v>37</v>
      </c>
      <c r="D696">
        <v>3</v>
      </c>
      <c r="E696" t="s">
        <v>23</v>
      </c>
      <c r="F696" t="s">
        <v>142</v>
      </c>
      <c r="G696" t="s">
        <v>10</v>
      </c>
      <c r="H696" s="1">
        <f>VLOOKUP(A696, [1]Orders!A:B, 2, FALSE)</f>
        <v>43432</v>
      </c>
      <c r="I696" t="str">
        <f>VLOOKUP(A696, [1]Orders!A:E, 3, FALSE)</f>
        <v>Brijesh</v>
      </c>
      <c r="J696" t="str">
        <f>VLOOKUP(A696, [1]Orders!A:E, 4, FALSE)</f>
        <v>Rajasthan</v>
      </c>
      <c r="K696" t="str">
        <f>VLOOKUP(A696, [1]Orders!A:E, 5, FALSE)</f>
        <v>Udaipur</v>
      </c>
    </row>
    <row r="697" spans="1:11" x14ac:dyDescent="0.5">
      <c r="A697" t="s">
        <v>379</v>
      </c>
      <c r="B697">
        <v>156</v>
      </c>
      <c r="C697">
        <v>36</v>
      </c>
      <c r="D697">
        <v>5</v>
      </c>
      <c r="E697" t="s">
        <v>23</v>
      </c>
      <c r="F697" t="s">
        <v>81</v>
      </c>
      <c r="G697" t="s">
        <v>14</v>
      </c>
      <c r="H697" s="1">
        <f>VLOOKUP(A697, [1]Orders!A:B, 2, FALSE)</f>
        <v>43378</v>
      </c>
      <c r="I697" t="str">
        <f>VLOOKUP(A697, [1]Orders!A:E, 3, FALSE)</f>
        <v>Sudheer</v>
      </c>
      <c r="J697" t="str">
        <f>VLOOKUP(A697, [1]Orders!A:E, 4, FALSE)</f>
        <v>Karnataka</v>
      </c>
      <c r="K697" t="str">
        <f>VLOOKUP(A697, [1]Orders!A:E, 5, FALSE)</f>
        <v>Bangalore</v>
      </c>
    </row>
    <row r="698" spans="1:11" x14ac:dyDescent="0.5">
      <c r="A698" t="s">
        <v>380</v>
      </c>
      <c r="B698">
        <v>108</v>
      </c>
      <c r="C698">
        <v>-19</v>
      </c>
      <c r="D698">
        <v>3</v>
      </c>
      <c r="E698" t="s">
        <v>8</v>
      </c>
      <c r="F698" t="s">
        <v>9</v>
      </c>
      <c r="G698" t="s">
        <v>28</v>
      </c>
      <c r="H698" s="1">
        <f>VLOOKUP(A698, [1]Orders!A:B, 2, FALSE)</f>
        <v>43310</v>
      </c>
      <c r="I698" t="str">
        <f>VLOOKUP(A698, [1]Orders!A:E, 3, FALSE)</f>
        <v>Pranav</v>
      </c>
      <c r="J698" t="str">
        <f>VLOOKUP(A698, [1]Orders!A:E, 4, FALSE)</f>
        <v>Madhya Pradesh</v>
      </c>
      <c r="K698" t="str">
        <f>VLOOKUP(A698, [1]Orders!A:E, 5, FALSE)</f>
        <v>Indore</v>
      </c>
    </row>
    <row r="699" spans="1:11" x14ac:dyDescent="0.5">
      <c r="A699" t="s">
        <v>265</v>
      </c>
      <c r="B699">
        <v>107</v>
      </c>
      <c r="C699">
        <v>-54</v>
      </c>
      <c r="D699">
        <v>4</v>
      </c>
      <c r="E699" t="s">
        <v>23</v>
      </c>
      <c r="F699" t="s">
        <v>57</v>
      </c>
      <c r="G699" t="s">
        <v>14</v>
      </c>
      <c r="H699" s="1">
        <f>VLOOKUP(A699, [1]Orders!A:B, 2, FALSE)</f>
        <v>43199</v>
      </c>
      <c r="I699" t="str">
        <f>VLOOKUP(A699, [1]Orders!A:E, 3, FALSE)</f>
        <v>Yogesh</v>
      </c>
      <c r="J699" t="str">
        <f>VLOOKUP(A699, [1]Orders!A:E, 4, FALSE)</f>
        <v>Bihar</v>
      </c>
      <c r="K699" t="str">
        <f>VLOOKUP(A699, [1]Orders!A:E, 5, FALSE)</f>
        <v>Patna</v>
      </c>
    </row>
    <row r="700" spans="1:11" x14ac:dyDescent="0.5">
      <c r="A700" t="s">
        <v>381</v>
      </c>
      <c r="B700">
        <v>100</v>
      </c>
      <c r="C700">
        <v>-58</v>
      </c>
      <c r="D700">
        <v>4</v>
      </c>
      <c r="E700" t="s">
        <v>23</v>
      </c>
      <c r="F700" t="s">
        <v>30</v>
      </c>
      <c r="G700" t="s">
        <v>10</v>
      </c>
      <c r="H700" s="1">
        <f>VLOOKUP(A700, [1]Orders!A:B, 2, FALSE)</f>
        <v>43287</v>
      </c>
      <c r="I700" t="str">
        <f>VLOOKUP(A700, [1]Orders!A:E, 3, FALSE)</f>
        <v>Sakshi</v>
      </c>
      <c r="J700" t="str">
        <f>VLOOKUP(A700, [1]Orders!A:E, 4, FALSE)</f>
        <v>Madhya Pradesh</v>
      </c>
      <c r="K700" t="str">
        <f>VLOOKUP(A700, [1]Orders!A:E, 5, FALSE)</f>
        <v>Bhopal</v>
      </c>
    </row>
    <row r="701" spans="1:11" x14ac:dyDescent="0.5">
      <c r="A701" t="s">
        <v>281</v>
      </c>
      <c r="B701">
        <v>108</v>
      </c>
      <c r="C701">
        <v>26</v>
      </c>
      <c r="D701">
        <v>4</v>
      </c>
      <c r="E701" t="s">
        <v>23</v>
      </c>
      <c r="F701" t="s">
        <v>142</v>
      </c>
      <c r="G701" t="s">
        <v>28</v>
      </c>
      <c r="H701" s="1">
        <f>VLOOKUP(A701, [1]Orders!A:B, 2, FALSE)</f>
        <v>43131</v>
      </c>
      <c r="I701" t="str">
        <f>VLOOKUP(A701, [1]Orders!A:E, 3, FALSE)</f>
        <v>Ginny</v>
      </c>
      <c r="J701" t="str">
        <f>VLOOKUP(A701, [1]Orders!A:E, 4, FALSE)</f>
        <v>Madhya Pradesh</v>
      </c>
      <c r="K701" t="str">
        <f>VLOOKUP(A701, [1]Orders!A:E, 5, FALSE)</f>
        <v>Indore</v>
      </c>
    </row>
    <row r="702" spans="1:11" x14ac:dyDescent="0.5">
      <c r="A702" t="s">
        <v>382</v>
      </c>
      <c r="B702">
        <v>100</v>
      </c>
      <c r="C702">
        <v>6</v>
      </c>
      <c r="D702">
        <v>4</v>
      </c>
      <c r="E702" t="s">
        <v>23</v>
      </c>
      <c r="F702" t="s">
        <v>57</v>
      </c>
      <c r="G702" t="s">
        <v>10</v>
      </c>
      <c r="H702" s="1">
        <f>VLOOKUP(A702, [1]Orders!A:B, 2, FALSE)</f>
        <v>43419</v>
      </c>
      <c r="I702" t="str">
        <f>VLOOKUP(A702, [1]Orders!A:E, 3, FALSE)</f>
        <v>Aromal</v>
      </c>
      <c r="J702" t="str">
        <f>VLOOKUP(A702, [1]Orders!A:E, 4, FALSE)</f>
        <v>Maharashtra</v>
      </c>
      <c r="K702" t="str">
        <f>VLOOKUP(A702, [1]Orders!A:E, 5, FALSE)</f>
        <v>Mumbai</v>
      </c>
    </row>
    <row r="703" spans="1:11" x14ac:dyDescent="0.5">
      <c r="A703" t="s">
        <v>218</v>
      </c>
      <c r="B703">
        <v>100</v>
      </c>
      <c r="C703">
        <v>-23</v>
      </c>
      <c r="D703">
        <v>1</v>
      </c>
      <c r="E703" t="s">
        <v>8</v>
      </c>
      <c r="F703" t="s">
        <v>21</v>
      </c>
      <c r="G703" t="s">
        <v>10</v>
      </c>
      <c r="H703" s="1">
        <f>VLOOKUP(A703, [1]Orders!A:B, 2, FALSE)</f>
        <v>43224</v>
      </c>
      <c r="I703" t="str">
        <f>VLOOKUP(A703, [1]Orders!A:E, 3, FALSE)</f>
        <v>Aditya</v>
      </c>
      <c r="J703" t="str">
        <f>VLOOKUP(A703, [1]Orders!A:E, 4, FALSE)</f>
        <v>Punjab</v>
      </c>
      <c r="K703" t="str">
        <f>VLOOKUP(A703, [1]Orders!A:E, 5, FALSE)</f>
        <v>Chandigarh</v>
      </c>
    </row>
    <row r="704" spans="1:11" x14ac:dyDescent="0.5">
      <c r="A704" t="s">
        <v>126</v>
      </c>
      <c r="B704">
        <v>43</v>
      </c>
      <c r="C704">
        <v>17</v>
      </c>
      <c r="D704">
        <v>2</v>
      </c>
      <c r="E704" t="s">
        <v>23</v>
      </c>
      <c r="F704" t="s">
        <v>81</v>
      </c>
      <c r="G704" t="s">
        <v>28</v>
      </c>
      <c r="H704" s="1">
        <f>VLOOKUP(A704, [1]Orders!A:B, 2, FALSE)</f>
        <v>43185</v>
      </c>
      <c r="I704" t="str">
        <f>VLOOKUP(A704, [1]Orders!A:E, 3, FALSE)</f>
        <v>Mukesh</v>
      </c>
      <c r="J704" t="str">
        <f>VLOOKUP(A704, [1]Orders!A:E, 4, FALSE)</f>
        <v>Haryana</v>
      </c>
      <c r="K704" t="str">
        <f>VLOOKUP(A704, [1]Orders!A:E, 5, FALSE)</f>
        <v>Chandigarh</v>
      </c>
    </row>
    <row r="705" spans="1:11" x14ac:dyDescent="0.5">
      <c r="A705" t="s">
        <v>199</v>
      </c>
      <c r="B705">
        <v>155</v>
      </c>
      <c r="C705">
        <v>26</v>
      </c>
      <c r="D705">
        <v>3</v>
      </c>
      <c r="E705" t="s">
        <v>23</v>
      </c>
      <c r="F705" t="s">
        <v>57</v>
      </c>
      <c r="G705" t="s">
        <v>14</v>
      </c>
      <c r="H705" s="1">
        <f>VLOOKUP(A705, [1]Orders!A:B, 2, FALSE)</f>
        <v>43402</v>
      </c>
      <c r="I705" t="str">
        <f>VLOOKUP(A705, [1]Orders!A:E, 3, FALSE)</f>
        <v>Moumita</v>
      </c>
      <c r="J705" t="str">
        <f>VLOOKUP(A705, [1]Orders!A:E, 4, FALSE)</f>
        <v>Gujarat</v>
      </c>
      <c r="K705" t="str">
        <f>VLOOKUP(A705, [1]Orders!A:E, 5, FALSE)</f>
        <v>Ahmedabad</v>
      </c>
    </row>
    <row r="706" spans="1:11" x14ac:dyDescent="0.5">
      <c r="A706" t="s">
        <v>383</v>
      </c>
      <c r="B706">
        <v>151</v>
      </c>
      <c r="C706">
        <v>9</v>
      </c>
      <c r="D706">
        <v>3</v>
      </c>
      <c r="E706" t="s">
        <v>23</v>
      </c>
      <c r="F706" t="s">
        <v>30</v>
      </c>
      <c r="G706" t="s">
        <v>14</v>
      </c>
      <c r="H706" s="1">
        <f>VLOOKUP(A706, [1]Orders!A:B, 2, FALSE)</f>
        <v>43113</v>
      </c>
      <c r="I706" t="str">
        <f>VLOOKUP(A706, [1]Orders!A:E, 3, FALSE)</f>
        <v>Shantanu</v>
      </c>
      <c r="J706" t="str">
        <f>VLOOKUP(A706, [1]Orders!A:E, 4, FALSE)</f>
        <v>Maharashtra</v>
      </c>
      <c r="K706" t="str">
        <f>VLOOKUP(A706, [1]Orders!A:E, 5, FALSE)</f>
        <v>Mumbai</v>
      </c>
    </row>
    <row r="707" spans="1:11" x14ac:dyDescent="0.5">
      <c r="A707" t="s">
        <v>165</v>
      </c>
      <c r="B707">
        <v>151</v>
      </c>
      <c r="C707">
        <v>29</v>
      </c>
      <c r="D707">
        <v>5</v>
      </c>
      <c r="E707" t="s">
        <v>23</v>
      </c>
      <c r="F707" t="s">
        <v>30</v>
      </c>
      <c r="G707" t="s">
        <v>14</v>
      </c>
      <c r="H707" s="1">
        <f>VLOOKUP(A707, [1]Orders!A:B, 2, FALSE)</f>
        <v>43103</v>
      </c>
      <c r="I707" t="str">
        <f>VLOOKUP(A707, [1]Orders!A:E, 3, FALSE)</f>
        <v>Monica</v>
      </c>
      <c r="J707" t="str">
        <f>VLOOKUP(A707, [1]Orders!A:E, 4, FALSE)</f>
        <v>Punjab</v>
      </c>
      <c r="K707" t="str">
        <f>VLOOKUP(A707, [1]Orders!A:E, 5, FALSE)</f>
        <v>Chandigarh</v>
      </c>
    </row>
    <row r="708" spans="1:11" x14ac:dyDescent="0.5">
      <c r="A708" t="s">
        <v>38</v>
      </c>
      <c r="B708">
        <v>110</v>
      </c>
      <c r="C708">
        <v>-68</v>
      </c>
      <c r="D708">
        <v>4</v>
      </c>
      <c r="E708" t="s">
        <v>23</v>
      </c>
      <c r="F708" t="s">
        <v>26</v>
      </c>
      <c r="G708" t="s">
        <v>14</v>
      </c>
      <c r="H708" s="1">
        <f>VLOOKUP(A708, [1]Orders!A:B, 2, FALSE)</f>
        <v>43231</v>
      </c>
      <c r="I708" t="str">
        <f>VLOOKUP(A708, [1]Orders!A:E, 3, FALSE)</f>
        <v>Nida</v>
      </c>
      <c r="J708" t="str">
        <f>VLOOKUP(A708, [1]Orders!A:E, 4, FALSE)</f>
        <v>Madhya Pradesh</v>
      </c>
      <c r="K708" t="str">
        <f>VLOOKUP(A708, [1]Orders!A:E, 5, FALSE)</f>
        <v>Indore</v>
      </c>
    </row>
    <row r="709" spans="1:11" x14ac:dyDescent="0.5">
      <c r="A709" t="s">
        <v>104</v>
      </c>
      <c r="B709">
        <v>98</v>
      </c>
      <c r="C709">
        <v>9</v>
      </c>
      <c r="D709">
        <v>2</v>
      </c>
      <c r="E709" t="s">
        <v>12</v>
      </c>
      <c r="F709" t="s">
        <v>131</v>
      </c>
      <c r="G709" t="s">
        <v>10</v>
      </c>
      <c r="H709" s="1">
        <f>VLOOKUP(A709, [1]Orders!A:B, 2, FALSE)</f>
        <v>43333</v>
      </c>
      <c r="I709" t="str">
        <f>VLOOKUP(A709, [1]Orders!A:E, 3, FALSE)</f>
        <v>Vishakha</v>
      </c>
      <c r="J709" t="str">
        <f>VLOOKUP(A709, [1]Orders!A:E, 4, FALSE)</f>
        <v>Madhya Pradesh</v>
      </c>
      <c r="K709" t="str">
        <f>VLOOKUP(A709, [1]Orders!A:E, 5, FALSE)</f>
        <v>Indore</v>
      </c>
    </row>
    <row r="710" spans="1:11" x14ac:dyDescent="0.5">
      <c r="A710" t="s">
        <v>38</v>
      </c>
      <c r="B710">
        <v>97</v>
      </c>
      <c r="C710">
        <v>-62</v>
      </c>
      <c r="D710">
        <v>2</v>
      </c>
      <c r="E710" t="s">
        <v>23</v>
      </c>
      <c r="F710" t="s">
        <v>24</v>
      </c>
      <c r="G710" t="s">
        <v>10</v>
      </c>
      <c r="H710" s="1">
        <f>VLOOKUP(A710, [1]Orders!A:B, 2, FALSE)</f>
        <v>43231</v>
      </c>
      <c r="I710" t="str">
        <f>VLOOKUP(A710, [1]Orders!A:E, 3, FALSE)</f>
        <v>Nida</v>
      </c>
      <c r="J710" t="str">
        <f>VLOOKUP(A710, [1]Orders!A:E, 4, FALSE)</f>
        <v>Madhya Pradesh</v>
      </c>
      <c r="K710" t="str">
        <f>VLOOKUP(A710, [1]Orders!A:E, 5, FALSE)</f>
        <v>Indore</v>
      </c>
    </row>
    <row r="711" spans="1:11" x14ac:dyDescent="0.5">
      <c r="A711" t="s">
        <v>124</v>
      </c>
      <c r="B711">
        <v>111</v>
      </c>
      <c r="C711">
        <v>35</v>
      </c>
      <c r="D711">
        <v>5</v>
      </c>
      <c r="E711" t="s">
        <v>23</v>
      </c>
      <c r="F711" t="s">
        <v>142</v>
      </c>
      <c r="G711" t="s">
        <v>10</v>
      </c>
      <c r="H711" s="1">
        <f>VLOOKUP(A711, [1]Orders!A:B, 2, FALSE)</f>
        <v>43153</v>
      </c>
      <c r="I711" t="str">
        <f>VLOOKUP(A711, [1]Orders!A:E, 3, FALSE)</f>
        <v>Atharv</v>
      </c>
      <c r="J711" t="str">
        <f>VLOOKUP(A711, [1]Orders!A:E, 4, FALSE)</f>
        <v>West Bengal</v>
      </c>
      <c r="K711" t="str">
        <f>VLOOKUP(A711, [1]Orders!A:E, 5, FALSE)</f>
        <v>Kolkata</v>
      </c>
    </row>
    <row r="712" spans="1:11" x14ac:dyDescent="0.5">
      <c r="A712" t="s">
        <v>297</v>
      </c>
      <c r="B712">
        <v>45</v>
      </c>
      <c r="C712">
        <v>17</v>
      </c>
      <c r="D712">
        <v>1</v>
      </c>
      <c r="E712" t="s">
        <v>8</v>
      </c>
      <c r="F712" t="s">
        <v>73</v>
      </c>
      <c r="G712" t="s">
        <v>10</v>
      </c>
      <c r="H712" s="1">
        <f>VLOOKUP(A712, [1]Orders!A:B, 2, FALSE)</f>
        <v>43183</v>
      </c>
      <c r="I712" t="str">
        <f>VLOOKUP(A712, [1]Orders!A:E, 3, FALSE)</f>
        <v>Yogesh</v>
      </c>
      <c r="J712" t="str">
        <f>VLOOKUP(A712, [1]Orders!A:E, 4, FALSE)</f>
        <v>Bihar</v>
      </c>
      <c r="K712" t="str">
        <f>VLOOKUP(A712, [1]Orders!A:E, 5, FALSE)</f>
        <v>Patna</v>
      </c>
    </row>
    <row r="713" spans="1:11" x14ac:dyDescent="0.5">
      <c r="A713" t="s">
        <v>384</v>
      </c>
      <c r="B713">
        <v>112</v>
      </c>
      <c r="C713">
        <v>15</v>
      </c>
      <c r="D713">
        <v>2</v>
      </c>
      <c r="E713" t="s">
        <v>12</v>
      </c>
      <c r="F713" t="s">
        <v>13</v>
      </c>
      <c r="G713" t="s">
        <v>10</v>
      </c>
      <c r="H713" s="1">
        <f>VLOOKUP(A713, [1]Orders!A:B, 2, FALSE)</f>
        <v>43378</v>
      </c>
      <c r="I713" t="str">
        <f>VLOOKUP(A713, [1]Orders!A:E, 3, FALSE)</f>
        <v>Ankit</v>
      </c>
      <c r="J713" t="str">
        <f>VLOOKUP(A713, [1]Orders!A:E, 4, FALSE)</f>
        <v>Maharashtra</v>
      </c>
      <c r="K713" t="str">
        <f>VLOOKUP(A713, [1]Orders!A:E, 5, FALSE)</f>
        <v>Mumbai</v>
      </c>
    </row>
    <row r="714" spans="1:11" x14ac:dyDescent="0.5">
      <c r="A714" t="s">
        <v>15</v>
      </c>
      <c r="B714">
        <v>110</v>
      </c>
      <c r="C714">
        <v>20</v>
      </c>
      <c r="D714">
        <v>5</v>
      </c>
      <c r="E714" t="s">
        <v>23</v>
      </c>
      <c r="F714" t="s">
        <v>57</v>
      </c>
      <c r="G714" t="s">
        <v>82</v>
      </c>
      <c r="H714" s="1">
        <f>VLOOKUP(A714, [1]Orders!A:B, 2, FALSE)</f>
        <v>43116</v>
      </c>
      <c r="I714" t="str">
        <f>VLOOKUP(A714, [1]Orders!A:E, 3, FALSE)</f>
        <v>Shiva</v>
      </c>
      <c r="J714" t="str">
        <f>VLOOKUP(A714, [1]Orders!A:E, 4, FALSE)</f>
        <v>Maharashtra</v>
      </c>
      <c r="K714" t="str">
        <f>VLOOKUP(A714, [1]Orders!A:E, 5, FALSE)</f>
        <v>Pune</v>
      </c>
    </row>
    <row r="715" spans="1:11" x14ac:dyDescent="0.5">
      <c r="A715" t="s">
        <v>91</v>
      </c>
      <c r="B715">
        <v>98</v>
      </c>
      <c r="C715">
        <v>-5</v>
      </c>
      <c r="D715">
        <v>2</v>
      </c>
      <c r="E715" t="s">
        <v>23</v>
      </c>
      <c r="F715" t="s">
        <v>26</v>
      </c>
      <c r="G715" t="s">
        <v>28</v>
      </c>
      <c r="H715" s="1">
        <f>VLOOKUP(A715, [1]Orders!A:B, 2, FALSE)</f>
        <v>43338</v>
      </c>
      <c r="I715" t="str">
        <f>VLOOKUP(A715, [1]Orders!A:E, 3, FALSE)</f>
        <v>Anudeep</v>
      </c>
      <c r="J715" t="str">
        <f>VLOOKUP(A715, [1]Orders!A:E, 4, FALSE)</f>
        <v>Madhya Pradesh</v>
      </c>
      <c r="K715" t="str">
        <f>VLOOKUP(A715, [1]Orders!A:E, 5, FALSE)</f>
        <v>Indore</v>
      </c>
    </row>
    <row r="716" spans="1:11" x14ac:dyDescent="0.5">
      <c r="A716" t="s">
        <v>385</v>
      </c>
      <c r="B716">
        <v>110</v>
      </c>
      <c r="C716">
        <v>12</v>
      </c>
      <c r="D716">
        <v>7</v>
      </c>
      <c r="E716" t="s">
        <v>23</v>
      </c>
      <c r="F716" t="s">
        <v>57</v>
      </c>
      <c r="G716" t="s">
        <v>82</v>
      </c>
      <c r="H716" s="1">
        <f>VLOOKUP(A716, [1]Orders!A:B, 2, FALSE)</f>
        <v>43457</v>
      </c>
      <c r="I716" t="str">
        <f>VLOOKUP(A716, [1]Orders!A:E, 3, FALSE)</f>
        <v>Neha</v>
      </c>
      <c r="J716" t="str">
        <f>VLOOKUP(A716, [1]Orders!A:E, 4, FALSE)</f>
        <v>Rajasthan</v>
      </c>
      <c r="K716" t="str">
        <f>VLOOKUP(A716, [1]Orders!A:E, 5, FALSE)</f>
        <v>Udaipur</v>
      </c>
    </row>
    <row r="717" spans="1:11" x14ac:dyDescent="0.5">
      <c r="A717" t="s">
        <v>41</v>
      </c>
      <c r="B717">
        <v>95</v>
      </c>
      <c r="C717">
        <v>11</v>
      </c>
      <c r="D717">
        <v>4</v>
      </c>
      <c r="E717" t="s">
        <v>12</v>
      </c>
      <c r="F717" t="s">
        <v>131</v>
      </c>
      <c r="G717" t="s">
        <v>10</v>
      </c>
      <c r="H717" s="1">
        <f>VLOOKUP(A717, [1]Orders!A:B, 2, FALSE)</f>
        <v>43412</v>
      </c>
      <c r="I717" t="str">
        <f>VLOOKUP(A717, [1]Orders!A:E, 3, FALSE)</f>
        <v>Gaurav</v>
      </c>
      <c r="J717" t="str">
        <f>VLOOKUP(A717, [1]Orders!A:E, 4, FALSE)</f>
        <v>Gujarat</v>
      </c>
      <c r="K717" t="str">
        <f>VLOOKUP(A717, [1]Orders!A:E, 5, FALSE)</f>
        <v>Ahmedabad</v>
      </c>
    </row>
    <row r="718" spans="1:11" x14ac:dyDescent="0.5">
      <c r="A718" t="s">
        <v>216</v>
      </c>
      <c r="B718">
        <v>1228</v>
      </c>
      <c r="C718">
        <v>14</v>
      </c>
      <c r="D718">
        <v>3</v>
      </c>
      <c r="E718" t="s">
        <v>12</v>
      </c>
      <c r="F718" t="s">
        <v>13</v>
      </c>
      <c r="G718" t="s">
        <v>28</v>
      </c>
      <c r="H718" s="1">
        <f>VLOOKUP(A718, [1]Orders!A:B, 2, FALSE)</f>
        <v>43463</v>
      </c>
      <c r="I718" t="str">
        <f>VLOOKUP(A718, [1]Orders!A:E, 3, FALSE)</f>
        <v>Shruti</v>
      </c>
      <c r="J718" t="str">
        <f>VLOOKUP(A718, [1]Orders!A:E, 4, FALSE)</f>
        <v>Maharashtra</v>
      </c>
      <c r="K718" t="str">
        <f>VLOOKUP(A718, [1]Orders!A:E, 5, FALSE)</f>
        <v>Mumbai</v>
      </c>
    </row>
    <row r="719" spans="1:11" x14ac:dyDescent="0.5">
      <c r="A719" t="s">
        <v>285</v>
      </c>
      <c r="B719">
        <v>29</v>
      </c>
      <c r="C719">
        <v>0</v>
      </c>
      <c r="D719">
        <v>3</v>
      </c>
      <c r="E719" t="s">
        <v>12</v>
      </c>
      <c r="F719" t="s">
        <v>131</v>
      </c>
      <c r="G719" t="s">
        <v>10</v>
      </c>
      <c r="H719" s="1">
        <f>VLOOKUP(A719, [1]Orders!A:B, 2, FALSE)</f>
        <v>43150</v>
      </c>
      <c r="I719" t="str">
        <f>VLOOKUP(A719, [1]Orders!A:E, 3, FALSE)</f>
        <v>Mukesh</v>
      </c>
      <c r="J719" t="str">
        <f>VLOOKUP(A719, [1]Orders!A:E, 4, FALSE)</f>
        <v>Haryana</v>
      </c>
      <c r="K719" t="str">
        <f>VLOOKUP(A719, [1]Orders!A:E, 5, FALSE)</f>
        <v>Chandigarh</v>
      </c>
    </row>
    <row r="720" spans="1:11" x14ac:dyDescent="0.5">
      <c r="A720" t="s">
        <v>11</v>
      </c>
      <c r="B720">
        <v>94</v>
      </c>
      <c r="C720">
        <v>27</v>
      </c>
      <c r="D720">
        <v>2</v>
      </c>
      <c r="E720" t="s">
        <v>23</v>
      </c>
      <c r="F720" t="s">
        <v>81</v>
      </c>
      <c r="G720" t="s">
        <v>10</v>
      </c>
      <c r="H720" s="1">
        <f>VLOOKUP(A720, [1]Orders!A:B, 2, FALSE)</f>
        <v>43169</v>
      </c>
      <c r="I720" t="str">
        <f>VLOOKUP(A720, [1]Orders!A:E, 3, FALSE)</f>
        <v>Harivansh</v>
      </c>
      <c r="J720" t="str">
        <f>VLOOKUP(A720, [1]Orders!A:E, 4, FALSE)</f>
        <v>Uttar Pradesh</v>
      </c>
      <c r="K720" t="str">
        <f>VLOOKUP(A720, [1]Orders!A:E, 5, FALSE)</f>
        <v>Mathura</v>
      </c>
    </row>
    <row r="721" spans="1:11" x14ac:dyDescent="0.5">
      <c r="A721" t="s">
        <v>117</v>
      </c>
      <c r="B721">
        <v>115</v>
      </c>
      <c r="C721">
        <v>25</v>
      </c>
      <c r="D721">
        <v>1</v>
      </c>
      <c r="E721" t="s">
        <v>8</v>
      </c>
      <c r="F721" t="s">
        <v>73</v>
      </c>
      <c r="G721" t="s">
        <v>10</v>
      </c>
      <c r="H721" s="1">
        <f>VLOOKUP(A721, [1]Orders!A:B, 2, FALSE)</f>
        <v>43228</v>
      </c>
      <c r="I721" t="str">
        <f>VLOOKUP(A721, [1]Orders!A:E, 3, FALSE)</f>
        <v>Farah</v>
      </c>
      <c r="J721" t="str">
        <f>VLOOKUP(A721, [1]Orders!A:E, 4, FALSE)</f>
        <v>Nagaland</v>
      </c>
      <c r="K721" t="str">
        <f>VLOOKUP(A721, [1]Orders!A:E, 5, FALSE)</f>
        <v>Kohima</v>
      </c>
    </row>
    <row r="722" spans="1:11" x14ac:dyDescent="0.5">
      <c r="A722" t="s">
        <v>202</v>
      </c>
      <c r="B722">
        <v>149</v>
      </c>
      <c r="C722">
        <v>15</v>
      </c>
      <c r="D722">
        <v>3</v>
      </c>
      <c r="E722" t="s">
        <v>23</v>
      </c>
      <c r="F722" t="s">
        <v>26</v>
      </c>
      <c r="G722" t="s">
        <v>14</v>
      </c>
      <c r="H722" s="1">
        <f>VLOOKUP(A722, [1]Orders!A:B, 2, FALSE)</f>
        <v>43438</v>
      </c>
      <c r="I722" t="str">
        <f>VLOOKUP(A722, [1]Orders!A:E, 3, FALSE)</f>
        <v>Vrinda</v>
      </c>
      <c r="J722" t="str">
        <f>VLOOKUP(A722, [1]Orders!A:E, 4, FALSE)</f>
        <v>Uttar Pradesh</v>
      </c>
      <c r="K722" t="str">
        <f>VLOOKUP(A722, [1]Orders!A:E, 5, FALSE)</f>
        <v>Mathura</v>
      </c>
    </row>
    <row r="723" spans="1:11" x14ac:dyDescent="0.5">
      <c r="A723" t="s">
        <v>122</v>
      </c>
      <c r="B723">
        <v>148</v>
      </c>
      <c r="C723">
        <v>23</v>
      </c>
      <c r="D723">
        <v>4</v>
      </c>
      <c r="E723" t="s">
        <v>23</v>
      </c>
      <c r="F723" t="s">
        <v>32</v>
      </c>
      <c r="G723" t="s">
        <v>14</v>
      </c>
      <c r="H723" s="1">
        <f>VLOOKUP(A723, [1]Orders!A:B, 2, FALSE)</f>
        <v>43167</v>
      </c>
      <c r="I723" t="str">
        <f>VLOOKUP(A723, [1]Orders!A:E, 3, FALSE)</f>
        <v>Ajay</v>
      </c>
      <c r="J723" t="str">
        <f>VLOOKUP(A723, [1]Orders!A:E, 4, FALSE)</f>
        <v>Karnataka</v>
      </c>
      <c r="K723" t="str">
        <f>VLOOKUP(A723, [1]Orders!A:E, 5, FALSE)</f>
        <v>Bangalore</v>
      </c>
    </row>
    <row r="724" spans="1:11" x14ac:dyDescent="0.5">
      <c r="A724" t="s">
        <v>50</v>
      </c>
      <c r="B724">
        <v>93</v>
      </c>
      <c r="C724">
        <v>15</v>
      </c>
      <c r="D724">
        <v>2</v>
      </c>
      <c r="E724" t="s">
        <v>8</v>
      </c>
      <c r="F724" t="s">
        <v>73</v>
      </c>
      <c r="G724" t="s">
        <v>10</v>
      </c>
      <c r="H724" s="1">
        <f>VLOOKUP(A724, [1]Orders!A:B, 2, FALSE)</f>
        <v>43399</v>
      </c>
      <c r="I724" t="str">
        <f>VLOOKUP(A724, [1]Orders!A:E, 3, FALSE)</f>
        <v>Aastha</v>
      </c>
      <c r="J724" t="str">
        <f>VLOOKUP(A724, [1]Orders!A:E, 4, FALSE)</f>
        <v>Himachal Pradesh</v>
      </c>
      <c r="K724" t="str">
        <f>VLOOKUP(A724, [1]Orders!A:E, 5, FALSE)</f>
        <v>Simla</v>
      </c>
    </row>
    <row r="725" spans="1:11" x14ac:dyDescent="0.5">
      <c r="A725" t="s">
        <v>361</v>
      </c>
      <c r="B725">
        <v>113</v>
      </c>
      <c r="C725">
        <v>24</v>
      </c>
      <c r="D725">
        <v>4</v>
      </c>
      <c r="E725" t="s">
        <v>23</v>
      </c>
      <c r="F725" t="s">
        <v>30</v>
      </c>
      <c r="G725" t="s">
        <v>82</v>
      </c>
      <c r="H725" s="1">
        <f>VLOOKUP(A725, [1]Orders!A:B, 2, FALSE)</f>
        <v>43157</v>
      </c>
      <c r="I725" t="str">
        <f>VLOOKUP(A725, [1]Orders!A:E, 3, FALSE)</f>
        <v>Sahil</v>
      </c>
      <c r="J725" t="str">
        <f>VLOOKUP(A725, [1]Orders!A:E, 4, FALSE)</f>
        <v>Punjab</v>
      </c>
      <c r="K725" t="str">
        <f>VLOOKUP(A725, [1]Orders!A:E, 5, FALSE)</f>
        <v>Chandigarh</v>
      </c>
    </row>
    <row r="726" spans="1:11" x14ac:dyDescent="0.5">
      <c r="A726" t="s">
        <v>264</v>
      </c>
      <c r="B726">
        <v>48</v>
      </c>
      <c r="C726">
        <v>2</v>
      </c>
      <c r="D726">
        <v>3</v>
      </c>
      <c r="E726" t="s">
        <v>23</v>
      </c>
      <c r="F726" t="s">
        <v>57</v>
      </c>
      <c r="G726" t="s">
        <v>10</v>
      </c>
      <c r="H726" s="1">
        <f>VLOOKUP(A726, [1]Orders!A:B, 2, FALSE)</f>
        <v>43128</v>
      </c>
      <c r="I726" t="str">
        <f>VLOOKUP(A726, [1]Orders!A:E, 3, FALSE)</f>
        <v>Amruta</v>
      </c>
      <c r="J726" t="str">
        <f>VLOOKUP(A726, [1]Orders!A:E, 4, FALSE)</f>
        <v>Delhi</v>
      </c>
      <c r="K726" t="str">
        <f>VLOOKUP(A726, [1]Orders!A:E, 5, FALSE)</f>
        <v>Delhi</v>
      </c>
    </row>
    <row r="727" spans="1:11" x14ac:dyDescent="0.5">
      <c r="A727" t="s">
        <v>328</v>
      </c>
      <c r="B727">
        <v>148</v>
      </c>
      <c r="C727">
        <v>9</v>
      </c>
      <c r="D727">
        <v>1</v>
      </c>
      <c r="E727" t="s">
        <v>8</v>
      </c>
      <c r="F727" t="s">
        <v>9</v>
      </c>
      <c r="G727" t="s">
        <v>28</v>
      </c>
      <c r="H727" s="1">
        <f>VLOOKUP(A727, [1]Orders!A:B, 2, FALSE)</f>
        <v>43114</v>
      </c>
      <c r="I727" t="str">
        <f>VLOOKUP(A727, [1]Orders!A:E, 3, FALSE)</f>
        <v>Trupti</v>
      </c>
      <c r="J727" t="str">
        <f>VLOOKUP(A727, [1]Orders!A:E, 4, FALSE)</f>
        <v>Gujarat</v>
      </c>
      <c r="K727" t="str">
        <f>VLOOKUP(A727, [1]Orders!A:E, 5, FALSE)</f>
        <v>Ahmedabad</v>
      </c>
    </row>
    <row r="728" spans="1:11" x14ac:dyDescent="0.5">
      <c r="A728" t="s">
        <v>386</v>
      </c>
      <c r="B728">
        <v>114</v>
      </c>
      <c r="C728">
        <v>11</v>
      </c>
      <c r="D728">
        <v>4</v>
      </c>
      <c r="E728" t="s">
        <v>23</v>
      </c>
      <c r="F728" t="s">
        <v>81</v>
      </c>
      <c r="G728" t="s">
        <v>82</v>
      </c>
      <c r="H728" s="1">
        <f>VLOOKUP(A728, [1]Orders!A:B, 2, FALSE)</f>
        <v>43437</v>
      </c>
      <c r="I728" t="str">
        <f>VLOOKUP(A728, [1]Orders!A:E, 3, FALSE)</f>
        <v>Abhishek</v>
      </c>
      <c r="J728" t="str">
        <f>VLOOKUP(A728, [1]Orders!A:E, 4, FALSE)</f>
        <v>Gujarat</v>
      </c>
      <c r="K728" t="str">
        <f>VLOOKUP(A728, [1]Orders!A:E, 5, FALSE)</f>
        <v>Surat</v>
      </c>
    </row>
    <row r="729" spans="1:11" x14ac:dyDescent="0.5">
      <c r="A729" t="s">
        <v>79</v>
      </c>
      <c r="B729">
        <v>92</v>
      </c>
      <c r="C729">
        <v>42</v>
      </c>
      <c r="D729">
        <v>2</v>
      </c>
      <c r="E729" t="s">
        <v>23</v>
      </c>
      <c r="F729" t="s">
        <v>57</v>
      </c>
      <c r="G729" t="s">
        <v>10</v>
      </c>
      <c r="H729" s="1">
        <f>VLOOKUP(A729, [1]Orders!A:B, 2, FALSE)</f>
        <v>43383</v>
      </c>
      <c r="I729" t="str">
        <f>VLOOKUP(A729, [1]Orders!A:E, 3, FALSE)</f>
        <v>Nripraj</v>
      </c>
      <c r="J729" t="str">
        <f>VLOOKUP(A729, [1]Orders!A:E, 4, FALSE)</f>
        <v>Punjab</v>
      </c>
      <c r="K729" t="str">
        <f>VLOOKUP(A729, [1]Orders!A:E, 5, FALSE)</f>
        <v>Chandigarh</v>
      </c>
    </row>
    <row r="730" spans="1:11" x14ac:dyDescent="0.5">
      <c r="A730" t="s">
        <v>387</v>
      </c>
      <c r="B730">
        <v>117</v>
      </c>
      <c r="C730">
        <v>14</v>
      </c>
      <c r="D730">
        <v>3</v>
      </c>
      <c r="E730" t="s">
        <v>23</v>
      </c>
      <c r="F730" t="s">
        <v>142</v>
      </c>
      <c r="G730" t="s">
        <v>28</v>
      </c>
      <c r="H730" s="1">
        <f>VLOOKUP(A730, [1]Orders!A:B, 2, FALSE)</f>
        <v>43216</v>
      </c>
      <c r="I730" t="str">
        <f>VLOOKUP(A730, [1]Orders!A:E, 3, FALSE)</f>
        <v>Ashmi</v>
      </c>
      <c r="J730" t="str">
        <f>VLOOKUP(A730, [1]Orders!A:E, 4, FALSE)</f>
        <v>Madhya Pradesh</v>
      </c>
      <c r="K730" t="str">
        <f>VLOOKUP(A730, [1]Orders!A:E, 5, FALSE)</f>
        <v>Indore</v>
      </c>
    </row>
    <row r="731" spans="1:11" x14ac:dyDescent="0.5">
      <c r="A731" t="s">
        <v>80</v>
      </c>
      <c r="B731">
        <v>21</v>
      </c>
      <c r="C731">
        <v>-10</v>
      </c>
      <c r="D731">
        <v>4</v>
      </c>
      <c r="E731" t="s">
        <v>23</v>
      </c>
      <c r="F731" t="s">
        <v>63</v>
      </c>
      <c r="G731" t="s">
        <v>10</v>
      </c>
      <c r="H731" s="1">
        <f>VLOOKUP(A731, [1]Orders!A:B, 2, FALSE)</f>
        <v>43374</v>
      </c>
      <c r="I731" t="str">
        <f>VLOOKUP(A731, [1]Orders!A:E, 3, FALSE)</f>
        <v>Aryan</v>
      </c>
      <c r="J731" t="str">
        <f>VLOOKUP(A731, [1]Orders!A:E, 4, FALSE)</f>
        <v>Madhya Pradesh</v>
      </c>
      <c r="K731" t="str">
        <f>VLOOKUP(A731, [1]Orders!A:E, 5, FALSE)</f>
        <v>Bhopal</v>
      </c>
    </row>
    <row r="732" spans="1:11" x14ac:dyDescent="0.5">
      <c r="A732" t="s">
        <v>388</v>
      </c>
      <c r="B732">
        <v>33</v>
      </c>
      <c r="C732">
        <v>-10</v>
      </c>
      <c r="D732">
        <v>6</v>
      </c>
      <c r="E732" t="s">
        <v>23</v>
      </c>
      <c r="F732" t="s">
        <v>63</v>
      </c>
      <c r="G732" t="s">
        <v>28</v>
      </c>
      <c r="H732" s="1">
        <f>VLOOKUP(A732, [1]Orders!A:B, 2, FALSE)</f>
        <v>43358</v>
      </c>
      <c r="I732" t="str">
        <f>VLOOKUP(A732, [1]Orders!A:E, 3, FALSE)</f>
        <v>Shivangi</v>
      </c>
      <c r="J732" t="str">
        <f>VLOOKUP(A732, [1]Orders!A:E, 4, FALSE)</f>
        <v>Madhya Pradesh</v>
      </c>
      <c r="K732" t="str">
        <f>VLOOKUP(A732, [1]Orders!A:E, 5, FALSE)</f>
        <v>Indore</v>
      </c>
    </row>
    <row r="733" spans="1:11" x14ac:dyDescent="0.5">
      <c r="A733" t="s">
        <v>99</v>
      </c>
      <c r="B733">
        <v>114</v>
      </c>
      <c r="C733">
        <v>8</v>
      </c>
      <c r="D733">
        <v>3</v>
      </c>
      <c r="E733" t="s">
        <v>8</v>
      </c>
      <c r="F733" t="s">
        <v>73</v>
      </c>
      <c r="G733" t="s">
        <v>82</v>
      </c>
      <c r="H733" s="1">
        <f>VLOOKUP(A733, [1]Orders!A:B, 2, FALSE)</f>
        <v>43273</v>
      </c>
      <c r="I733" t="str">
        <f>VLOOKUP(A733, [1]Orders!A:E, 3, FALSE)</f>
        <v>Vijay</v>
      </c>
      <c r="J733" t="str">
        <f>VLOOKUP(A733, [1]Orders!A:E, 4, FALSE)</f>
        <v>Jammu and Kashmir</v>
      </c>
      <c r="K733" t="str">
        <f>VLOOKUP(A733, [1]Orders!A:E, 5, FALSE)</f>
        <v>Kashmir</v>
      </c>
    </row>
    <row r="734" spans="1:11" x14ac:dyDescent="0.5">
      <c r="A734" t="s">
        <v>204</v>
      </c>
      <c r="B734">
        <v>115</v>
      </c>
      <c r="C734">
        <v>0</v>
      </c>
      <c r="D734">
        <v>1</v>
      </c>
      <c r="E734" t="s">
        <v>8</v>
      </c>
      <c r="F734" t="s">
        <v>73</v>
      </c>
      <c r="G734" t="s">
        <v>82</v>
      </c>
      <c r="H734" s="1">
        <f>VLOOKUP(A734, [1]Orders!A:B, 2, FALSE)</f>
        <v>43151</v>
      </c>
      <c r="I734" t="str">
        <f>VLOOKUP(A734, [1]Orders!A:E, 3, FALSE)</f>
        <v>Manju</v>
      </c>
      <c r="J734" t="str">
        <f>VLOOKUP(A734, [1]Orders!A:E, 4, FALSE)</f>
        <v>Andhra Pradesh</v>
      </c>
      <c r="K734" t="str">
        <f>VLOOKUP(A734, [1]Orders!A:E, 5, FALSE)</f>
        <v>Hyderabad</v>
      </c>
    </row>
    <row r="735" spans="1:11" x14ac:dyDescent="0.5">
      <c r="A735" t="s">
        <v>31</v>
      </c>
      <c r="B735">
        <v>90</v>
      </c>
      <c r="C735">
        <v>29</v>
      </c>
      <c r="D735">
        <v>5</v>
      </c>
      <c r="E735" t="s">
        <v>23</v>
      </c>
      <c r="F735" t="s">
        <v>81</v>
      </c>
      <c r="G735" t="s">
        <v>10</v>
      </c>
      <c r="H735" s="1">
        <f>VLOOKUP(A735, [1]Orders!A:B, 2, FALSE)</f>
        <v>43410</v>
      </c>
      <c r="I735" t="str">
        <f>VLOOKUP(A735, [1]Orders!A:E, 3, FALSE)</f>
        <v>Kushal</v>
      </c>
      <c r="J735" t="str">
        <f>VLOOKUP(A735, [1]Orders!A:E, 4, FALSE)</f>
        <v>Nagaland</v>
      </c>
      <c r="K735" t="str">
        <f>VLOOKUP(A735, [1]Orders!A:E, 5, FALSE)</f>
        <v>Kohima</v>
      </c>
    </row>
    <row r="736" spans="1:11" x14ac:dyDescent="0.5">
      <c r="A736" t="s">
        <v>389</v>
      </c>
      <c r="B736">
        <v>61</v>
      </c>
      <c r="C736">
        <v>1</v>
      </c>
      <c r="D736">
        <v>2</v>
      </c>
      <c r="E736" t="s">
        <v>12</v>
      </c>
      <c r="F736" t="s">
        <v>131</v>
      </c>
      <c r="G736" t="s">
        <v>10</v>
      </c>
      <c r="H736" s="1">
        <f>VLOOKUP(A736, [1]Orders!A:B, 2, FALSE)</f>
        <v>43105</v>
      </c>
      <c r="I736" t="str">
        <f>VLOOKUP(A736, [1]Orders!A:E, 3, FALSE)</f>
        <v>Shikhar</v>
      </c>
      <c r="J736" t="str">
        <f>VLOOKUP(A736, [1]Orders!A:E, 4, FALSE)</f>
        <v>Himachal Pradesh</v>
      </c>
      <c r="K736" t="str">
        <f>VLOOKUP(A736, [1]Orders!A:E, 5, FALSE)</f>
        <v>Simla</v>
      </c>
    </row>
    <row r="737" spans="1:11" x14ac:dyDescent="0.5">
      <c r="A737" t="s">
        <v>390</v>
      </c>
      <c r="B737">
        <v>119</v>
      </c>
      <c r="C737">
        <v>1</v>
      </c>
      <c r="D737">
        <v>1</v>
      </c>
      <c r="E737" t="s">
        <v>12</v>
      </c>
      <c r="F737" t="s">
        <v>13</v>
      </c>
      <c r="G737" t="s">
        <v>10</v>
      </c>
      <c r="H737" s="1">
        <f>VLOOKUP(A737, [1]Orders!A:B, 2, FALSE)</f>
        <v>43389</v>
      </c>
      <c r="I737" t="str">
        <f>VLOOKUP(A737, [1]Orders!A:E, 3, FALSE)</f>
        <v>Dheeraj</v>
      </c>
      <c r="J737" t="str">
        <f>VLOOKUP(A737, [1]Orders!A:E, 4, FALSE)</f>
        <v>Rajasthan</v>
      </c>
      <c r="K737" t="str">
        <f>VLOOKUP(A737, [1]Orders!A:E, 5, FALSE)</f>
        <v>Jaipur</v>
      </c>
    </row>
    <row r="738" spans="1:11" x14ac:dyDescent="0.5">
      <c r="A738" t="s">
        <v>111</v>
      </c>
      <c r="B738">
        <v>117</v>
      </c>
      <c r="C738">
        <v>36</v>
      </c>
      <c r="D738">
        <v>2</v>
      </c>
      <c r="E738" t="s">
        <v>23</v>
      </c>
      <c r="F738" t="s">
        <v>24</v>
      </c>
      <c r="G738" t="s">
        <v>82</v>
      </c>
      <c r="H738" s="1">
        <f>VLOOKUP(A738, [1]Orders!A:B, 2, FALSE)</f>
        <v>43409</v>
      </c>
      <c r="I738" t="str">
        <f>VLOOKUP(A738, [1]Orders!A:E, 3, FALSE)</f>
        <v>Abhishek</v>
      </c>
      <c r="J738" t="str">
        <f>VLOOKUP(A738, [1]Orders!A:E, 4, FALSE)</f>
        <v>Goa</v>
      </c>
      <c r="K738" t="str">
        <f>VLOOKUP(A738, [1]Orders!A:E, 5, FALSE)</f>
        <v>Goa</v>
      </c>
    </row>
    <row r="739" spans="1:11" x14ac:dyDescent="0.5">
      <c r="A739" t="s">
        <v>391</v>
      </c>
      <c r="B739">
        <v>148</v>
      </c>
      <c r="C739">
        <v>54</v>
      </c>
      <c r="D739">
        <v>2</v>
      </c>
      <c r="E739" t="s">
        <v>12</v>
      </c>
      <c r="F739" t="s">
        <v>13</v>
      </c>
      <c r="G739" t="s">
        <v>28</v>
      </c>
      <c r="H739" s="1">
        <f>VLOOKUP(A739, [1]Orders!A:B, 2, FALSE)</f>
        <v>43462</v>
      </c>
      <c r="I739" t="str">
        <f>VLOOKUP(A739, [1]Orders!A:E, 3, FALSE)</f>
        <v>Prajakta</v>
      </c>
      <c r="J739" t="str">
        <f>VLOOKUP(A739, [1]Orders!A:E, 4, FALSE)</f>
        <v>Karnataka</v>
      </c>
      <c r="K739" t="str">
        <f>VLOOKUP(A739, [1]Orders!A:E, 5, FALSE)</f>
        <v>Bangalore</v>
      </c>
    </row>
    <row r="740" spans="1:11" x14ac:dyDescent="0.5">
      <c r="A740" t="s">
        <v>190</v>
      </c>
      <c r="B740">
        <v>249</v>
      </c>
      <c r="C740">
        <v>-5</v>
      </c>
      <c r="D740">
        <v>4</v>
      </c>
      <c r="E740" t="s">
        <v>23</v>
      </c>
      <c r="F740" t="s">
        <v>26</v>
      </c>
      <c r="G740" t="s">
        <v>10</v>
      </c>
      <c r="H740" s="1">
        <f>VLOOKUP(A740, [1]Orders!A:B, 2, FALSE)</f>
        <v>43199</v>
      </c>
      <c r="I740" t="str">
        <f>VLOOKUP(A740, [1]Orders!A:E, 3, FALSE)</f>
        <v>Jitesh</v>
      </c>
      <c r="J740" t="str">
        <f>VLOOKUP(A740, [1]Orders!A:E, 4, FALSE)</f>
        <v>Uttar Pradesh</v>
      </c>
      <c r="K740" t="str">
        <f>VLOOKUP(A740, [1]Orders!A:E, 5, FALSE)</f>
        <v>Lucknow</v>
      </c>
    </row>
    <row r="741" spans="1:11" x14ac:dyDescent="0.5">
      <c r="A741" t="s">
        <v>115</v>
      </c>
      <c r="B741">
        <v>147</v>
      </c>
      <c r="C741">
        <v>73</v>
      </c>
      <c r="D741">
        <v>3</v>
      </c>
      <c r="E741" t="s">
        <v>23</v>
      </c>
      <c r="F741" t="s">
        <v>57</v>
      </c>
      <c r="G741" t="s">
        <v>28</v>
      </c>
      <c r="H741" s="1">
        <f>VLOOKUP(A741, [1]Orders!A:B, 2, FALSE)</f>
        <v>43441</v>
      </c>
      <c r="I741" t="str">
        <f>VLOOKUP(A741, [1]Orders!A:E, 3, FALSE)</f>
        <v>Abhishek</v>
      </c>
      <c r="J741" t="str">
        <f>VLOOKUP(A741, [1]Orders!A:E, 4, FALSE)</f>
        <v>Rajasthan</v>
      </c>
      <c r="K741" t="str">
        <f>VLOOKUP(A741, [1]Orders!A:E, 5, FALSE)</f>
        <v>Udaipur</v>
      </c>
    </row>
    <row r="742" spans="1:11" x14ac:dyDescent="0.5">
      <c r="A742" t="s">
        <v>392</v>
      </c>
      <c r="B742">
        <v>118</v>
      </c>
      <c r="C742">
        <v>35</v>
      </c>
      <c r="D742">
        <v>7</v>
      </c>
      <c r="E742" t="s">
        <v>23</v>
      </c>
      <c r="F742" t="s">
        <v>81</v>
      </c>
      <c r="G742" t="s">
        <v>14</v>
      </c>
      <c r="H742" s="1">
        <f>VLOOKUP(A742, [1]Orders!A:B, 2, FALSE)</f>
        <v>43383</v>
      </c>
      <c r="I742" t="str">
        <f>VLOOKUP(A742, [1]Orders!A:E, 3, FALSE)</f>
        <v>Swapnil</v>
      </c>
      <c r="J742" t="str">
        <f>VLOOKUP(A742, [1]Orders!A:E, 4, FALSE)</f>
        <v>Madhya Pradesh</v>
      </c>
      <c r="K742" t="str">
        <f>VLOOKUP(A742, [1]Orders!A:E, 5, FALSE)</f>
        <v>Indore</v>
      </c>
    </row>
    <row r="743" spans="1:11" x14ac:dyDescent="0.5">
      <c r="A743" t="s">
        <v>194</v>
      </c>
      <c r="B743">
        <v>119</v>
      </c>
      <c r="C743">
        <v>56</v>
      </c>
      <c r="D743">
        <v>7</v>
      </c>
      <c r="E743" t="s">
        <v>23</v>
      </c>
      <c r="F743" t="s">
        <v>26</v>
      </c>
      <c r="G743" t="s">
        <v>14</v>
      </c>
      <c r="H743" s="1">
        <f>VLOOKUP(A743, [1]Orders!A:B, 2, FALSE)</f>
        <v>43185</v>
      </c>
      <c r="I743" t="str">
        <f>VLOOKUP(A743, [1]Orders!A:E, 3, FALSE)</f>
        <v>Vandana</v>
      </c>
      <c r="J743" t="str">
        <f>VLOOKUP(A743, [1]Orders!A:E, 4, FALSE)</f>
        <v>Himachal Pradesh</v>
      </c>
      <c r="K743" t="str">
        <f>VLOOKUP(A743, [1]Orders!A:E, 5, FALSE)</f>
        <v>Simla</v>
      </c>
    </row>
    <row r="744" spans="1:11" x14ac:dyDescent="0.5">
      <c r="A744" t="s">
        <v>378</v>
      </c>
      <c r="B744">
        <v>90</v>
      </c>
      <c r="C744">
        <v>27</v>
      </c>
      <c r="D744">
        <v>2</v>
      </c>
      <c r="E744" t="s">
        <v>23</v>
      </c>
      <c r="F744" t="s">
        <v>81</v>
      </c>
      <c r="G744" t="s">
        <v>10</v>
      </c>
      <c r="H744" s="1">
        <f>VLOOKUP(A744, [1]Orders!A:B, 2, FALSE)</f>
        <v>43444</v>
      </c>
      <c r="I744" t="str">
        <f>VLOOKUP(A744, [1]Orders!A:E, 3, FALSE)</f>
        <v>Suraj</v>
      </c>
      <c r="J744" t="str">
        <f>VLOOKUP(A744, [1]Orders!A:E, 4, FALSE)</f>
        <v>Gujarat</v>
      </c>
      <c r="K744" t="str">
        <f>VLOOKUP(A744, [1]Orders!A:E, 5, FALSE)</f>
        <v>Surat</v>
      </c>
    </row>
    <row r="745" spans="1:11" x14ac:dyDescent="0.5">
      <c r="A745" t="s">
        <v>263</v>
      </c>
      <c r="B745">
        <v>32</v>
      </c>
      <c r="C745">
        <v>1</v>
      </c>
      <c r="D745">
        <v>2</v>
      </c>
      <c r="E745" t="s">
        <v>23</v>
      </c>
      <c r="F745" t="s">
        <v>57</v>
      </c>
      <c r="G745" t="s">
        <v>10</v>
      </c>
      <c r="H745" s="1">
        <f>VLOOKUP(A745, [1]Orders!A:B, 2, FALSE)</f>
        <v>43150</v>
      </c>
      <c r="I745" t="str">
        <f>VLOOKUP(A745, [1]Orders!A:E, 3, FALSE)</f>
        <v>Bhavna</v>
      </c>
      <c r="J745" t="str">
        <f>VLOOKUP(A745, [1]Orders!A:E, 4, FALSE)</f>
        <v>Sikkim</v>
      </c>
      <c r="K745" t="str">
        <f>VLOOKUP(A745, [1]Orders!A:E, 5, FALSE)</f>
        <v>Gangtok</v>
      </c>
    </row>
    <row r="746" spans="1:11" x14ac:dyDescent="0.5">
      <c r="A746" t="s">
        <v>393</v>
      </c>
      <c r="B746">
        <v>89</v>
      </c>
      <c r="C746">
        <v>-89</v>
      </c>
      <c r="D746">
        <v>2</v>
      </c>
      <c r="E746" t="s">
        <v>12</v>
      </c>
      <c r="F746" t="s">
        <v>131</v>
      </c>
      <c r="G746" t="s">
        <v>10</v>
      </c>
      <c r="H746" s="1">
        <f>VLOOKUP(A746, [1]Orders!A:B, 2, FALSE)</f>
        <v>43214</v>
      </c>
      <c r="I746" t="str">
        <f>VLOOKUP(A746, [1]Orders!A:E, 3, FALSE)</f>
        <v>Ritu</v>
      </c>
      <c r="J746" t="str">
        <f>VLOOKUP(A746, [1]Orders!A:E, 4, FALSE)</f>
        <v>Haryana</v>
      </c>
      <c r="K746" t="str">
        <f>VLOOKUP(A746, [1]Orders!A:E, 5, FALSE)</f>
        <v>Chandigarh</v>
      </c>
    </row>
    <row r="747" spans="1:11" x14ac:dyDescent="0.5">
      <c r="A747" t="s">
        <v>328</v>
      </c>
      <c r="B747">
        <v>146</v>
      </c>
      <c r="C747">
        <v>66</v>
      </c>
      <c r="D747">
        <v>1</v>
      </c>
      <c r="E747" t="s">
        <v>8</v>
      </c>
      <c r="F747" t="s">
        <v>21</v>
      </c>
      <c r="G747" t="s">
        <v>28</v>
      </c>
      <c r="H747" s="1">
        <f>VLOOKUP(A747, [1]Orders!A:B, 2, FALSE)</f>
        <v>43114</v>
      </c>
      <c r="I747" t="str">
        <f>VLOOKUP(A747, [1]Orders!A:E, 3, FALSE)</f>
        <v>Trupti</v>
      </c>
      <c r="J747" t="str">
        <f>VLOOKUP(A747, [1]Orders!A:E, 4, FALSE)</f>
        <v>Gujarat</v>
      </c>
      <c r="K747" t="str">
        <f>VLOOKUP(A747, [1]Orders!A:E, 5, FALSE)</f>
        <v>Ahmedabad</v>
      </c>
    </row>
    <row r="748" spans="1:11" x14ac:dyDescent="0.5">
      <c r="A748" t="s">
        <v>394</v>
      </c>
      <c r="B748">
        <v>89</v>
      </c>
      <c r="C748">
        <v>-37</v>
      </c>
      <c r="D748">
        <v>4</v>
      </c>
      <c r="E748" t="s">
        <v>23</v>
      </c>
      <c r="F748" t="s">
        <v>142</v>
      </c>
      <c r="G748" t="s">
        <v>10</v>
      </c>
      <c r="H748" s="1">
        <f>VLOOKUP(A748, [1]Orders!A:B, 2, FALSE)</f>
        <v>43117</v>
      </c>
      <c r="I748" t="str">
        <f>VLOOKUP(A748, [1]Orders!A:E, 3, FALSE)</f>
        <v>Shreya</v>
      </c>
      <c r="J748" t="str">
        <f>VLOOKUP(A748, [1]Orders!A:E, 4, FALSE)</f>
        <v>Maharashtra</v>
      </c>
      <c r="K748" t="str">
        <f>VLOOKUP(A748, [1]Orders!A:E, 5, FALSE)</f>
        <v>Mumbai</v>
      </c>
    </row>
    <row r="749" spans="1:11" x14ac:dyDescent="0.5">
      <c r="A749" t="s">
        <v>243</v>
      </c>
      <c r="B749">
        <v>88</v>
      </c>
      <c r="C749">
        <v>11</v>
      </c>
      <c r="D749">
        <v>3</v>
      </c>
      <c r="E749" t="s">
        <v>8</v>
      </c>
      <c r="F749" t="s">
        <v>73</v>
      </c>
      <c r="G749" t="s">
        <v>10</v>
      </c>
      <c r="H749" s="1">
        <f>VLOOKUP(A749, [1]Orders!A:B, 2, FALSE)</f>
        <v>43187</v>
      </c>
      <c r="I749" t="str">
        <f>VLOOKUP(A749, [1]Orders!A:E, 3, FALSE)</f>
        <v>Atharv</v>
      </c>
      <c r="J749" t="str">
        <f>VLOOKUP(A749, [1]Orders!A:E, 4, FALSE)</f>
        <v>West Bengal</v>
      </c>
      <c r="K749" t="str">
        <f>VLOOKUP(A749, [1]Orders!A:E, 5, FALSE)</f>
        <v>Kolkata</v>
      </c>
    </row>
    <row r="750" spans="1:11" x14ac:dyDescent="0.5">
      <c r="A750" t="s">
        <v>395</v>
      </c>
      <c r="B750">
        <v>121</v>
      </c>
      <c r="C750">
        <v>41</v>
      </c>
      <c r="D750">
        <v>4</v>
      </c>
      <c r="E750" t="s">
        <v>23</v>
      </c>
      <c r="F750" t="s">
        <v>57</v>
      </c>
      <c r="G750" t="s">
        <v>14</v>
      </c>
      <c r="H750" s="1">
        <f>VLOOKUP(A750, [1]Orders!A:B, 2, FALSE)</f>
        <v>43419</v>
      </c>
      <c r="I750" t="str">
        <f>VLOOKUP(A750, [1]Orders!A:E, 3, FALSE)</f>
        <v>Amol</v>
      </c>
      <c r="J750" t="str">
        <f>VLOOKUP(A750, [1]Orders!A:E, 4, FALSE)</f>
        <v>Bihar</v>
      </c>
      <c r="K750" t="str">
        <f>VLOOKUP(A750, [1]Orders!A:E, 5, FALSE)</f>
        <v>Patna</v>
      </c>
    </row>
    <row r="751" spans="1:11" x14ac:dyDescent="0.5">
      <c r="A751" t="s">
        <v>273</v>
      </c>
      <c r="B751">
        <v>88</v>
      </c>
      <c r="C751">
        <v>20</v>
      </c>
      <c r="D751">
        <v>2</v>
      </c>
      <c r="E751" t="s">
        <v>23</v>
      </c>
      <c r="F751" t="s">
        <v>26</v>
      </c>
      <c r="G751" t="s">
        <v>10</v>
      </c>
      <c r="H751" s="1">
        <f>VLOOKUP(A751, [1]Orders!A:B, 2, FALSE)</f>
        <v>43169</v>
      </c>
      <c r="I751" t="str">
        <f>VLOOKUP(A751, [1]Orders!A:E, 3, FALSE)</f>
        <v>Mayank</v>
      </c>
      <c r="J751" t="str">
        <f>VLOOKUP(A751, [1]Orders!A:E, 4, FALSE)</f>
        <v>Maharashtra</v>
      </c>
      <c r="K751" t="str">
        <f>VLOOKUP(A751, [1]Orders!A:E, 5, FALSE)</f>
        <v>Mumbai</v>
      </c>
    </row>
    <row r="752" spans="1:11" x14ac:dyDescent="0.5">
      <c r="A752" t="s">
        <v>182</v>
      </c>
      <c r="B752">
        <v>87</v>
      </c>
      <c r="C752">
        <v>-83</v>
      </c>
      <c r="D752">
        <v>5</v>
      </c>
      <c r="E752" t="s">
        <v>23</v>
      </c>
      <c r="F752" t="s">
        <v>32</v>
      </c>
      <c r="G752" t="s">
        <v>10</v>
      </c>
      <c r="H752" s="1">
        <f>VLOOKUP(A752, [1]Orders!A:B, 2, FALSE)</f>
        <v>43274</v>
      </c>
      <c r="I752" t="str">
        <f>VLOOKUP(A752, [1]Orders!A:E, 3, FALSE)</f>
        <v>Amisha</v>
      </c>
      <c r="J752" t="str">
        <f>VLOOKUP(A752, [1]Orders!A:E, 4, FALSE)</f>
        <v>Tamil Nadu</v>
      </c>
      <c r="K752" t="str">
        <f>VLOOKUP(A752, [1]Orders!A:E, 5, FALSE)</f>
        <v>Chennai</v>
      </c>
    </row>
    <row r="753" spans="1:11" x14ac:dyDescent="0.5">
      <c r="A753" t="s">
        <v>396</v>
      </c>
      <c r="B753">
        <v>87</v>
      </c>
      <c r="C753">
        <v>4</v>
      </c>
      <c r="D753">
        <v>2</v>
      </c>
      <c r="E753" t="s">
        <v>23</v>
      </c>
      <c r="F753" t="s">
        <v>142</v>
      </c>
      <c r="G753" t="s">
        <v>10</v>
      </c>
      <c r="H753" s="1">
        <f>VLOOKUP(A753, [1]Orders!A:B, 2, FALSE)</f>
        <v>43196</v>
      </c>
      <c r="I753" t="str">
        <f>VLOOKUP(A753, [1]Orders!A:E, 3, FALSE)</f>
        <v>Hazel</v>
      </c>
      <c r="J753" t="str">
        <f>VLOOKUP(A753, [1]Orders!A:E, 4, FALSE)</f>
        <v>Karnataka</v>
      </c>
      <c r="K753" t="str">
        <f>VLOOKUP(A753, [1]Orders!A:E, 5, FALSE)</f>
        <v>Bangalore</v>
      </c>
    </row>
    <row r="754" spans="1:11" x14ac:dyDescent="0.5">
      <c r="A754" t="s">
        <v>397</v>
      </c>
      <c r="B754">
        <v>122</v>
      </c>
      <c r="C754">
        <v>15</v>
      </c>
      <c r="D754">
        <v>3</v>
      </c>
      <c r="E754" t="s">
        <v>8</v>
      </c>
      <c r="F754" t="s">
        <v>73</v>
      </c>
      <c r="G754" t="s">
        <v>14</v>
      </c>
      <c r="H754" s="1">
        <f>VLOOKUP(A754, [1]Orders!A:B, 2, FALSE)</f>
        <v>43101</v>
      </c>
      <c r="I754" t="str">
        <f>VLOOKUP(A754, [1]Orders!A:E, 3, FALSE)</f>
        <v>Smriti</v>
      </c>
      <c r="J754" t="str">
        <f>VLOOKUP(A754, [1]Orders!A:E, 4, FALSE)</f>
        <v>Bihar</v>
      </c>
      <c r="K754" t="str">
        <f>VLOOKUP(A754, [1]Orders!A:E, 5, FALSE)</f>
        <v>Patna</v>
      </c>
    </row>
    <row r="755" spans="1:11" x14ac:dyDescent="0.5">
      <c r="A755" t="s">
        <v>398</v>
      </c>
      <c r="B755">
        <v>87</v>
      </c>
      <c r="C755">
        <v>10</v>
      </c>
      <c r="D755">
        <v>3</v>
      </c>
      <c r="E755" t="s">
        <v>23</v>
      </c>
      <c r="F755" t="s">
        <v>57</v>
      </c>
      <c r="G755" t="s">
        <v>10</v>
      </c>
      <c r="H755" s="1">
        <f>VLOOKUP(A755, [1]Orders!A:B, 2, FALSE)</f>
        <v>43139</v>
      </c>
      <c r="I755" t="str">
        <f>VLOOKUP(A755, [1]Orders!A:E, 3, FALSE)</f>
        <v>Parnavi</v>
      </c>
      <c r="J755" t="str">
        <f>VLOOKUP(A755, [1]Orders!A:E, 4, FALSE)</f>
        <v>West Bengal</v>
      </c>
      <c r="K755" t="str">
        <f>VLOOKUP(A755, [1]Orders!A:E, 5, FALSE)</f>
        <v>Kolkata</v>
      </c>
    </row>
    <row r="756" spans="1:11" x14ac:dyDescent="0.5">
      <c r="A756" t="s">
        <v>399</v>
      </c>
      <c r="B756">
        <v>53</v>
      </c>
      <c r="C756">
        <v>8</v>
      </c>
      <c r="D756">
        <v>3</v>
      </c>
      <c r="E756" t="s">
        <v>12</v>
      </c>
      <c r="F756" t="s">
        <v>131</v>
      </c>
      <c r="G756" t="s">
        <v>28</v>
      </c>
      <c r="H756" s="1">
        <f>VLOOKUP(A756, [1]Orders!A:B, 2, FALSE)</f>
        <v>43119</v>
      </c>
      <c r="I756" t="str">
        <f>VLOOKUP(A756, [1]Orders!A:E, 3, FALSE)</f>
        <v>Pratiksha</v>
      </c>
      <c r="J756" t="str">
        <f>VLOOKUP(A756, [1]Orders!A:E, 4, FALSE)</f>
        <v>Maharashtra</v>
      </c>
      <c r="K756" t="str">
        <f>VLOOKUP(A756, [1]Orders!A:E, 5, FALSE)</f>
        <v>Mumbai</v>
      </c>
    </row>
    <row r="757" spans="1:11" x14ac:dyDescent="0.5">
      <c r="A757" t="s">
        <v>133</v>
      </c>
      <c r="B757">
        <v>87</v>
      </c>
      <c r="C757">
        <v>-32</v>
      </c>
      <c r="D757">
        <v>9</v>
      </c>
      <c r="E757" t="s">
        <v>23</v>
      </c>
      <c r="F757" t="s">
        <v>43</v>
      </c>
      <c r="G757" t="s">
        <v>10</v>
      </c>
      <c r="H757" s="1">
        <f>VLOOKUP(A757, [1]Orders!A:B, 2, FALSE)</f>
        <v>43113</v>
      </c>
      <c r="I757" t="str">
        <f>VLOOKUP(A757, [1]Orders!A:E, 3, FALSE)</f>
        <v>Priyanka</v>
      </c>
      <c r="J757" t="str">
        <f>VLOOKUP(A757, [1]Orders!A:E, 4, FALSE)</f>
        <v>Madhya Pradesh</v>
      </c>
      <c r="K757" t="str">
        <f>VLOOKUP(A757, [1]Orders!A:E, 5, FALSE)</f>
        <v>Indore</v>
      </c>
    </row>
    <row r="758" spans="1:11" x14ac:dyDescent="0.5">
      <c r="A758" t="s">
        <v>400</v>
      </c>
      <c r="B758">
        <v>86</v>
      </c>
      <c r="C758">
        <v>-55</v>
      </c>
      <c r="D758">
        <v>6</v>
      </c>
      <c r="E758" t="s">
        <v>23</v>
      </c>
      <c r="F758" t="s">
        <v>26</v>
      </c>
      <c r="G758" t="s">
        <v>10</v>
      </c>
      <c r="H758" s="1">
        <f>VLOOKUP(A758, [1]Orders!A:B, 2, FALSE)</f>
        <v>43259</v>
      </c>
      <c r="I758" t="str">
        <f>VLOOKUP(A758, [1]Orders!A:E, 3, FALSE)</f>
        <v>Shreya</v>
      </c>
      <c r="J758" t="str">
        <f>VLOOKUP(A758, [1]Orders!A:E, 4, FALSE)</f>
        <v xml:space="preserve">Kerala </v>
      </c>
      <c r="K758" t="str">
        <f>VLOOKUP(A758, [1]Orders!A:E, 5, FALSE)</f>
        <v>Thiruvananthapuram</v>
      </c>
    </row>
    <row r="759" spans="1:11" x14ac:dyDescent="0.5">
      <c r="A759" t="s">
        <v>401</v>
      </c>
      <c r="B759">
        <v>125</v>
      </c>
      <c r="C759">
        <v>22</v>
      </c>
      <c r="D759">
        <v>3</v>
      </c>
      <c r="E759" t="s">
        <v>23</v>
      </c>
      <c r="F759" t="s">
        <v>57</v>
      </c>
      <c r="G759" t="s">
        <v>14</v>
      </c>
      <c r="H759" s="1">
        <f>VLOOKUP(A759, [1]Orders!A:B, 2, FALSE)</f>
        <v>43452</v>
      </c>
      <c r="I759" t="str">
        <f>VLOOKUP(A759, [1]Orders!A:E, 3, FALSE)</f>
        <v>Kajal</v>
      </c>
      <c r="J759" t="str">
        <f>VLOOKUP(A759, [1]Orders!A:E, 4, FALSE)</f>
        <v>Delhi</v>
      </c>
      <c r="K759" t="str">
        <f>VLOOKUP(A759, [1]Orders!A:E, 5, FALSE)</f>
        <v>Delhi</v>
      </c>
    </row>
    <row r="760" spans="1:11" x14ac:dyDescent="0.5">
      <c r="A760" t="s">
        <v>180</v>
      </c>
      <c r="B760">
        <v>128</v>
      </c>
      <c r="C760">
        <v>-3</v>
      </c>
      <c r="D760">
        <v>3</v>
      </c>
      <c r="E760" t="s">
        <v>23</v>
      </c>
      <c r="F760" t="s">
        <v>26</v>
      </c>
      <c r="G760" t="s">
        <v>82</v>
      </c>
      <c r="H760" s="1">
        <f>VLOOKUP(A760, [1]Orders!A:B, 2, FALSE)</f>
        <v>43397</v>
      </c>
      <c r="I760" t="str">
        <f>VLOOKUP(A760, [1]Orders!A:E, 3, FALSE)</f>
        <v>Nikita</v>
      </c>
      <c r="J760" t="str">
        <f>VLOOKUP(A760, [1]Orders!A:E, 4, FALSE)</f>
        <v>Punjab</v>
      </c>
      <c r="K760" t="str">
        <f>VLOOKUP(A760, [1]Orders!A:E, 5, FALSE)</f>
        <v>Chandigarh</v>
      </c>
    </row>
    <row r="761" spans="1:11" x14ac:dyDescent="0.5">
      <c r="A761" t="s">
        <v>224</v>
      </c>
      <c r="B761">
        <v>143</v>
      </c>
      <c r="C761">
        <v>-124</v>
      </c>
      <c r="D761">
        <v>5</v>
      </c>
      <c r="E761" t="s">
        <v>23</v>
      </c>
      <c r="F761" t="s">
        <v>26</v>
      </c>
      <c r="G761" t="s">
        <v>28</v>
      </c>
      <c r="H761" s="1">
        <f>VLOOKUP(A761, [1]Orders!A:B, 2, FALSE)</f>
        <v>43319</v>
      </c>
      <c r="I761" t="str">
        <f>VLOOKUP(A761, [1]Orders!A:E, 3, FALSE)</f>
        <v>Aman</v>
      </c>
      <c r="J761" t="str">
        <f>VLOOKUP(A761, [1]Orders!A:E, 4, FALSE)</f>
        <v>Nagaland</v>
      </c>
      <c r="K761" t="str">
        <f>VLOOKUP(A761, [1]Orders!A:E, 5, FALSE)</f>
        <v>Kohima</v>
      </c>
    </row>
    <row r="762" spans="1:11" x14ac:dyDescent="0.5">
      <c r="A762" t="s">
        <v>83</v>
      </c>
      <c r="B762">
        <v>86</v>
      </c>
      <c r="C762">
        <v>22</v>
      </c>
      <c r="D762">
        <v>2</v>
      </c>
      <c r="E762" t="s">
        <v>23</v>
      </c>
      <c r="F762" t="s">
        <v>26</v>
      </c>
      <c r="G762" t="s">
        <v>10</v>
      </c>
      <c r="H762" s="1">
        <f>VLOOKUP(A762, [1]Orders!A:B, 2, FALSE)</f>
        <v>43185</v>
      </c>
      <c r="I762" t="str">
        <f>VLOOKUP(A762, [1]Orders!A:E, 3, FALSE)</f>
        <v>Shrichand</v>
      </c>
      <c r="J762" t="str">
        <f>VLOOKUP(A762, [1]Orders!A:E, 4, FALSE)</f>
        <v>Punjab</v>
      </c>
      <c r="K762" t="str">
        <f>VLOOKUP(A762, [1]Orders!A:E, 5, FALSE)</f>
        <v>Chandigarh</v>
      </c>
    </row>
    <row r="763" spans="1:11" x14ac:dyDescent="0.5">
      <c r="A763" t="s">
        <v>402</v>
      </c>
      <c r="B763">
        <v>86</v>
      </c>
      <c r="C763">
        <v>9</v>
      </c>
      <c r="D763">
        <v>3</v>
      </c>
      <c r="E763" t="s">
        <v>23</v>
      </c>
      <c r="F763" t="s">
        <v>26</v>
      </c>
      <c r="G763" t="s">
        <v>10</v>
      </c>
      <c r="H763" s="1">
        <f>VLOOKUP(A763, [1]Orders!A:B, 2, FALSE)</f>
        <v>43423</v>
      </c>
      <c r="I763" t="str">
        <f>VLOOKUP(A763, [1]Orders!A:E, 3, FALSE)</f>
        <v>Parakh</v>
      </c>
      <c r="J763" t="str">
        <f>VLOOKUP(A763, [1]Orders!A:E, 4, FALSE)</f>
        <v>Nagaland</v>
      </c>
      <c r="K763" t="str">
        <f>VLOOKUP(A763, [1]Orders!A:E, 5, FALSE)</f>
        <v>Kohima</v>
      </c>
    </row>
    <row r="764" spans="1:11" x14ac:dyDescent="0.5">
      <c r="A764" t="s">
        <v>289</v>
      </c>
      <c r="B764">
        <v>85</v>
      </c>
      <c r="C764">
        <v>-9</v>
      </c>
      <c r="D764">
        <v>4</v>
      </c>
      <c r="E764" t="s">
        <v>23</v>
      </c>
      <c r="F764" t="s">
        <v>26</v>
      </c>
      <c r="G764" t="s">
        <v>10</v>
      </c>
      <c r="H764" s="1">
        <f>VLOOKUP(A764, [1]Orders!A:B, 2, FALSE)</f>
        <v>43349</v>
      </c>
      <c r="I764" t="str">
        <f>VLOOKUP(A764, [1]Orders!A:E, 3, FALSE)</f>
        <v>Shreya</v>
      </c>
      <c r="J764" t="str">
        <f>VLOOKUP(A764, [1]Orders!A:E, 4, FALSE)</f>
        <v xml:space="preserve">Kerala </v>
      </c>
      <c r="K764" t="str">
        <f>VLOOKUP(A764, [1]Orders!A:E, 5, FALSE)</f>
        <v>Thiruvananthapuram</v>
      </c>
    </row>
    <row r="765" spans="1:11" x14ac:dyDescent="0.5">
      <c r="A765" t="s">
        <v>268</v>
      </c>
      <c r="B765">
        <v>129</v>
      </c>
      <c r="C765">
        <v>-75</v>
      </c>
      <c r="D765">
        <v>5</v>
      </c>
      <c r="E765" t="s">
        <v>23</v>
      </c>
      <c r="F765" t="s">
        <v>142</v>
      </c>
      <c r="G765" t="s">
        <v>82</v>
      </c>
      <c r="H765" s="1">
        <f>VLOOKUP(A765, [1]Orders!A:B, 2, FALSE)</f>
        <v>43276</v>
      </c>
      <c r="I765" t="str">
        <f>VLOOKUP(A765, [1]Orders!A:E, 3, FALSE)</f>
        <v>Shubhi</v>
      </c>
      <c r="J765" t="str">
        <f>VLOOKUP(A765, [1]Orders!A:E, 4, FALSE)</f>
        <v>Maharashtra</v>
      </c>
      <c r="K765" t="str">
        <f>VLOOKUP(A765, [1]Orders!A:E, 5, FALSE)</f>
        <v>Mumbai</v>
      </c>
    </row>
    <row r="766" spans="1:11" x14ac:dyDescent="0.5">
      <c r="A766" t="s">
        <v>403</v>
      </c>
      <c r="B766">
        <v>84</v>
      </c>
      <c r="C766">
        <v>-42</v>
      </c>
      <c r="D766">
        <v>2</v>
      </c>
      <c r="E766" t="s">
        <v>8</v>
      </c>
      <c r="F766" t="s">
        <v>73</v>
      </c>
      <c r="G766" t="s">
        <v>10</v>
      </c>
      <c r="H766" s="1">
        <f>VLOOKUP(A766, [1]Orders!A:B, 2, FALSE)</f>
        <v>43459</v>
      </c>
      <c r="I766" t="str">
        <f>VLOOKUP(A766, [1]Orders!A:E, 3, FALSE)</f>
        <v>Sandra</v>
      </c>
      <c r="J766" t="str">
        <f>VLOOKUP(A766, [1]Orders!A:E, 4, FALSE)</f>
        <v>Punjab</v>
      </c>
      <c r="K766" t="str">
        <f>VLOOKUP(A766, [1]Orders!A:E, 5, FALSE)</f>
        <v>Amritsar</v>
      </c>
    </row>
    <row r="767" spans="1:11" x14ac:dyDescent="0.5">
      <c r="A767" t="s">
        <v>121</v>
      </c>
      <c r="B767">
        <v>83</v>
      </c>
      <c r="C767">
        <v>-81</v>
      </c>
      <c r="D767">
        <v>3</v>
      </c>
      <c r="E767" t="s">
        <v>12</v>
      </c>
      <c r="F767" t="s">
        <v>13</v>
      </c>
      <c r="G767" t="s">
        <v>10</v>
      </c>
      <c r="H767" s="1">
        <f>VLOOKUP(A767, [1]Orders!A:B, 2, FALSE)</f>
        <v>43303</v>
      </c>
      <c r="I767" t="str">
        <f>VLOOKUP(A767, [1]Orders!A:E, 3, FALSE)</f>
        <v>Rishabh</v>
      </c>
      <c r="J767" t="str">
        <f>VLOOKUP(A767, [1]Orders!A:E, 4, FALSE)</f>
        <v>Rajasthan</v>
      </c>
      <c r="K767" t="str">
        <f>VLOOKUP(A767, [1]Orders!A:E, 5, FALSE)</f>
        <v>Jaipur</v>
      </c>
    </row>
    <row r="768" spans="1:11" x14ac:dyDescent="0.5">
      <c r="A768" t="s">
        <v>297</v>
      </c>
      <c r="B768">
        <v>143</v>
      </c>
      <c r="C768">
        <v>6</v>
      </c>
      <c r="D768">
        <v>2</v>
      </c>
      <c r="E768" t="s">
        <v>8</v>
      </c>
      <c r="F768" t="s">
        <v>73</v>
      </c>
      <c r="G768" t="s">
        <v>28</v>
      </c>
      <c r="H768" s="1">
        <f>VLOOKUP(A768, [1]Orders!A:B, 2, FALSE)</f>
        <v>43183</v>
      </c>
      <c r="I768" t="str">
        <f>VLOOKUP(A768, [1]Orders!A:E, 3, FALSE)</f>
        <v>Yogesh</v>
      </c>
      <c r="J768" t="str">
        <f>VLOOKUP(A768, [1]Orders!A:E, 4, FALSE)</f>
        <v>Bihar</v>
      </c>
      <c r="K768" t="str">
        <f>VLOOKUP(A768, [1]Orders!A:E, 5, FALSE)</f>
        <v>Patna</v>
      </c>
    </row>
    <row r="769" spans="1:11" x14ac:dyDescent="0.5">
      <c r="A769" t="s">
        <v>404</v>
      </c>
      <c r="B769">
        <v>336</v>
      </c>
      <c r="C769">
        <v>123</v>
      </c>
      <c r="D769">
        <v>3</v>
      </c>
      <c r="E769" t="s">
        <v>8</v>
      </c>
      <c r="F769" t="s">
        <v>21</v>
      </c>
      <c r="G769" t="s">
        <v>28</v>
      </c>
      <c r="H769" s="1">
        <f>VLOOKUP(A769, [1]Orders!A:B, 2, FALSE)</f>
        <v>43408</v>
      </c>
      <c r="I769" t="str">
        <f>VLOOKUP(A769, [1]Orders!A:E, 3, FALSE)</f>
        <v>K</v>
      </c>
      <c r="J769" t="str">
        <f>VLOOKUP(A769, [1]Orders!A:E, 4, FALSE)</f>
        <v>Sikkim</v>
      </c>
      <c r="K769" t="str">
        <f>VLOOKUP(A769, [1]Orders!A:E, 5, FALSE)</f>
        <v>Gangtok</v>
      </c>
    </row>
    <row r="770" spans="1:11" x14ac:dyDescent="0.5">
      <c r="A770" t="s">
        <v>71</v>
      </c>
      <c r="B770">
        <v>323</v>
      </c>
      <c r="C770">
        <v>122</v>
      </c>
      <c r="D770">
        <v>5</v>
      </c>
      <c r="E770" t="s">
        <v>8</v>
      </c>
      <c r="F770" t="s">
        <v>21</v>
      </c>
      <c r="G770" t="s">
        <v>28</v>
      </c>
      <c r="H770" s="1">
        <f>VLOOKUP(A770, [1]Orders!A:B, 2, FALSE)</f>
        <v>43447</v>
      </c>
      <c r="I770" t="str">
        <f>VLOOKUP(A770, [1]Orders!A:E, 3, FALSE)</f>
        <v>Sujay</v>
      </c>
      <c r="J770" t="str">
        <f>VLOOKUP(A770, [1]Orders!A:E, 4, FALSE)</f>
        <v>Maharashtra</v>
      </c>
      <c r="K770" t="str">
        <f>VLOOKUP(A770, [1]Orders!A:E, 5, FALSE)</f>
        <v>Pune</v>
      </c>
    </row>
    <row r="771" spans="1:11" x14ac:dyDescent="0.5">
      <c r="A771" t="s">
        <v>260</v>
      </c>
      <c r="B771">
        <v>130</v>
      </c>
      <c r="C771">
        <v>61</v>
      </c>
      <c r="D771">
        <v>3</v>
      </c>
      <c r="E771" t="s">
        <v>23</v>
      </c>
      <c r="F771" t="s">
        <v>142</v>
      </c>
      <c r="G771" t="s">
        <v>82</v>
      </c>
      <c r="H771" s="1">
        <f>VLOOKUP(A771, [1]Orders!A:B, 2, FALSE)</f>
        <v>43155</v>
      </c>
      <c r="I771" t="str">
        <f>VLOOKUP(A771, [1]Orders!A:E, 3, FALSE)</f>
        <v>Pooja</v>
      </c>
      <c r="J771" t="str">
        <f>VLOOKUP(A771, [1]Orders!A:E, 4, FALSE)</f>
        <v>Bihar</v>
      </c>
      <c r="K771" t="str">
        <f>VLOOKUP(A771, [1]Orders!A:E, 5, FALSE)</f>
        <v>Patna</v>
      </c>
    </row>
    <row r="772" spans="1:11" x14ac:dyDescent="0.5">
      <c r="A772" t="s">
        <v>292</v>
      </c>
      <c r="B772">
        <v>152</v>
      </c>
      <c r="C772">
        <v>-3</v>
      </c>
      <c r="D772">
        <v>5</v>
      </c>
      <c r="E772" t="s">
        <v>23</v>
      </c>
      <c r="F772" t="s">
        <v>26</v>
      </c>
      <c r="G772" t="s">
        <v>10</v>
      </c>
      <c r="H772" s="1">
        <f>VLOOKUP(A772, [1]Orders!A:B, 2, FALSE)</f>
        <v>43136</v>
      </c>
      <c r="I772" t="str">
        <f>VLOOKUP(A772, [1]Orders!A:E, 3, FALSE)</f>
        <v>Diwakar</v>
      </c>
      <c r="J772" t="str">
        <f>VLOOKUP(A772, [1]Orders!A:E, 4, FALSE)</f>
        <v>Delhi</v>
      </c>
      <c r="K772" t="str">
        <f>VLOOKUP(A772, [1]Orders!A:E, 5, FALSE)</f>
        <v>Delhi</v>
      </c>
    </row>
    <row r="773" spans="1:11" x14ac:dyDescent="0.5">
      <c r="A773" t="s">
        <v>397</v>
      </c>
      <c r="B773">
        <v>25</v>
      </c>
      <c r="C773">
        <v>10</v>
      </c>
      <c r="D773">
        <v>1</v>
      </c>
      <c r="E773" t="s">
        <v>12</v>
      </c>
      <c r="F773" t="s">
        <v>131</v>
      </c>
      <c r="G773" t="s">
        <v>28</v>
      </c>
      <c r="H773" s="1">
        <f>VLOOKUP(A773, [1]Orders!A:B, 2, FALSE)</f>
        <v>43101</v>
      </c>
      <c r="I773" t="str">
        <f>VLOOKUP(A773, [1]Orders!A:E, 3, FALSE)</f>
        <v>Smriti</v>
      </c>
      <c r="J773" t="str">
        <f>VLOOKUP(A773, [1]Orders!A:E, 4, FALSE)</f>
        <v>Bihar</v>
      </c>
      <c r="K773" t="str">
        <f>VLOOKUP(A773, [1]Orders!A:E, 5, FALSE)</f>
        <v>Patna</v>
      </c>
    </row>
    <row r="774" spans="1:11" x14ac:dyDescent="0.5">
      <c r="A774" t="s">
        <v>140</v>
      </c>
      <c r="B774">
        <v>140</v>
      </c>
      <c r="C774">
        <v>15</v>
      </c>
      <c r="D774">
        <v>5</v>
      </c>
      <c r="E774" t="s">
        <v>23</v>
      </c>
      <c r="F774" t="s">
        <v>57</v>
      </c>
      <c r="G774" t="s">
        <v>28</v>
      </c>
      <c r="H774" s="1">
        <f>VLOOKUP(A774, [1]Orders!A:B, 2, FALSE)</f>
        <v>43428</v>
      </c>
      <c r="I774" t="str">
        <f>VLOOKUP(A774, [1]Orders!A:E, 3, FALSE)</f>
        <v>Mrinal</v>
      </c>
      <c r="J774" t="str">
        <f>VLOOKUP(A774, [1]Orders!A:E, 4, FALSE)</f>
        <v>Maharashtra</v>
      </c>
      <c r="K774" t="str">
        <f>VLOOKUP(A774, [1]Orders!A:E, 5, FALSE)</f>
        <v>Mumbai</v>
      </c>
    </row>
    <row r="775" spans="1:11" x14ac:dyDescent="0.5">
      <c r="A775" t="s">
        <v>241</v>
      </c>
      <c r="B775">
        <v>45</v>
      </c>
      <c r="C775">
        <v>0</v>
      </c>
      <c r="D775">
        <v>2</v>
      </c>
      <c r="E775" t="s">
        <v>23</v>
      </c>
      <c r="F775" t="s">
        <v>57</v>
      </c>
      <c r="G775" t="s">
        <v>28</v>
      </c>
      <c r="H775" s="1">
        <f>VLOOKUP(A775, [1]Orders!A:B, 2, FALSE)</f>
        <v>43407</v>
      </c>
      <c r="I775" t="str">
        <f>VLOOKUP(A775, [1]Orders!A:E, 3, FALSE)</f>
        <v>Mrunal</v>
      </c>
      <c r="J775" t="str">
        <f>VLOOKUP(A775, [1]Orders!A:E, 4, FALSE)</f>
        <v>Maharashtra</v>
      </c>
      <c r="K775" t="str">
        <f>VLOOKUP(A775, [1]Orders!A:E, 5, FALSE)</f>
        <v>Mumbai</v>
      </c>
    </row>
    <row r="776" spans="1:11" x14ac:dyDescent="0.5">
      <c r="A776" t="s">
        <v>157</v>
      </c>
      <c r="B776">
        <v>132</v>
      </c>
      <c r="C776">
        <v>49</v>
      </c>
      <c r="D776">
        <v>3</v>
      </c>
      <c r="E776" t="s">
        <v>23</v>
      </c>
      <c r="F776" t="s">
        <v>142</v>
      </c>
      <c r="G776" t="s">
        <v>10</v>
      </c>
      <c r="H776" s="1">
        <f>VLOOKUP(A776, [1]Orders!A:B, 2, FALSE)</f>
        <v>43118</v>
      </c>
      <c r="I776" t="str">
        <f>VLOOKUP(A776, [1]Orders!A:E, 3, FALSE)</f>
        <v>Muskan</v>
      </c>
      <c r="J776" t="str">
        <f>VLOOKUP(A776, [1]Orders!A:E, 4, FALSE)</f>
        <v>Madhya Pradesh</v>
      </c>
      <c r="K776" t="str">
        <f>VLOOKUP(A776, [1]Orders!A:E, 5, FALSE)</f>
        <v>Indore</v>
      </c>
    </row>
    <row r="777" spans="1:11" x14ac:dyDescent="0.5">
      <c r="A777" t="s">
        <v>229</v>
      </c>
      <c r="B777">
        <v>133</v>
      </c>
      <c r="C777">
        <v>12</v>
      </c>
      <c r="D777">
        <v>5</v>
      </c>
      <c r="E777" t="s">
        <v>23</v>
      </c>
      <c r="F777" t="s">
        <v>57</v>
      </c>
      <c r="G777" t="s">
        <v>82</v>
      </c>
      <c r="H777" s="1">
        <f>VLOOKUP(A777, [1]Orders!A:B, 2, FALSE)</f>
        <v>43214</v>
      </c>
      <c r="I777" t="str">
        <f>VLOOKUP(A777, [1]Orders!A:E, 3, FALSE)</f>
        <v>Sahil</v>
      </c>
      <c r="J777" t="str">
        <f>VLOOKUP(A777, [1]Orders!A:E, 4, FALSE)</f>
        <v>Punjab</v>
      </c>
      <c r="K777" t="str">
        <f>VLOOKUP(A777, [1]Orders!A:E, 5, FALSE)</f>
        <v>Chandigarh</v>
      </c>
    </row>
    <row r="778" spans="1:11" x14ac:dyDescent="0.5">
      <c r="A778" t="s">
        <v>187</v>
      </c>
      <c r="B778">
        <v>82</v>
      </c>
      <c r="C778">
        <v>13</v>
      </c>
      <c r="D778">
        <v>2</v>
      </c>
      <c r="E778" t="s">
        <v>23</v>
      </c>
      <c r="F778" t="s">
        <v>142</v>
      </c>
      <c r="G778" t="s">
        <v>10</v>
      </c>
      <c r="H778" s="1">
        <f>VLOOKUP(A778, [1]Orders!A:B, 2, FALSE)</f>
        <v>43417</v>
      </c>
      <c r="I778" t="str">
        <f>VLOOKUP(A778, [1]Orders!A:E, 3, FALSE)</f>
        <v>Uudhav</v>
      </c>
      <c r="J778" t="str">
        <f>VLOOKUP(A778, [1]Orders!A:E, 4, FALSE)</f>
        <v>Maharashtra</v>
      </c>
      <c r="K778" t="str">
        <f>VLOOKUP(A778, [1]Orders!A:E, 5, FALSE)</f>
        <v>Mumbai</v>
      </c>
    </row>
    <row r="779" spans="1:11" x14ac:dyDescent="0.5">
      <c r="A779" t="s">
        <v>243</v>
      </c>
      <c r="B779">
        <v>140</v>
      </c>
      <c r="C779">
        <v>56</v>
      </c>
      <c r="D779">
        <v>4</v>
      </c>
      <c r="E779" t="s">
        <v>23</v>
      </c>
      <c r="F779" t="s">
        <v>142</v>
      </c>
      <c r="G779" t="s">
        <v>28</v>
      </c>
      <c r="H779" s="1">
        <f>VLOOKUP(A779, [1]Orders!A:B, 2, FALSE)</f>
        <v>43187</v>
      </c>
      <c r="I779" t="str">
        <f>VLOOKUP(A779, [1]Orders!A:E, 3, FALSE)</f>
        <v>Atharv</v>
      </c>
      <c r="J779" t="str">
        <f>VLOOKUP(A779, [1]Orders!A:E, 4, FALSE)</f>
        <v>West Bengal</v>
      </c>
      <c r="K779" t="str">
        <f>VLOOKUP(A779, [1]Orders!A:E, 5, FALSE)</f>
        <v>Kolkata</v>
      </c>
    </row>
    <row r="780" spans="1:11" x14ac:dyDescent="0.5">
      <c r="A780" t="s">
        <v>330</v>
      </c>
      <c r="B780">
        <v>81</v>
      </c>
      <c r="C780">
        <v>19</v>
      </c>
      <c r="D780">
        <v>7</v>
      </c>
      <c r="E780" t="s">
        <v>23</v>
      </c>
      <c r="F780" t="s">
        <v>30</v>
      </c>
      <c r="G780" t="s">
        <v>10</v>
      </c>
      <c r="H780" s="1">
        <f>VLOOKUP(A780, [1]Orders!A:B, 2, FALSE)</f>
        <v>43402</v>
      </c>
      <c r="I780" t="str">
        <f>VLOOKUP(A780, [1]Orders!A:E, 3, FALSE)</f>
        <v>Sanjana</v>
      </c>
      <c r="J780" t="str">
        <f>VLOOKUP(A780, [1]Orders!A:E, 4, FALSE)</f>
        <v>Madhya Pradesh</v>
      </c>
      <c r="K780" t="str">
        <f>VLOOKUP(A780, [1]Orders!A:E, 5, FALSE)</f>
        <v>Indore</v>
      </c>
    </row>
    <row r="781" spans="1:11" x14ac:dyDescent="0.5">
      <c r="A781" t="s">
        <v>72</v>
      </c>
      <c r="B781">
        <v>137</v>
      </c>
      <c r="C781">
        <v>38</v>
      </c>
      <c r="D781">
        <v>5</v>
      </c>
      <c r="E781" t="s">
        <v>23</v>
      </c>
      <c r="F781" t="s">
        <v>30</v>
      </c>
      <c r="G781" t="s">
        <v>82</v>
      </c>
      <c r="H781" s="1">
        <f>VLOOKUP(A781, [1]Orders!A:B, 2, FALSE)</f>
        <v>43109</v>
      </c>
      <c r="I781" t="str">
        <f>VLOOKUP(A781, [1]Orders!A:E, 3, FALSE)</f>
        <v>Shardul</v>
      </c>
      <c r="J781" t="str">
        <f>VLOOKUP(A781, [1]Orders!A:E, 4, FALSE)</f>
        <v>Gujarat</v>
      </c>
      <c r="K781" t="str">
        <f>VLOOKUP(A781, [1]Orders!A:E, 5, FALSE)</f>
        <v>Ahmedabad</v>
      </c>
    </row>
    <row r="782" spans="1:11" x14ac:dyDescent="0.5">
      <c r="A782" t="s">
        <v>405</v>
      </c>
      <c r="B782">
        <v>137</v>
      </c>
      <c r="C782">
        <v>-41</v>
      </c>
      <c r="D782">
        <v>3</v>
      </c>
      <c r="E782" t="s">
        <v>8</v>
      </c>
      <c r="F782" t="s">
        <v>21</v>
      </c>
      <c r="G782" t="s">
        <v>82</v>
      </c>
      <c r="H782" s="1">
        <f>VLOOKUP(A782, [1]Orders!A:B, 2, FALSE)</f>
        <v>43356</v>
      </c>
      <c r="I782" t="str">
        <f>VLOOKUP(A782, [1]Orders!A:E, 3, FALSE)</f>
        <v>Teena</v>
      </c>
      <c r="J782" t="str">
        <f>VLOOKUP(A782, [1]Orders!A:E, 4, FALSE)</f>
        <v>Andhra Pradesh</v>
      </c>
      <c r="K782" t="str">
        <f>VLOOKUP(A782, [1]Orders!A:E, 5, FALSE)</f>
        <v>Hyderabad</v>
      </c>
    </row>
    <row r="783" spans="1:11" x14ac:dyDescent="0.5">
      <c r="A783" t="s">
        <v>383</v>
      </c>
      <c r="B783">
        <v>140</v>
      </c>
      <c r="C783">
        <v>57</v>
      </c>
      <c r="D783">
        <v>2</v>
      </c>
      <c r="E783" t="s">
        <v>23</v>
      </c>
      <c r="F783" t="s">
        <v>24</v>
      </c>
      <c r="G783" t="s">
        <v>82</v>
      </c>
      <c r="H783" s="1">
        <f>VLOOKUP(A783, [1]Orders!A:B, 2, FALSE)</f>
        <v>43113</v>
      </c>
      <c r="I783" t="str">
        <f>VLOOKUP(A783, [1]Orders!A:E, 3, FALSE)</f>
        <v>Shantanu</v>
      </c>
      <c r="J783" t="str">
        <f>VLOOKUP(A783, [1]Orders!A:E, 4, FALSE)</f>
        <v>Maharashtra</v>
      </c>
      <c r="K783" t="str">
        <f>VLOOKUP(A783, [1]Orders!A:E, 5, FALSE)</f>
        <v>Mumbai</v>
      </c>
    </row>
    <row r="784" spans="1:11" x14ac:dyDescent="0.5">
      <c r="A784" t="s">
        <v>406</v>
      </c>
      <c r="B784">
        <v>139</v>
      </c>
      <c r="C784">
        <v>30</v>
      </c>
      <c r="D784">
        <v>3</v>
      </c>
      <c r="E784" t="s">
        <v>23</v>
      </c>
      <c r="F784" t="s">
        <v>142</v>
      </c>
      <c r="G784" t="s">
        <v>28</v>
      </c>
      <c r="H784" s="1">
        <f>VLOOKUP(A784, [1]Orders!A:B, 2, FALSE)</f>
        <v>43438</v>
      </c>
      <c r="I784" t="str">
        <f>VLOOKUP(A784, [1]Orders!A:E, 3, FALSE)</f>
        <v>Aditi</v>
      </c>
      <c r="J784" t="str">
        <f>VLOOKUP(A784, [1]Orders!A:E, 4, FALSE)</f>
        <v>Rajasthan</v>
      </c>
      <c r="K784" t="str">
        <f>VLOOKUP(A784, [1]Orders!A:E, 5, FALSE)</f>
        <v>Udaipur</v>
      </c>
    </row>
    <row r="785" spans="1:11" x14ac:dyDescent="0.5">
      <c r="A785" t="s">
        <v>273</v>
      </c>
      <c r="B785">
        <v>138</v>
      </c>
      <c r="C785">
        <v>11</v>
      </c>
      <c r="D785">
        <v>5</v>
      </c>
      <c r="E785" t="s">
        <v>23</v>
      </c>
      <c r="F785" t="s">
        <v>57</v>
      </c>
      <c r="G785" t="s">
        <v>28</v>
      </c>
      <c r="H785" s="1">
        <f>VLOOKUP(A785, [1]Orders!A:B, 2, FALSE)</f>
        <v>43169</v>
      </c>
      <c r="I785" t="str">
        <f>VLOOKUP(A785, [1]Orders!A:E, 3, FALSE)</f>
        <v>Mayank</v>
      </c>
      <c r="J785" t="str">
        <f>VLOOKUP(A785, [1]Orders!A:E, 4, FALSE)</f>
        <v>Maharashtra</v>
      </c>
      <c r="K785" t="str">
        <f>VLOOKUP(A785, [1]Orders!A:E, 5, FALSE)</f>
        <v>Mumbai</v>
      </c>
    </row>
    <row r="786" spans="1:11" x14ac:dyDescent="0.5">
      <c r="A786" t="s">
        <v>407</v>
      </c>
      <c r="B786">
        <v>79</v>
      </c>
      <c r="C786">
        <v>-124</v>
      </c>
      <c r="D786">
        <v>9</v>
      </c>
      <c r="E786" t="s">
        <v>23</v>
      </c>
      <c r="F786" t="s">
        <v>43</v>
      </c>
      <c r="G786" t="s">
        <v>10</v>
      </c>
      <c r="H786" s="1">
        <f>VLOOKUP(A786, [1]Orders!A:B, 2, FALSE)</f>
        <v>43131</v>
      </c>
      <c r="I786" t="str">
        <f>VLOOKUP(A786, [1]Orders!A:E, 3, FALSE)</f>
        <v>Nirja</v>
      </c>
      <c r="J786" t="str">
        <f>VLOOKUP(A786, [1]Orders!A:E, 4, FALSE)</f>
        <v>Delhi</v>
      </c>
      <c r="K786" t="str">
        <f>VLOOKUP(A786, [1]Orders!A:E, 5, FALSE)</f>
        <v>Delhi</v>
      </c>
    </row>
    <row r="787" spans="1:11" x14ac:dyDescent="0.5">
      <c r="A787" t="s">
        <v>408</v>
      </c>
      <c r="B787">
        <v>136</v>
      </c>
      <c r="C787">
        <v>41</v>
      </c>
      <c r="D787">
        <v>3</v>
      </c>
      <c r="E787" t="s">
        <v>8</v>
      </c>
      <c r="F787" t="s">
        <v>73</v>
      </c>
      <c r="G787" t="s">
        <v>28</v>
      </c>
      <c r="H787" s="1">
        <f>VLOOKUP(A787, [1]Orders!A:B, 2, FALSE)</f>
        <v>43105</v>
      </c>
      <c r="I787" t="str">
        <f>VLOOKUP(A787, [1]Orders!A:E, 3, FALSE)</f>
        <v>Vineet</v>
      </c>
      <c r="J787" t="str">
        <f>VLOOKUP(A787, [1]Orders!A:E, 4, FALSE)</f>
        <v>Sikkim</v>
      </c>
      <c r="K787" t="str">
        <f>VLOOKUP(A787, [1]Orders!A:E, 5, FALSE)</f>
        <v>Gangtok</v>
      </c>
    </row>
    <row r="788" spans="1:11" x14ac:dyDescent="0.5">
      <c r="A788" t="s">
        <v>297</v>
      </c>
      <c r="B788">
        <v>145</v>
      </c>
      <c r="C788">
        <v>16</v>
      </c>
      <c r="D788">
        <v>3</v>
      </c>
      <c r="E788" t="s">
        <v>23</v>
      </c>
      <c r="F788" t="s">
        <v>81</v>
      </c>
      <c r="G788" t="s">
        <v>82</v>
      </c>
      <c r="H788" s="1">
        <f>VLOOKUP(A788, [1]Orders!A:B, 2, FALSE)</f>
        <v>43183</v>
      </c>
      <c r="I788" t="str">
        <f>VLOOKUP(A788, [1]Orders!A:E, 3, FALSE)</f>
        <v>Yogesh</v>
      </c>
      <c r="J788" t="str">
        <f>VLOOKUP(A788, [1]Orders!A:E, 4, FALSE)</f>
        <v>Bihar</v>
      </c>
      <c r="K788" t="str">
        <f>VLOOKUP(A788, [1]Orders!A:E, 5, FALSE)</f>
        <v>Patna</v>
      </c>
    </row>
    <row r="789" spans="1:11" x14ac:dyDescent="0.5">
      <c r="A789" t="s">
        <v>174</v>
      </c>
      <c r="B789">
        <v>44</v>
      </c>
      <c r="C789">
        <v>20</v>
      </c>
      <c r="D789">
        <v>2</v>
      </c>
      <c r="E789" t="s">
        <v>23</v>
      </c>
      <c r="F789" t="s">
        <v>81</v>
      </c>
      <c r="G789" t="s">
        <v>28</v>
      </c>
      <c r="H789" s="1">
        <f>VLOOKUP(A789, [1]Orders!A:B, 2, FALSE)</f>
        <v>43181</v>
      </c>
      <c r="I789" t="str">
        <f>VLOOKUP(A789, [1]Orders!A:E, 3, FALSE)</f>
        <v>Kasheen</v>
      </c>
      <c r="J789" t="str">
        <f>VLOOKUP(A789, [1]Orders!A:E, 4, FALSE)</f>
        <v>West Bengal</v>
      </c>
      <c r="K789" t="str">
        <f>VLOOKUP(A789, [1]Orders!A:E, 5, FALSE)</f>
        <v>Kolkata</v>
      </c>
    </row>
    <row r="790" spans="1:11" x14ac:dyDescent="0.5">
      <c r="A790" t="s">
        <v>306</v>
      </c>
      <c r="B790">
        <v>79</v>
      </c>
      <c r="C790">
        <v>6</v>
      </c>
      <c r="D790">
        <v>7</v>
      </c>
      <c r="E790" t="s">
        <v>23</v>
      </c>
      <c r="F790" t="s">
        <v>26</v>
      </c>
      <c r="G790" t="s">
        <v>10</v>
      </c>
      <c r="H790" s="1">
        <f>VLOOKUP(A790, [1]Orders!A:B, 2, FALSE)</f>
        <v>43444</v>
      </c>
      <c r="I790" t="str">
        <f>VLOOKUP(A790, [1]Orders!A:E, 3, FALSE)</f>
        <v>Ishpreet</v>
      </c>
      <c r="J790" t="str">
        <f>VLOOKUP(A790, [1]Orders!A:E, 4, FALSE)</f>
        <v>Maharashtra</v>
      </c>
      <c r="K790" t="str">
        <f>VLOOKUP(A790, [1]Orders!A:E, 5, FALSE)</f>
        <v>Mumbai</v>
      </c>
    </row>
    <row r="791" spans="1:11" x14ac:dyDescent="0.5">
      <c r="A791" t="s">
        <v>158</v>
      </c>
      <c r="B791">
        <v>79</v>
      </c>
      <c r="C791">
        <v>36</v>
      </c>
      <c r="D791">
        <v>4</v>
      </c>
      <c r="E791" t="s">
        <v>23</v>
      </c>
      <c r="F791" t="s">
        <v>142</v>
      </c>
      <c r="G791" t="s">
        <v>10</v>
      </c>
      <c r="H791" s="1">
        <f>VLOOKUP(A791, [1]Orders!A:B, 2, FALSE)</f>
        <v>43252</v>
      </c>
      <c r="I791" t="str">
        <f>VLOOKUP(A791, [1]Orders!A:E, 3, FALSE)</f>
        <v>Chandni</v>
      </c>
      <c r="J791" t="str">
        <f>VLOOKUP(A791, [1]Orders!A:E, 4, FALSE)</f>
        <v>Rajasthan</v>
      </c>
      <c r="K791" t="str">
        <f>VLOOKUP(A791, [1]Orders!A:E, 5, FALSE)</f>
        <v>Jaipur</v>
      </c>
    </row>
    <row r="792" spans="1:11" x14ac:dyDescent="0.5">
      <c r="A792" t="s">
        <v>212</v>
      </c>
      <c r="B792">
        <v>134</v>
      </c>
      <c r="C792">
        <v>-13</v>
      </c>
      <c r="D792">
        <v>3</v>
      </c>
      <c r="E792" t="s">
        <v>8</v>
      </c>
      <c r="F792" t="s">
        <v>9</v>
      </c>
      <c r="G792" t="s">
        <v>28</v>
      </c>
      <c r="H792" s="1">
        <f>VLOOKUP(A792, [1]Orders!A:B, 2, FALSE)</f>
        <v>43145</v>
      </c>
      <c r="I792" t="str">
        <f>VLOOKUP(A792, [1]Orders!A:E, 3, FALSE)</f>
        <v>Hazel</v>
      </c>
      <c r="J792" t="str">
        <f>VLOOKUP(A792, [1]Orders!A:E, 4, FALSE)</f>
        <v>Karnataka</v>
      </c>
      <c r="K792" t="str">
        <f>VLOOKUP(A792, [1]Orders!A:E, 5, FALSE)</f>
        <v>Bangalore</v>
      </c>
    </row>
    <row r="793" spans="1:11" x14ac:dyDescent="0.5">
      <c r="A793" t="s">
        <v>46</v>
      </c>
      <c r="B793">
        <v>133</v>
      </c>
      <c r="C793">
        <v>5</v>
      </c>
      <c r="D793">
        <v>5</v>
      </c>
      <c r="E793" t="s">
        <v>23</v>
      </c>
      <c r="F793" t="s">
        <v>57</v>
      </c>
      <c r="G793" t="s">
        <v>28</v>
      </c>
      <c r="H793" s="1">
        <f>VLOOKUP(A793, [1]Orders!A:B, 2, FALSE)</f>
        <v>43113</v>
      </c>
      <c r="I793" t="str">
        <f>VLOOKUP(A793, [1]Orders!A:E, 3, FALSE)</f>
        <v>Shruti</v>
      </c>
      <c r="J793" t="str">
        <f>VLOOKUP(A793, [1]Orders!A:E, 4, FALSE)</f>
        <v>Madhya Pradesh</v>
      </c>
      <c r="K793" t="str">
        <f>VLOOKUP(A793, [1]Orders!A:E, 5, FALSE)</f>
        <v>Indore</v>
      </c>
    </row>
    <row r="794" spans="1:11" x14ac:dyDescent="0.5">
      <c r="A794" t="s">
        <v>211</v>
      </c>
      <c r="B794">
        <v>47</v>
      </c>
      <c r="C794">
        <v>20</v>
      </c>
      <c r="D794">
        <v>7</v>
      </c>
      <c r="E794" t="s">
        <v>23</v>
      </c>
      <c r="F794" t="s">
        <v>30</v>
      </c>
      <c r="G794" t="s">
        <v>28</v>
      </c>
      <c r="H794" s="1">
        <f>VLOOKUP(A794, [1]Orders!A:B, 2, FALSE)</f>
        <v>43169</v>
      </c>
      <c r="I794" t="str">
        <f>VLOOKUP(A794, [1]Orders!A:E, 3, FALSE)</f>
        <v>Sonal</v>
      </c>
      <c r="J794" t="str">
        <f>VLOOKUP(A794, [1]Orders!A:E, 4, FALSE)</f>
        <v>Bihar</v>
      </c>
      <c r="K794" t="str">
        <f>VLOOKUP(A794, [1]Orders!A:E, 5, FALSE)</f>
        <v>Patna</v>
      </c>
    </row>
    <row r="795" spans="1:11" x14ac:dyDescent="0.5">
      <c r="A795" t="s">
        <v>258</v>
      </c>
      <c r="B795">
        <v>133</v>
      </c>
      <c r="C795">
        <v>-42</v>
      </c>
      <c r="D795">
        <v>1</v>
      </c>
      <c r="E795" t="s">
        <v>8</v>
      </c>
      <c r="F795" t="s">
        <v>18</v>
      </c>
      <c r="G795" t="s">
        <v>28</v>
      </c>
      <c r="H795" s="1">
        <f>VLOOKUP(A795, [1]Orders!A:B, 2, FALSE)</f>
        <v>43221</v>
      </c>
      <c r="I795" t="str">
        <f>VLOOKUP(A795, [1]Orders!A:E, 3, FALSE)</f>
        <v>Yaanvi</v>
      </c>
      <c r="J795" t="str">
        <f>VLOOKUP(A795, [1]Orders!A:E, 4, FALSE)</f>
        <v>Madhya Pradesh</v>
      </c>
      <c r="K795" t="str">
        <f>VLOOKUP(A795, [1]Orders!A:E, 5, FALSE)</f>
        <v>Indore</v>
      </c>
    </row>
    <row r="796" spans="1:11" x14ac:dyDescent="0.5">
      <c r="A796" t="s">
        <v>409</v>
      </c>
      <c r="B796">
        <v>78</v>
      </c>
      <c r="C796">
        <v>27</v>
      </c>
      <c r="D796">
        <v>3</v>
      </c>
      <c r="E796" t="s">
        <v>23</v>
      </c>
      <c r="F796" t="s">
        <v>57</v>
      </c>
      <c r="G796" t="s">
        <v>10</v>
      </c>
      <c r="H796" s="1">
        <f>VLOOKUP(A796, [1]Orders!A:B, 2, FALSE)</f>
        <v>43445</v>
      </c>
      <c r="I796" t="str">
        <f>VLOOKUP(A796, [1]Orders!A:E, 3, FALSE)</f>
        <v>Abhijit</v>
      </c>
      <c r="J796" t="str">
        <f>VLOOKUP(A796, [1]Orders!A:E, 4, FALSE)</f>
        <v>Delhi</v>
      </c>
      <c r="K796" t="str">
        <f>VLOOKUP(A796, [1]Orders!A:E, 5, FALSE)</f>
        <v>Delhi</v>
      </c>
    </row>
    <row r="797" spans="1:11" x14ac:dyDescent="0.5">
      <c r="A797" t="s">
        <v>410</v>
      </c>
      <c r="B797">
        <v>78</v>
      </c>
      <c r="C797">
        <v>7</v>
      </c>
      <c r="D797">
        <v>1</v>
      </c>
      <c r="E797" t="s">
        <v>12</v>
      </c>
      <c r="F797" t="s">
        <v>13</v>
      </c>
      <c r="G797" t="s">
        <v>10</v>
      </c>
      <c r="H797" s="1">
        <f>VLOOKUP(A797, [1]Orders!A:B, 2, FALSE)</f>
        <v>43145</v>
      </c>
      <c r="I797" t="str">
        <f>VLOOKUP(A797, [1]Orders!A:E, 3, FALSE)</f>
        <v>Sonakshi</v>
      </c>
      <c r="J797" t="str">
        <f>VLOOKUP(A797, [1]Orders!A:E, 4, FALSE)</f>
        <v>Jammu and Kashmir</v>
      </c>
      <c r="K797" t="str">
        <f>VLOOKUP(A797, [1]Orders!A:E, 5, FALSE)</f>
        <v>Kashmir</v>
      </c>
    </row>
    <row r="798" spans="1:11" x14ac:dyDescent="0.5">
      <c r="A798" t="s">
        <v>411</v>
      </c>
      <c r="B798">
        <v>76</v>
      </c>
      <c r="C798">
        <v>-92</v>
      </c>
      <c r="D798">
        <v>8</v>
      </c>
      <c r="E798" t="s">
        <v>12</v>
      </c>
      <c r="F798" t="s">
        <v>131</v>
      </c>
      <c r="G798" t="s">
        <v>10</v>
      </c>
      <c r="H798" s="1">
        <f>VLOOKUP(A798, [1]Orders!A:B, 2, FALSE)</f>
        <v>43220</v>
      </c>
      <c r="I798" t="str">
        <f>VLOOKUP(A798, [1]Orders!A:E, 3, FALSE)</f>
        <v>Mayank</v>
      </c>
      <c r="J798" t="str">
        <f>VLOOKUP(A798, [1]Orders!A:E, 4, FALSE)</f>
        <v>Maharashtra</v>
      </c>
      <c r="K798" t="str">
        <f>VLOOKUP(A798, [1]Orders!A:E, 5, FALSE)</f>
        <v>Mumbai</v>
      </c>
    </row>
    <row r="799" spans="1:11" x14ac:dyDescent="0.5">
      <c r="A799" t="s">
        <v>412</v>
      </c>
      <c r="B799">
        <v>76</v>
      </c>
      <c r="C799">
        <v>-50</v>
      </c>
      <c r="D799">
        <v>1</v>
      </c>
      <c r="E799" t="s">
        <v>23</v>
      </c>
      <c r="F799" t="s">
        <v>26</v>
      </c>
      <c r="G799" t="s">
        <v>10</v>
      </c>
      <c r="H799" s="1">
        <f>VLOOKUP(A799, [1]Orders!A:B, 2, FALSE)</f>
        <v>43255</v>
      </c>
      <c r="I799" t="str">
        <f>VLOOKUP(A799, [1]Orders!A:E, 3, FALSE)</f>
        <v>Avni</v>
      </c>
      <c r="J799" t="str">
        <f>VLOOKUP(A799, [1]Orders!A:E, 4, FALSE)</f>
        <v>Maharashtra</v>
      </c>
      <c r="K799" t="str">
        <f>VLOOKUP(A799, [1]Orders!A:E, 5, FALSE)</f>
        <v>Mumbai</v>
      </c>
    </row>
    <row r="800" spans="1:11" x14ac:dyDescent="0.5">
      <c r="A800" t="s">
        <v>234</v>
      </c>
      <c r="B800">
        <v>76</v>
      </c>
      <c r="C800">
        <v>19</v>
      </c>
      <c r="D800">
        <v>3</v>
      </c>
      <c r="E800" t="s">
        <v>23</v>
      </c>
      <c r="F800" t="s">
        <v>30</v>
      </c>
      <c r="G800" t="s">
        <v>10</v>
      </c>
      <c r="H800" s="1">
        <f>VLOOKUP(A800, [1]Orders!A:B, 2, FALSE)</f>
        <v>43412</v>
      </c>
      <c r="I800" t="str">
        <f>VLOOKUP(A800, [1]Orders!A:E, 3, FALSE)</f>
        <v>Shubham</v>
      </c>
      <c r="J800" t="str">
        <f>VLOOKUP(A800, [1]Orders!A:E, 4, FALSE)</f>
        <v>Maharashtra</v>
      </c>
      <c r="K800" t="str">
        <f>VLOOKUP(A800, [1]Orders!A:E, 5, FALSE)</f>
        <v>Pune</v>
      </c>
    </row>
    <row r="801" spans="1:11" x14ac:dyDescent="0.5">
      <c r="A801" t="s">
        <v>155</v>
      </c>
      <c r="B801">
        <v>74</v>
      </c>
      <c r="C801">
        <v>29</v>
      </c>
      <c r="D801">
        <v>3</v>
      </c>
      <c r="E801" t="s">
        <v>23</v>
      </c>
      <c r="F801" t="s">
        <v>57</v>
      </c>
      <c r="G801" t="s">
        <v>10</v>
      </c>
      <c r="H801" s="1">
        <f>VLOOKUP(A801, [1]Orders!A:B, 2, FALSE)</f>
        <v>43245</v>
      </c>
      <c r="I801" t="str">
        <f>VLOOKUP(A801, [1]Orders!A:E, 3, FALSE)</f>
        <v>Charika</v>
      </c>
      <c r="J801" t="str">
        <f>VLOOKUP(A801, [1]Orders!A:E, 4, FALSE)</f>
        <v>Goa</v>
      </c>
      <c r="K801" t="str">
        <f>VLOOKUP(A801, [1]Orders!A:E, 5, FALSE)</f>
        <v>Goa</v>
      </c>
    </row>
    <row r="802" spans="1:11" x14ac:dyDescent="0.5">
      <c r="A802" t="s">
        <v>413</v>
      </c>
      <c r="B802">
        <v>74</v>
      </c>
      <c r="C802">
        <v>-25</v>
      </c>
      <c r="D802">
        <v>3</v>
      </c>
      <c r="E802" t="s">
        <v>23</v>
      </c>
      <c r="F802" t="s">
        <v>57</v>
      </c>
      <c r="G802" t="s">
        <v>10</v>
      </c>
      <c r="H802" s="1">
        <f>VLOOKUP(A802, [1]Orders!A:B, 2, FALSE)</f>
        <v>43367</v>
      </c>
      <c r="I802" t="str">
        <f>VLOOKUP(A802, [1]Orders!A:E, 3, FALSE)</f>
        <v>Abhishek</v>
      </c>
      <c r="J802" t="str">
        <f>VLOOKUP(A802, [1]Orders!A:E, 4, FALSE)</f>
        <v>Maharashtra</v>
      </c>
      <c r="K802" t="str">
        <f>VLOOKUP(A802, [1]Orders!A:E, 5, FALSE)</f>
        <v>Mumbai</v>
      </c>
    </row>
    <row r="803" spans="1:11" x14ac:dyDescent="0.5">
      <c r="A803" t="s">
        <v>145</v>
      </c>
      <c r="B803">
        <v>146</v>
      </c>
      <c r="C803">
        <v>-63</v>
      </c>
      <c r="D803">
        <v>3</v>
      </c>
      <c r="E803" t="s">
        <v>8</v>
      </c>
      <c r="F803" t="s">
        <v>9</v>
      </c>
      <c r="G803" t="s">
        <v>82</v>
      </c>
      <c r="H803" s="1">
        <f>VLOOKUP(A803, [1]Orders!A:B, 2, FALSE)</f>
        <v>43381</v>
      </c>
      <c r="I803" t="str">
        <f>VLOOKUP(A803, [1]Orders!A:E, 3, FALSE)</f>
        <v>Apsingekar</v>
      </c>
      <c r="J803" t="str">
        <f>VLOOKUP(A803, [1]Orders!A:E, 4, FALSE)</f>
        <v>Bihar</v>
      </c>
      <c r="K803" t="str">
        <f>VLOOKUP(A803, [1]Orders!A:E, 5, FALSE)</f>
        <v>Patna</v>
      </c>
    </row>
    <row r="804" spans="1:11" x14ac:dyDescent="0.5">
      <c r="A804" t="s">
        <v>141</v>
      </c>
      <c r="B804">
        <v>73</v>
      </c>
      <c r="C804">
        <v>-31</v>
      </c>
      <c r="D804">
        <v>1</v>
      </c>
      <c r="E804" t="s">
        <v>12</v>
      </c>
      <c r="F804" t="s">
        <v>16</v>
      </c>
      <c r="G804" t="s">
        <v>10</v>
      </c>
      <c r="H804" s="1">
        <f>VLOOKUP(A804, [1]Orders!A:B, 2, FALSE)</f>
        <v>43326</v>
      </c>
      <c r="I804" t="str">
        <f>VLOOKUP(A804, [1]Orders!A:E, 3, FALSE)</f>
        <v>Priyanshu</v>
      </c>
      <c r="J804" t="str">
        <f>VLOOKUP(A804, [1]Orders!A:E, 4, FALSE)</f>
        <v>Madhya Pradesh</v>
      </c>
      <c r="K804" t="str">
        <f>VLOOKUP(A804, [1]Orders!A:E, 5, FALSE)</f>
        <v>Indore</v>
      </c>
    </row>
    <row r="805" spans="1:11" x14ac:dyDescent="0.5">
      <c r="A805" t="s">
        <v>88</v>
      </c>
      <c r="B805">
        <v>80</v>
      </c>
      <c r="C805">
        <v>22</v>
      </c>
      <c r="D805">
        <v>3</v>
      </c>
      <c r="E805" t="s">
        <v>23</v>
      </c>
      <c r="F805" t="s">
        <v>57</v>
      </c>
      <c r="G805" t="s">
        <v>28</v>
      </c>
      <c r="H805" s="1">
        <f>VLOOKUP(A805, [1]Orders!A:B, 2, FALSE)</f>
        <v>43166</v>
      </c>
      <c r="I805" t="str">
        <f>VLOOKUP(A805, [1]Orders!A:E, 3, FALSE)</f>
        <v>Parishi</v>
      </c>
      <c r="J805" t="str">
        <f>VLOOKUP(A805, [1]Orders!A:E, 4, FALSE)</f>
        <v>West Bengal</v>
      </c>
      <c r="K805" t="str">
        <f>VLOOKUP(A805, [1]Orders!A:E, 5, FALSE)</f>
        <v>Kolkata</v>
      </c>
    </row>
    <row r="806" spans="1:11" x14ac:dyDescent="0.5">
      <c r="A806" t="s">
        <v>294</v>
      </c>
      <c r="B806">
        <v>133</v>
      </c>
      <c r="C806">
        <v>46</v>
      </c>
      <c r="D806">
        <v>5</v>
      </c>
      <c r="E806" t="s">
        <v>23</v>
      </c>
      <c r="F806" t="s">
        <v>142</v>
      </c>
      <c r="G806" t="s">
        <v>14</v>
      </c>
      <c r="H806" s="1">
        <f>VLOOKUP(A806, [1]Orders!A:B, 2, FALSE)</f>
        <v>43180</v>
      </c>
      <c r="I806" t="str">
        <f>VLOOKUP(A806, [1]Orders!A:E, 3, FALSE)</f>
        <v>Jahan</v>
      </c>
      <c r="J806" t="str">
        <f>VLOOKUP(A806, [1]Orders!A:E, 4, FALSE)</f>
        <v>Madhya Pradesh</v>
      </c>
      <c r="K806" t="str">
        <f>VLOOKUP(A806, [1]Orders!A:E, 5, FALSE)</f>
        <v>Bhopal</v>
      </c>
    </row>
    <row r="807" spans="1:11" x14ac:dyDescent="0.5">
      <c r="A807" t="s">
        <v>414</v>
      </c>
      <c r="B807">
        <v>146</v>
      </c>
      <c r="C807">
        <v>7</v>
      </c>
      <c r="D807">
        <v>2</v>
      </c>
      <c r="E807" t="s">
        <v>8</v>
      </c>
      <c r="F807" t="s">
        <v>21</v>
      </c>
      <c r="G807" t="s">
        <v>82</v>
      </c>
      <c r="H807" s="1">
        <f>VLOOKUP(A807, [1]Orders!A:B, 2, FALSE)</f>
        <v>43112</v>
      </c>
      <c r="I807" t="str">
        <f>VLOOKUP(A807, [1]Orders!A:E, 3, FALSE)</f>
        <v>Saurabh</v>
      </c>
      <c r="J807" t="str">
        <f>VLOOKUP(A807, [1]Orders!A:E, 4, FALSE)</f>
        <v>Andhra Pradesh</v>
      </c>
      <c r="K807" t="str">
        <f>VLOOKUP(A807, [1]Orders!A:E, 5, FALSE)</f>
        <v>Hyderabad</v>
      </c>
    </row>
    <row r="808" spans="1:11" x14ac:dyDescent="0.5">
      <c r="A808" t="s">
        <v>218</v>
      </c>
      <c r="B808">
        <v>130</v>
      </c>
      <c r="C808">
        <v>-41</v>
      </c>
      <c r="D808">
        <v>4</v>
      </c>
      <c r="E808" t="s">
        <v>23</v>
      </c>
      <c r="F808" t="s">
        <v>26</v>
      </c>
      <c r="G808" t="s">
        <v>14</v>
      </c>
      <c r="H808" s="1">
        <f>VLOOKUP(A808, [1]Orders!A:B, 2, FALSE)</f>
        <v>43224</v>
      </c>
      <c r="I808" t="str">
        <f>VLOOKUP(A808, [1]Orders!A:E, 3, FALSE)</f>
        <v>Aditya</v>
      </c>
      <c r="J808" t="str">
        <f>VLOOKUP(A808, [1]Orders!A:E, 4, FALSE)</f>
        <v>Punjab</v>
      </c>
      <c r="K808" t="str">
        <f>VLOOKUP(A808, [1]Orders!A:E, 5, FALSE)</f>
        <v>Chandigarh</v>
      </c>
    </row>
    <row r="809" spans="1:11" x14ac:dyDescent="0.5">
      <c r="A809" t="s">
        <v>415</v>
      </c>
      <c r="B809">
        <v>141</v>
      </c>
      <c r="C809">
        <v>41</v>
      </c>
      <c r="D809">
        <v>3</v>
      </c>
      <c r="E809" t="s">
        <v>23</v>
      </c>
      <c r="F809" t="s">
        <v>142</v>
      </c>
      <c r="G809" t="s">
        <v>28</v>
      </c>
      <c r="H809" s="1">
        <f>VLOOKUP(A809, [1]Orders!A:B, 2, FALSE)</f>
        <v>43134</v>
      </c>
      <c r="I809" t="str">
        <f>VLOOKUP(A809, [1]Orders!A:E, 3, FALSE)</f>
        <v>Gaurav</v>
      </c>
      <c r="J809" t="str">
        <f>VLOOKUP(A809, [1]Orders!A:E, 4, FALSE)</f>
        <v>Rajasthan</v>
      </c>
      <c r="K809" t="str">
        <f>VLOOKUP(A809, [1]Orders!A:E, 5, FALSE)</f>
        <v>Udaipur</v>
      </c>
    </row>
    <row r="810" spans="1:11" x14ac:dyDescent="0.5">
      <c r="A810" t="s">
        <v>214</v>
      </c>
      <c r="B810">
        <v>147</v>
      </c>
      <c r="C810">
        <v>21</v>
      </c>
      <c r="D810">
        <v>3</v>
      </c>
      <c r="E810" t="s">
        <v>12</v>
      </c>
      <c r="F810" t="s">
        <v>131</v>
      </c>
      <c r="G810" t="s">
        <v>82</v>
      </c>
      <c r="H810" s="1">
        <f>VLOOKUP(A810, [1]Orders!A:B, 2, FALSE)</f>
        <v>43407</v>
      </c>
      <c r="I810" t="str">
        <f>VLOOKUP(A810, [1]Orders!A:E, 3, FALSE)</f>
        <v>Rohan</v>
      </c>
      <c r="J810" t="str">
        <f>VLOOKUP(A810, [1]Orders!A:E, 4, FALSE)</f>
        <v>Himachal Pradesh</v>
      </c>
      <c r="K810" t="str">
        <f>VLOOKUP(A810, [1]Orders!A:E, 5, FALSE)</f>
        <v>Simla</v>
      </c>
    </row>
    <row r="811" spans="1:11" x14ac:dyDescent="0.5">
      <c r="A811" t="s">
        <v>99</v>
      </c>
      <c r="B811">
        <v>73</v>
      </c>
      <c r="C811">
        <v>-7</v>
      </c>
      <c r="D811">
        <v>1</v>
      </c>
      <c r="E811" t="s">
        <v>8</v>
      </c>
      <c r="F811" t="s">
        <v>21</v>
      </c>
      <c r="G811" t="s">
        <v>10</v>
      </c>
      <c r="H811" s="1">
        <f>VLOOKUP(A811, [1]Orders!A:B, 2, FALSE)</f>
        <v>43273</v>
      </c>
      <c r="I811" t="str">
        <f>VLOOKUP(A811, [1]Orders!A:E, 3, FALSE)</f>
        <v>Vijay</v>
      </c>
      <c r="J811" t="str">
        <f>VLOOKUP(A811, [1]Orders!A:E, 4, FALSE)</f>
        <v>Jammu and Kashmir</v>
      </c>
      <c r="K811" t="str">
        <f>VLOOKUP(A811, [1]Orders!A:E, 5, FALSE)</f>
        <v>Kashmir</v>
      </c>
    </row>
    <row r="812" spans="1:11" x14ac:dyDescent="0.5">
      <c r="A812" t="s">
        <v>416</v>
      </c>
      <c r="B812">
        <v>148</v>
      </c>
      <c r="C812">
        <v>72</v>
      </c>
      <c r="D812">
        <v>7</v>
      </c>
      <c r="E812" t="s">
        <v>23</v>
      </c>
      <c r="F812" t="s">
        <v>81</v>
      </c>
      <c r="G812" t="s">
        <v>82</v>
      </c>
      <c r="H812" s="1">
        <f>VLOOKUP(A812, [1]Orders!A:B, 2, FALSE)</f>
        <v>43235</v>
      </c>
      <c r="I812" t="str">
        <f>VLOOKUP(A812, [1]Orders!A:E, 3, FALSE)</f>
        <v>Sanskriti</v>
      </c>
      <c r="J812" t="str">
        <f>VLOOKUP(A812, [1]Orders!A:E, 4, FALSE)</f>
        <v>West Bengal</v>
      </c>
      <c r="K812" t="str">
        <f>VLOOKUP(A812, [1]Orders!A:E, 5, FALSE)</f>
        <v>Kolkata</v>
      </c>
    </row>
    <row r="813" spans="1:11" x14ac:dyDescent="0.5">
      <c r="A813" t="s">
        <v>417</v>
      </c>
      <c r="B813">
        <v>58</v>
      </c>
      <c r="C813">
        <v>0</v>
      </c>
      <c r="D813">
        <v>4</v>
      </c>
      <c r="E813" t="s">
        <v>23</v>
      </c>
      <c r="F813" t="s">
        <v>26</v>
      </c>
      <c r="G813" t="s">
        <v>28</v>
      </c>
      <c r="H813" s="1">
        <f>VLOOKUP(A813, [1]Orders!A:B, 2, FALSE)</f>
        <v>43292</v>
      </c>
      <c r="I813" t="str">
        <f>VLOOKUP(A813, [1]Orders!A:E, 3, FALSE)</f>
        <v>Surabhi</v>
      </c>
      <c r="J813" t="str">
        <f>VLOOKUP(A813, [1]Orders!A:E, 4, FALSE)</f>
        <v>Tamil Nadu</v>
      </c>
      <c r="K813" t="str">
        <f>VLOOKUP(A813, [1]Orders!A:E, 5, FALSE)</f>
        <v>Chennai</v>
      </c>
    </row>
    <row r="814" spans="1:11" x14ac:dyDescent="0.5">
      <c r="A814" t="s">
        <v>308</v>
      </c>
      <c r="B814">
        <v>21</v>
      </c>
      <c r="C814">
        <v>-13</v>
      </c>
      <c r="D814">
        <v>3</v>
      </c>
      <c r="E814" t="s">
        <v>23</v>
      </c>
      <c r="F814" t="s">
        <v>63</v>
      </c>
      <c r="G814" t="s">
        <v>28</v>
      </c>
      <c r="H814" s="1">
        <f>VLOOKUP(A814, [1]Orders!A:B, 2, FALSE)</f>
        <v>43228</v>
      </c>
      <c r="I814" t="str">
        <f>VLOOKUP(A814, [1]Orders!A:E, 3, FALSE)</f>
        <v>Tushina</v>
      </c>
      <c r="J814" t="str">
        <f>VLOOKUP(A814, [1]Orders!A:E, 4, FALSE)</f>
        <v>Goa</v>
      </c>
      <c r="K814" t="str">
        <f>VLOOKUP(A814, [1]Orders!A:E, 5, FALSE)</f>
        <v>Goa</v>
      </c>
    </row>
    <row r="815" spans="1:11" x14ac:dyDescent="0.5">
      <c r="A815" t="s">
        <v>17</v>
      </c>
      <c r="B815">
        <v>148</v>
      </c>
      <c r="C815">
        <v>25</v>
      </c>
      <c r="D815">
        <v>3</v>
      </c>
      <c r="E815" t="s">
        <v>23</v>
      </c>
      <c r="F815" t="s">
        <v>26</v>
      </c>
      <c r="G815" t="s">
        <v>82</v>
      </c>
      <c r="H815" s="1">
        <f>VLOOKUP(A815, [1]Orders!A:B, 2, FALSE)</f>
        <v>43186</v>
      </c>
      <c r="I815" t="str">
        <f>VLOOKUP(A815, [1]Orders!A:E, 3, FALSE)</f>
        <v>Sarita</v>
      </c>
      <c r="J815" t="str">
        <f>VLOOKUP(A815, [1]Orders!A:E, 4, FALSE)</f>
        <v>Maharashtra</v>
      </c>
      <c r="K815" t="str">
        <f>VLOOKUP(A815, [1]Orders!A:E, 5, FALSE)</f>
        <v>Pune</v>
      </c>
    </row>
    <row r="816" spans="1:11" x14ac:dyDescent="0.5">
      <c r="A816" t="s">
        <v>418</v>
      </c>
      <c r="B816">
        <v>144</v>
      </c>
      <c r="C816">
        <v>-7</v>
      </c>
      <c r="D816">
        <v>4</v>
      </c>
      <c r="E816" t="s">
        <v>8</v>
      </c>
      <c r="F816" t="s">
        <v>9</v>
      </c>
      <c r="G816" t="s">
        <v>10</v>
      </c>
      <c r="H816" s="1">
        <f>VLOOKUP(A816, [1]Orders!A:B, 2, FALSE)</f>
        <v>43301</v>
      </c>
      <c r="I816" t="str">
        <f>VLOOKUP(A816, [1]Orders!A:E, 3, FALSE)</f>
        <v>Anisha</v>
      </c>
      <c r="J816" t="str">
        <f>VLOOKUP(A816, [1]Orders!A:E, 4, FALSE)</f>
        <v>Nagaland</v>
      </c>
      <c r="K816" t="str">
        <f>VLOOKUP(A816, [1]Orders!A:E, 5, FALSE)</f>
        <v>Kohima</v>
      </c>
    </row>
    <row r="817" spans="1:11" x14ac:dyDescent="0.5">
      <c r="A817" t="s">
        <v>290</v>
      </c>
      <c r="B817">
        <v>145</v>
      </c>
      <c r="C817">
        <v>-104</v>
      </c>
      <c r="D817">
        <v>5</v>
      </c>
      <c r="E817" t="s">
        <v>12</v>
      </c>
      <c r="F817" t="s">
        <v>13</v>
      </c>
      <c r="G817" t="s">
        <v>28</v>
      </c>
      <c r="H817" s="1">
        <f>VLOOKUP(A817, [1]Orders!A:B, 2, FALSE)</f>
        <v>43237</v>
      </c>
      <c r="I817" t="str">
        <f>VLOOKUP(A817, [1]Orders!A:E, 3, FALSE)</f>
        <v>Subhashree</v>
      </c>
      <c r="J817" t="str">
        <f>VLOOKUP(A817, [1]Orders!A:E, 4, FALSE)</f>
        <v>Jammu and Kashmir</v>
      </c>
      <c r="K817" t="str">
        <f>VLOOKUP(A817, [1]Orders!A:E, 5, FALSE)</f>
        <v>Kashmir</v>
      </c>
    </row>
    <row r="818" spans="1:11" x14ac:dyDescent="0.5">
      <c r="A818" t="s">
        <v>112</v>
      </c>
      <c r="B818">
        <v>72</v>
      </c>
      <c r="C818">
        <v>-49</v>
      </c>
      <c r="D818">
        <v>1</v>
      </c>
      <c r="E818" t="s">
        <v>8</v>
      </c>
      <c r="F818" t="s">
        <v>21</v>
      </c>
      <c r="G818" t="s">
        <v>10</v>
      </c>
      <c r="H818" s="1">
        <f>VLOOKUP(A818, [1]Orders!A:B, 2, FALSE)</f>
        <v>43269</v>
      </c>
      <c r="I818" t="str">
        <f>VLOOKUP(A818, [1]Orders!A:E, 3, FALSE)</f>
        <v>Parna</v>
      </c>
      <c r="J818" t="str">
        <f>VLOOKUP(A818, [1]Orders!A:E, 4, FALSE)</f>
        <v>Madhya Pradesh</v>
      </c>
      <c r="K818" t="str">
        <f>VLOOKUP(A818, [1]Orders!A:E, 5, FALSE)</f>
        <v>Bhopal</v>
      </c>
    </row>
    <row r="819" spans="1:11" x14ac:dyDescent="0.5">
      <c r="A819" t="s">
        <v>44</v>
      </c>
      <c r="B819">
        <v>125</v>
      </c>
      <c r="C819">
        <v>15</v>
      </c>
      <c r="D819">
        <v>5</v>
      </c>
      <c r="E819" t="s">
        <v>23</v>
      </c>
      <c r="F819" t="s">
        <v>142</v>
      </c>
      <c r="G819" t="s">
        <v>14</v>
      </c>
      <c r="H819" s="1">
        <f>VLOOKUP(A819, [1]Orders!A:B, 2, FALSE)</f>
        <v>43448</v>
      </c>
      <c r="I819" t="str">
        <f>VLOOKUP(A819, [1]Orders!A:E, 3, FALSE)</f>
        <v>Jay</v>
      </c>
      <c r="J819" t="str">
        <f>VLOOKUP(A819, [1]Orders!A:E, 4, FALSE)</f>
        <v>Delhi</v>
      </c>
      <c r="K819" t="str">
        <f>VLOOKUP(A819, [1]Orders!A:E, 5, FALSE)</f>
        <v>Delhi</v>
      </c>
    </row>
    <row r="820" spans="1:11" x14ac:dyDescent="0.5">
      <c r="A820" t="s">
        <v>72</v>
      </c>
      <c r="B820">
        <v>149</v>
      </c>
      <c r="C820">
        <v>15</v>
      </c>
      <c r="D820">
        <v>3</v>
      </c>
      <c r="E820" t="s">
        <v>23</v>
      </c>
      <c r="F820" t="s">
        <v>26</v>
      </c>
      <c r="G820" t="s">
        <v>82</v>
      </c>
      <c r="H820" s="1">
        <f>VLOOKUP(A820, [1]Orders!A:B, 2, FALSE)</f>
        <v>43109</v>
      </c>
      <c r="I820" t="str">
        <f>VLOOKUP(A820, [1]Orders!A:E, 3, FALSE)</f>
        <v>Shardul</v>
      </c>
      <c r="J820" t="str">
        <f>VLOOKUP(A820, [1]Orders!A:E, 4, FALSE)</f>
        <v>Gujarat</v>
      </c>
      <c r="K820" t="str">
        <f>VLOOKUP(A820, [1]Orders!A:E, 5, FALSE)</f>
        <v>Ahmedabad</v>
      </c>
    </row>
    <row r="821" spans="1:11" x14ac:dyDescent="0.5">
      <c r="A821" t="s">
        <v>116</v>
      </c>
      <c r="B821">
        <v>72</v>
      </c>
      <c r="C821">
        <v>16</v>
      </c>
      <c r="D821">
        <v>2</v>
      </c>
      <c r="E821" t="s">
        <v>23</v>
      </c>
      <c r="F821" t="s">
        <v>142</v>
      </c>
      <c r="G821" t="s">
        <v>10</v>
      </c>
      <c r="H821" s="1">
        <f>VLOOKUP(A821, [1]Orders!A:B, 2, FALSE)</f>
        <v>43190</v>
      </c>
      <c r="I821" t="str">
        <f>VLOOKUP(A821, [1]Orders!A:E, 3, FALSE)</f>
        <v>Hitika</v>
      </c>
      <c r="J821" t="str">
        <f>VLOOKUP(A821, [1]Orders!A:E, 4, FALSE)</f>
        <v>Madhya Pradesh</v>
      </c>
      <c r="K821" t="str">
        <f>VLOOKUP(A821, [1]Orders!A:E, 5, FALSE)</f>
        <v>Indore</v>
      </c>
    </row>
    <row r="822" spans="1:11" x14ac:dyDescent="0.5">
      <c r="A822" t="s">
        <v>50</v>
      </c>
      <c r="B822">
        <v>71</v>
      </c>
      <c r="C822">
        <v>0</v>
      </c>
      <c r="D822">
        <v>8</v>
      </c>
      <c r="E822" t="s">
        <v>23</v>
      </c>
      <c r="F822" t="s">
        <v>43</v>
      </c>
      <c r="G822" t="s">
        <v>10</v>
      </c>
      <c r="H822" s="1">
        <f>VLOOKUP(A822, [1]Orders!A:B, 2, FALSE)</f>
        <v>43399</v>
      </c>
      <c r="I822" t="str">
        <f>VLOOKUP(A822, [1]Orders!A:E, 3, FALSE)</f>
        <v>Aastha</v>
      </c>
      <c r="J822" t="str">
        <f>VLOOKUP(A822, [1]Orders!A:E, 4, FALSE)</f>
        <v>Himachal Pradesh</v>
      </c>
      <c r="K822" t="str">
        <f>VLOOKUP(A822, [1]Orders!A:E, 5, FALSE)</f>
        <v>Simla</v>
      </c>
    </row>
    <row r="823" spans="1:11" x14ac:dyDescent="0.5">
      <c r="A823" t="s">
        <v>419</v>
      </c>
      <c r="B823">
        <v>71</v>
      </c>
      <c r="C823">
        <v>-14</v>
      </c>
      <c r="D823">
        <v>4</v>
      </c>
      <c r="E823" t="s">
        <v>12</v>
      </c>
      <c r="F823" t="s">
        <v>131</v>
      </c>
      <c r="G823" t="s">
        <v>10</v>
      </c>
      <c r="H823" s="1">
        <f>VLOOKUP(A823, [1]Orders!A:B, 2, FALSE)</f>
        <v>43104</v>
      </c>
      <c r="I823" t="str">
        <f>VLOOKUP(A823, [1]Orders!A:E, 3, FALSE)</f>
        <v>Bhutekar</v>
      </c>
      <c r="J823" t="str">
        <f>VLOOKUP(A823, [1]Orders!A:E, 4, FALSE)</f>
        <v>Madhya Pradesh</v>
      </c>
      <c r="K823" t="str">
        <f>VLOOKUP(A823, [1]Orders!A:E, 5, FALSE)</f>
        <v>Indore</v>
      </c>
    </row>
    <row r="824" spans="1:11" x14ac:dyDescent="0.5">
      <c r="A824" t="s">
        <v>96</v>
      </c>
      <c r="B824">
        <v>154</v>
      </c>
      <c r="C824">
        <v>-85</v>
      </c>
      <c r="D824">
        <v>3</v>
      </c>
      <c r="E824" t="s">
        <v>12</v>
      </c>
      <c r="F824" t="s">
        <v>13</v>
      </c>
      <c r="G824" t="s">
        <v>14</v>
      </c>
      <c r="H824" s="1">
        <f>VLOOKUP(A824, [1]Orders!A:B, 2, FALSE)</f>
        <v>43102</v>
      </c>
      <c r="I824" t="str">
        <f>VLOOKUP(A824, [1]Orders!A:E, 3, FALSE)</f>
        <v>Girase</v>
      </c>
      <c r="J824" t="str">
        <f>VLOOKUP(A824, [1]Orders!A:E, 4, FALSE)</f>
        <v xml:space="preserve">Kerala </v>
      </c>
      <c r="K824" t="str">
        <f>VLOOKUP(A824, [1]Orders!A:E, 5, FALSE)</f>
        <v>Thiruvananthapuram</v>
      </c>
    </row>
    <row r="825" spans="1:11" x14ac:dyDescent="0.5">
      <c r="A825" t="s">
        <v>152</v>
      </c>
      <c r="B825">
        <v>191</v>
      </c>
      <c r="C825">
        <v>13</v>
      </c>
      <c r="D825">
        <v>8</v>
      </c>
      <c r="E825" t="s">
        <v>12</v>
      </c>
      <c r="F825" t="s">
        <v>131</v>
      </c>
      <c r="G825" t="s">
        <v>10</v>
      </c>
      <c r="H825" s="1">
        <f>VLOOKUP(A825, [1]Orders!A:B, 2, FALSE)</f>
        <v>43282</v>
      </c>
      <c r="I825" t="str">
        <f>VLOOKUP(A825, [1]Orders!A:E, 3, FALSE)</f>
        <v>Kishwar</v>
      </c>
      <c r="J825" t="str">
        <f>VLOOKUP(A825, [1]Orders!A:E, 4, FALSE)</f>
        <v>Madhya Pradesh</v>
      </c>
      <c r="K825" t="str">
        <f>VLOOKUP(A825, [1]Orders!A:E, 5, FALSE)</f>
        <v>Indore</v>
      </c>
    </row>
    <row r="826" spans="1:11" x14ac:dyDescent="0.5">
      <c r="A826" t="s">
        <v>403</v>
      </c>
      <c r="B826">
        <v>170</v>
      </c>
      <c r="C826">
        <v>19</v>
      </c>
      <c r="D826">
        <v>5</v>
      </c>
      <c r="E826" t="s">
        <v>23</v>
      </c>
      <c r="F826" t="s">
        <v>81</v>
      </c>
      <c r="G826" t="s">
        <v>28</v>
      </c>
      <c r="H826" s="1">
        <f>VLOOKUP(A826, [1]Orders!A:B, 2, FALSE)</f>
        <v>43459</v>
      </c>
      <c r="I826" t="str">
        <f>VLOOKUP(A826, [1]Orders!A:E, 3, FALSE)</f>
        <v>Sandra</v>
      </c>
      <c r="J826" t="str">
        <f>VLOOKUP(A826, [1]Orders!A:E, 4, FALSE)</f>
        <v>Punjab</v>
      </c>
      <c r="K826" t="str">
        <f>VLOOKUP(A826, [1]Orders!A:E, 5, FALSE)</f>
        <v>Amritsar</v>
      </c>
    </row>
    <row r="827" spans="1:11" x14ac:dyDescent="0.5">
      <c r="A827" t="s">
        <v>67</v>
      </c>
      <c r="B827">
        <v>47</v>
      </c>
      <c r="C827">
        <v>-3</v>
      </c>
      <c r="D827">
        <v>2</v>
      </c>
      <c r="E827" t="s">
        <v>23</v>
      </c>
      <c r="F827" t="s">
        <v>57</v>
      </c>
      <c r="G827" t="s">
        <v>28</v>
      </c>
      <c r="H827" s="1">
        <f>VLOOKUP(A827, [1]Orders!A:B, 2, FALSE)</f>
        <v>43331</v>
      </c>
      <c r="I827" t="str">
        <f>VLOOKUP(A827, [1]Orders!A:E, 3, FALSE)</f>
        <v>Shourya</v>
      </c>
      <c r="J827" t="str">
        <f>VLOOKUP(A827, [1]Orders!A:E, 4, FALSE)</f>
        <v xml:space="preserve">Kerala </v>
      </c>
      <c r="K827" t="str">
        <f>VLOOKUP(A827, [1]Orders!A:E, 5, FALSE)</f>
        <v>Thiruvananthapuram</v>
      </c>
    </row>
    <row r="828" spans="1:11" x14ac:dyDescent="0.5">
      <c r="A828" t="s">
        <v>78</v>
      </c>
      <c r="B828">
        <v>122</v>
      </c>
      <c r="C828">
        <v>-47</v>
      </c>
      <c r="D828">
        <v>4</v>
      </c>
      <c r="E828" t="s">
        <v>23</v>
      </c>
      <c r="F828" t="s">
        <v>26</v>
      </c>
      <c r="G828" t="s">
        <v>14</v>
      </c>
      <c r="H828" s="1">
        <f>VLOOKUP(A828, [1]Orders!A:B, 2, FALSE)</f>
        <v>43217</v>
      </c>
      <c r="I828" t="str">
        <f>VLOOKUP(A828, [1]Orders!A:E, 3, FALSE)</f>
        <v>Paridhi</v>
      </c>
      <c r="J828" t="str">
        <f>VLOOKUP(A828, [1]Orders!A:E, 4, FALSE)</f>
        <v>Rajasthan</v>
      </c>
      <c r="K828" t="str">
        <f>VLOOKUP(A828, [1]Orders!A:E, 5, FALSE)</f>
        <v>Jaipur</v>
      </c>
    </row>
    <row r="829" spans="1:11" x14ac:dyDescent="0.5">
      <c r="A829" t="s">
        <v>330</v>
      </c>
      <c r="B829">
        <v>70</v>
      </c>
      <c r="C829">
        <v>26</v>
      </c>
      <c r="D829">
        <v>5</v>
      </c>
      <c r="E829" t="s">
        <v>23</v>
      </c>
      <c r="F829" t="s">
        <v>30</v>
      </c>
      <c r="G829" t="s">
        <v>10</v>
      </c>
      <c r="H829" s="1">
        <f>VLOOKUP(A829, [1]Orders!A:B, 2, FALSE)</f>
        <v>43402</v>
      </c>
      <c r="I829" t="str">
        <f>VLOOKUP(A829, [1]Orders!A:E, 3, FALSE)</f>
        <v>Sanjana</v>
      </c>
      <c r="J829" t="str">
        <f>VLOOKUP(A829, [1]Orders!A:E, 4, FALSE)</f>
        <v>Madhya Pradesh</v>
      </c>
      <c r="K829" t="str">
        <f>VLOOKUP(A829, [1]Orders!A:E, 5, FALSE)</f>
        <v>Indore</v>
      </c>
    </row>
    <row r="830" spans="1:11" x14ac:dyDescent="0.5">
      <c r="A830" t="s">
        <v>263</v>
      </c>
      <c r="B830">
        <v>155</v>
      </c>
      <c r="C830">
        <v>5</v>
      </c>
      <c r="D830">
        <v>3</v>
      </c>
      <c r="E830" t="s">
        <v>23</v>
      </c>
      <c r="F830" t="s">
        <v>57</v>
      </c>
      <c r="G830" t="s">
        <v>14</v>
      </c>
      <c r="H830" s="1">
        <f>VLOOKUP(A830, [1]Orders!A:B, 2, FALSE)</f>
        <v>43150</v>
      </c>
      <c r="I830" t="str">
        <f>VLOOKUP(A830, [1]Orders!A:E, 3, FALSE)</f>
        <v>Bhavna</v>
      </c>
      <c r="J830" t="str">
        <f>VLOOKUP(A830, [1]Orders!A:E, 4, FALSE)</f>
        <v>Sikkim</v>
      </c>
      <c r="K830" t="str">
        <f>VLOOKUP(A830, [1]Orders!A:E, 5, FALSE)</f>
        <v>Gangtok</v>
      </c>
    </row>
    <row r="831" spans="1:11" x14ac:dyDescent="0.5">
      <c r="A831" t="s">
        <v>420</v>
      </c>
      <c r="B831">
        <v>67</v>
      </c>
      <c r="C831">
        <v>-86</v>
      </c>
      <c r="D831">
        <v>9</v>
      </c>
      <c r="E831" t="s">
        <v>12</v>
      </c>
      <c r="F831" t="s">
        <v>131</v>
      </c>
      <c r="G831" t="s">
        <v>10</v>
      </c>
      <c r="H831" s="1">
        <f>VLOOKUP(A831, [1]Orders!A:B, 2, FALSE)</f>
        <v>43365</v>
      </c>
      <c r="I831" t="str">
        <f>VLOOKUP(A831, [1]Orders!A:E, 3, FALSE)</f>
        <v>Akshay</v>
      </c>
      <c r="J831" t="str">
        <f>VLOOKUP(A831, [1]Orders!A:E, 4, FALSE)</f>
        <v>Uttar Pradesh</v>
      </c>
      <c r="K831" t="str">
        <f>VLOOKUP(A831, [1]Orders!A:E, 5, FALSE)</f>
        <v>Lucknow</v>
      </c>
    </row>
    <row r="832" spans="1:11" x14ac:dyDescent="0.5">
      <c r="A832" t="s">
        <v>99</v>
      </c>
      <c r="B832">
        <v>67</v>
      </c>
      <c r="C832">
        <v>-42</v>
      </c>
      <c r="D832">
        <v>3</v>
      </c>
      <c r="E832" t="s">
        <v>23</v>
      </c>
      <c r="F832" t="s">
        <v>57</v>
      </c>
      <c r="G832" t="s">
        <v>10</v>
      </c>
      <c r="H832" s="1">
        <f>VLOOKUP(A832, [1]Orders!A:B, 2, FALSE)</f>
        <v>43273</v>
      </c>
      <c r="I832" t="str">
        <f>VLOOKUP(A832, [1]Orders!A:E, 3, FALSE)</f>
        <v>Vijay</v>
      </c>
      <c r="J832" t="str">
        <f>VLOOKUP(A832, [1]Orders!A:E, 4, FALSE)</f>
        <v>Jammu and Kashmir</v>
      </c>
      <c r="K832" t="str">
        <f>VLOOKUP(A832, [1]Orders!A:E, 5, FALSE)</f>
        <v>Kashmir</v>
      </c>
    </row>
    <row r="833" spans="1:11" x14ac:dyDescent="0.5">
      <c r="A833" t="s">
        <v>64</v>
      </c>
      <c r="B833">
        <v>148</v>
      </c>
      <c r="C833">
        <v>-101</v>
      </c>
      <c r="D833">
        <v>2</v>
      </c>
      <c r="E833" t="s">
        <v>12</v>
      </c>
      <c r="F833" t="s">
        <v>16</v>
      </c>
      <c r="G833" t="s">
        <v>28</v>
      </c>
      <c r="H833" s="1">
        <f>VLOOKUP(A833, [1]Orders!A:B, 2, FALSE)</f>
        <v>43373</v>
      </c>
      <c r="I833" t="str">
        <f>VLOOKUP(A833, [1]Orders!A:E, 3, FALSE)</f>
        <v>Sauptik</v>
      </c>
      <c r="J833" t="str">
        <f>VLOOKUP(A833, [1]Orders!A:E, 4, FALSE)</f>
        <v>Madhya Pradesh</v>
      </c>
      <c r="K833" t="str">
        <f>VLOOKUP(A833, [1]Orders!A:E, 5, FALSE)</f>
        <v>Indore</v>
      </c>
    </row>
    <row r="834" spans="1:11" x14ac:dyDescent="0.5">
      <c r="A834" t="s">
        <v>228</v>
      </c>
      <c r="B834">
        <v>122</v>
      </c>
      <c r="C834">
        <v>38</v>
      </c>
      <c r="D834">
        <v>6</v>
      </c>
      <c r="E834" t="s">
        <v>23</v>
      </c>
      <c r="F834" t="s">
        <v>81</v>
      </c>
      <c r="G834" t="s">
        <v>19</v>
      </c>
      <c r="H834" s="1">
        <f>VLOOKUP(A834, [1]Orders!A:B, 2, FALSE)</f>
        <v>43175</v>
      </c>
      <c r="I834" t="str">
        <f>VLOOKUP(A834, [1]Orders!A:E, 3, FALSE)</f>
        <v>Ankita</v>
      </c>
      <c r="J834" t="str">
        <f>VLOOKUP(A834, [1]Orders!A:E, 4, FALSE)</f>
        <v>Maharashtra</v>
      </c>
      <c r="K834" t="str">
        <f>VLOOKUP(A834, [1]Orders!A:E, 5, FALSE)</f>
        <v>Mumbai</v>
      </c>
    </row>
    <row r="835" spans="1:11" x14ac:dyDescent="0.5">
      <c r="A835" t="s">
        <v>421</v>
      </c>
      <c r="B835">
        <v>16</v>
      </c>
      <c r="C835">
        <v>-5</v>
      </c>
      <c r="D835">
        <v>2</v>
      </c>
      <c r="E835" t="s">
        <v>23</v>
      </c>
      <c r="F835" t="s">
        <v>57</v>
      </c>
      <c r="G835" t="s">
        <v>28</v>
      </c>
      <c r="H835" s="1">
        <f>VLOOKUP(A835, [1]Orders!A:B, 2, FALSE)</f>
        <v>43308</v>
      </c>
      <c r="I835" t="str">
        <f>VLOOKUP(A835, [1]Orders!A:E, 3, FALSE)</f>
        <v>Anubhaw</v>
      </c>
      <c r="J835" t="str">
        <f>VLOOKUP(A835, [1]Orders!A:E, 4, FALSE)</f>
        <v>Karnataka</v>
      </c>
      <c r="K835" t="str">
        <f>VLOOKUP(A835, [1]Orders!A:E, 5, FALSE)</f>
        <v>Bangalore</v>
      </c>
    </row>
    <row r="836" spans="1:11" x14ac:dyDescent="0.5">
      <c r="A836" t="s">
        <v>205</v>
      </c>
      <c r="B836">
        <v>121</v>
      </c>
      <c r="C836">
        <v>-17</v>
      </c>
      <c r="D836">
        <v>3</v>
      </c>
      <c r="E836" t="s">
        <v>12</v>
      </c>
      <c r="F836" t="s">
        <v>131</v>
      </c>
      <c r="G836" t="s">
        <v>19</v>
      </c>
      <c r="H836" s="1">
        <f>VLOOKUP(A836, [1]Orders!A:B, 2, FALSE)</f>
        <v>43230</v>
      </c>
      <c r="I836" t="str">
        <f>VLOOKUP(A836, [1]Orders!A:E, 3, FALSE)</f>
        <v>Sabah</v>
      </c>
      <c r="J836" t="str">
        <f>VLOOKUP(A836, [1]Orders!A:E, 4, FALSE)</f>
        <v>Maharashtra</v>
      </c>
      <c r="K836" t="str">
        <f>VLOOKUP(A836, [1]Orders!A:E, 5, FALSE)</f>
        <v>Mumbai</v>
      </c>
    </row>
    <row r="837" spans="1:11" x14ac:dyDescent="0.5">
      <c r="A837" t="s">
        <v>141</v>
      </c>
      <c r="B837">
        <v>42</v>
      </c>
      <c r="C837">
        <v>-15</v>
      </c>
      <c r="D837">
        <v>12</v>
      </c>
      <c r="E837" t="s">
        <v>23</v>
      </c>
      <c r="F837" t="s">
        <v>43</v>
      </c>
      <c r="G837" t="s">
        <v>28</v>
      </c>
      <c r="H837" s="1">
        <f>VLOOKUP(A837, [1]Orders!A:B, 2, FALSE)</f>
        <v>43326</v>
      </c>
      <c r="I837" t="str">
        <f>VLOOKUP(A837, [1]Orders!A:E, 3, FALSE)</f>
        <v>Priyanshu</v>
      </c>
      <c r="J837" t="str">
        <f>VLOOKUP(A837, [1]Orders!A:E, 4, FALSE)</f>
        <v>Madhya Pradesh</v>
      </c>
      <c r="K837" t="str">
        <f>VLOOKUP(A837, [1]Orders!A:E, 5, FALSE)</f>
        <v>Indore</v>
      </c>
    </row>
    <row r="838" spans="1:11" x14ac:dyDescent="0.5">
      <c r="A838" t="s">
        <v>262</v>
      </c>
      <c r="B838">
        <v>65</v>
      </c>
      <c r="C838">
        <v>-4</v>
      </c>
      <c r="D838">
        <v>6</v>
      </c>
      <c r="E838" t="s">
        <v>23</v>
      </c>
      <c r="F838" t="s">
        <v>30</v>
      </c>
      <c r="G838" t="s">
        <v>10</v>
      </c>
      <c r="H838" s="1">
        <f>VLOOKUP(A838, [1]Orders!A:B, 2, FALSE)</f>
        <v>43326</v>
      </c>
      <c r="I838" t="str">
        <f>VLOOKUP(A838, [1]Orders!A:E, 3, FALSE)</f>
        <v>Nishant</v>
      </c>
      <c r="J838" t="str">
        <f>VLOOKUP(A838, [1]Orders!A:E, 4, FALSE)</f>
        <v>Maharashtra</v>
      </c>
      <c r="K838" t="str">
        <f>VLOOKUP(A838, [1]Orders!A:E, 5, FALSE)</f>
        <v>Mumbai</v>
      </c>
    </row>
    <row r="839" spans="1:11" x14ac:dyDescent="0.5">
      <c r="A839" t="s">
        <v>386</v>
      </c>
      <c r="B839">
        <v>119</v>
      </c>
      <c r="C839">
        <v>-43</v>
      </c>
      <c r="D839">
        <v>7</v>
      </c>
      <c r="E839" t="s">
        <v>23</v>
      </c>
      <c r="F839" t="s">
        <v>32</v>
      </c>
      <c r="G839" t="s">
        <v>19</v>
      </c>
      <c r="H839" s="1">
        <f>VLOOKUP(A839, [1]Orders!A:B, 2, FALSE)</f>
        <v>43437</v>
      </c>
      <c r="I839" t="str">
        <f>VLOOKUP(A839, [1]Orders!A:E, 3, FALSE)</f>
        <v>Abhishek</v>
      </c>
      <c r="J839" t="str">
        <f>VLOOKUP(A839, [1]Orders!A:E, 4, FALSE)</f>
        <v>Gujarat</v>
      </c>
      <c r="K839" t="str">
        <f>VLOOKUP(A839, [1]Orders!A:E, 5, FALSE)</f>
        <v>Surat</v>
      </c>
    </row>
    <row r="840" spans="1:11" x14ac:dyDescent="0.5">
      <c r="A840" t="s">
        <v>400</v>
      </c>
      <c r="B840">
        <v>155</v>
      </c>
      <c r="C840">
        <v>56</v>
      </c>
      <c r="D840">
        <v>3</v>
      </c>
      <c r="E840" t="s">
        <v>12</v>
      </c>
      <c r="F840" t="s">
        <v>131</v>
      </c>
      <c r="G840" t="s">
        <v>14</v>
      </c>
      <c r="H840" s="1">
        <f>VLOOKUP(A840, [1]Orders!A:B, 2, FALSE)</f>
        <v>43259</v>
      </c>
      <c r="I840" t="str">
        <f>VLOOKUP(A840, [1]Orders!A:E, 3, FALSE)</f>
        <v>Shreya</v>
      </c>
      <c r="J840" t="str">
        <f>VLOOKUP(A840, [1]Orders!A:E, 4, FALSE)</f>
        <v xml:space="preserve">Kerala </v>
      </c>
      <c r="K840" t="str">
        <f>VLOOKUP(A840, [1]Orders!A:E, 5, FALSE)</f>
        <v>Thiruvananthapuram</v>
      </c>
    </row>
    <row r="841" spans="1:11" x14ac:dyDescent="0.5">
      <c r="A841" t="s">
        <v>20</v>
      </c>
      <c r="B841">
        <v>119</v>
      </c>
      <c r="C841">
        <v>-5</v>
      </c>
      <c r="D841">
        <v>8</v>
      </c>
      <c r="E841" t="s">
        <v>23</v>
      </c>
      <c r="F841" t="s">
        <v>26</v>
      </c>
      <c r="G841" t="s">
        <v>19</v>
      </c>
      <c r="H841" s="1">
        <f>VLOOKUP(A841, [1]Orders!A:B, 2, FALSE)</f>
        <v>43191</v>
      </c>
      <c r="I841" t="str">
        <f>VLOOKUP(A841, [1]Orders!A:E, 3, FALSE)</f>
        <v>Vrinda</v>
      </c>
      <c r="J841" t="str">
        <f>VLOOKUP(A841, [1]Orders!A:E, 4, FALSE)</f>
        <v>Maharashtra</v>
      </c>
      <c r="K841" t="str">
        <f>VLOOKUP(A841, [1]Orders!A:E, 5, FALSE)</f>
        <v>Pune</v>
      </c>
    </row>
    <row r="842" spans="1:11" x14ac:dyDescent="0.5">
      <c r="A842" t="s">
        <v>422</v>
      </c>
      <c r="B842">
        <v>118</v>
      </c>
      <c r="C842">
        <v>25</v>
      </c>
      <c r="D842">
        <v>4</v>
      </c>
      <c r="E842" t="s">
        <v>23</v>
      </c>
      <c r="F842" t="s">
        <v>30</v>
      </c>
      <c r="G842" t="s">
        <v>19</v>
      </c>
      <c r="H842" s="1">
        <f>VLOOKUP(A842, [1]Orders!A:B, 2, FALSE)</f>
        <v>43425</v>
      </c>
      <c r="I842" t="str">
        <f>VLOOKUP(A842, [1]Orders!A:E, 3, FALSE)</f>
        <v>Gunjal</v>
      </c>
      <c r="J842" t="str">
        <f>VLOOKUP(A842, [1]Orders!A:E, 4, FALSE)</f>
        <v>Gujarat</v>
      </c>
      <c r="K842" t="str">
        <f>VLOOKUP(A842, [1]Orders!A:E, 5, FALSE)</f>
        <v>Surat</v>
      </c>
    </row>
    <row r="843" spans="1:11" x14ac:dyDescent="0.5">
      <c r="A843" t="s">
        <v>132</v>
      </c>
      <c r="B843">
        <v>116</v>
      </c>
      <c r="C843">
        <v>22</v>
      </c>
      <c r="D843">
        <v>1</v>
      </c>
      <c r="E843" t="s">
        <v>8</v>
      </c>
      <c r="F843" t="s">
        <v>73</v>
      </c>
      <c r="G843" t="s">
        <v>19</v>
      </c>
      <c r="H843" s="1">
        <f>VLOOKUP(A843, [1]Orders!A:B, 2, FALSE)</f>
        <v>43114</v>
      </c>
      <c r="I843" t="str">
        <f>VLOOKUP(A843, [1]Orders!A:E, 3, FALSE)</f>
        <v>Krutika</v>
      </c>
      <c r="J843" t="str">
        <f>VLOOKUP(A843, [1]Orders!A:E, 4, FALSE)</f>
        <v>Andhra Pradesh</v>
      </c>
      <c r="K843" t="str">
        <f>VLOOKUP(A843, [1]Orders!A:E, 5, FALSE)</f>
        <v>Hyderabad</v>
      </c>
    </row>
    <row r="844" spans="1:11" x14ac:dyDescent="0.5">
      <c r="A844" t="s">
        <v>46</v>
      </c>
      <c r="B844">
        <v>158</v>
      </c>
      <c r="C844">
        <v>-29</v>
      </c>
      <c r="D844">
        <v>10</v>
      </c>
      <c r="E844" t="s">
        <v>23</v>
      </c>
      <c r="F844" t="s">
        <v>30</v>
      </c>
      <c r="G844" t="s">
        <v>14</v>
      </c>
      <c r="H844" s="1">
        <f>VLOOKUP(A844, [1]Orders!A:B, 2, FALSE)</f>
        <v>43113</v>
      </c>
      <c r="I844" t="str">
        <f>VLOOKUP(A844, [1]Orders!A:E, 3, FALSE)</f>
        <v>Shruti</v>
      </c>
      <c r="J844" t="str">
        <f>VLOOKUP(A844, [1]Orders!A:E, 4, FALSE)</f>
        <v>Madhya Pradesh</v>
      </c>
      <c r="K844" t="str">
        <f>VLOOKUP(A844, [1]Orders!A:E, 5, FALSE)</f>
        <v>Indore</v>
      </c>
    </row>
    <row r="845" spans="1:11" x14ac:dyDescent="0.5">
      <c r="A845" t="s">
        <v>323</v>
      </c>
      <c r="B845">
        <v>158</v>
      </c>
      <c r="C845">
        <v>69</v>
      </c>
      <c r="D845">
        <v>3</v>
      </c>
      <c r="E845" t="s">
        <v>23</v>
      </c>
      <c r="F845" t="s">
        <v>57</v>
      </c>
      <c r="G845" t="s">
        <v>14</v>
      </c>
      <c r="H845" s="1">
        <f>VLOOKUP(A845, [1]Orders!A:B, 2, FALSE)</f>
        <v>43186</v>
      </c>
      <c r="I845" t="str">
        <f>VLOOKUP(A845, [1]Orders!A:E, 3, FALSE)</f>
        <v>Manju</v>
      </c>
      <c r="J845" t="str">
        <f>VLOOKUP(A845, [1]Orders!A:E, 4, FALSE)</f>
        <v>Andhra Pradesh</v>
      </c>
      <c r="K845" t="str">
        <f>VLOOKUP(A845, [1]Orders!A:E, 5, FALSE)</f>
        <v>Hyderabad</v>
      </c>
    </row>
    <row r="846" spans="1:11" x14ac:dyDescent="0.5">
      <c r="A846" t="s">
        <v>288</v>
      </c>
      <c r="B846">
        <v>65</v>
      </c>
      <c r="C846">
        <v>-52</v>
      </c>
      <c r="D846">
        <v>3</v>
      </c>
      <c r="E846" t="s">
        <v>8</v>
      </c>
      <c r="F846" t="s">
        <v>73</v>
      </c>
      <c r="G846" t="s">
        <v>10</v>
      </c>
      <c r="H846" s="1">
        <f>VLOOKUP(A846, [1]Orders!A:B, 2, FALSE)</f>
        <v>43329</v>
      </c>
      <c r="I846" t="str">
        <f>VLOOKUP(A846, [1]Orders!A:E, 3, FALSE)</f>
        <v>Shivam</v>
      </c>
      <c r="J846" t="str">
        <f>VLOOKUP(A846, [1]Orders!A:E, 4, FALSE)</f>
        <v>Uttar Pradesh</v>
      </c>
      <c r="K846" t="str">
        <f>VLOOKUP(A846, [1]Orders!A:E, 5, FALSE)</f>
        <v>Lucknow</v>
      </c>
    </row>
    <row r="847" spans="1:11" x14ac:dyDescent="0.5">
      <c r="A847" t="s">
        <v>423</v>
      </c>
      <c r="B847">
        <v>160</v>
      </c>
      <c r="C847">
        <v>-59</v>
      </c>
      <c r="D847">
        <v>2</v>
      </c>
      <c r="E847" t="s">
        <v>23</v>
      </c>
      <c r="F847" t="s">
        <v>26</v>
      </c>
      <c r="G847" t="s">
        <v>14</v>
      </c>
      <c r="H847" s="1">
        <f>VLOOKUP(A847, [1]Orders!A:B, 2, FALSE)</f>
        <v>43201</v>
      </c>
      <c r="I847" t="str">
        <f>VLOOKUP(A847, [1]Orders!A:E, 3, FALSE)</f>
        <v>Anita</v>
      </c>
      <c r="J847" t="str">
        <f>VLOOKUP(A847, [1]Orders!A:E, 4, FALSE)</f>
        <v xml:space="preserve">Kerala </v>
      </c>
      <c r="K847" t="str">
        <f>VLOOKUP(A847, [1]Orders!A:E, 5, FALSE)</f>
        <v>Thiruvananthapuram</v>
      </c>
    </row>
    <row r="848" spans="1:11" x14ac:dyDescent="0.5">
      <c r="A848" t="s">
        <v>74</v>
      </c>
      <c r="B848">
        <v>162</v>
      </c>
      <c r="C848">
        <v>20</v>
      </c>
      <c r="D848">
        <v>3</v>
      </c>
      <c r="E848" t="s">
        <v>12</v>
      </c>
      <c r="F848" t="s">
        <v>13</v>
      </c>
      <c r="G848" t="s">
        <v>14</v>
      </c>
      <c r="H848" s="1">
        <f>VLOOKUP(A848, [1]Orders!A:B, 2, FALSE)</f>
        <v>43104</v>
      </c>
      <c r="I848" t="str">
        <f>VLOOKUP(A848, [1]Orders!A:E, 3, FALSE)</f>
        <v>Sudhir</v>
      </c>
      <c r="J848" t="str">
        <f>VLOOKUP(A848, [1]Orders!A:E, 4, FALSE)</f>
        <v>Nagaland</v>
      </c>
      <c r="K848" t="str">
        <f>VLOOKUP(A848, [1]Orders!A:E, 5, FALSE)</f>
        <v>Kohima</v>
      </c>
    </row>
    <row r="849" spans="1:11" x14ac:dyDescent="0.5">
      <c r="A849" t="s">
        <v>184</v>
      </c>
      <c r="B849">
        <v>63</v>
      </c>
      <c r="C849">
        <v>1</v>
      </c>
      <c r="D849">
        <v>4</v>
      </c>
      <c r="E849" t="s">
        <v>23</v>
      </c>
      <c r="F849" t="s">
        <v>81</v>
      </c>
      <c r="G849" t="s">
        <v>10</v>
      </c>
      <c r="H849" s="1">
        <f>VLOOKUP(A849, [1]Orders!A:B, 2, FALSE)</f>
        <v>43432</v>
      </c>
      <c r="I849" t="str">
        <f>VLOOKUP(A849, [1]Orders!A:E, 3, FALSE)</f>
        <v>Brijesh</v>
      </c>
      <c r="J849" t="str">
        <f>VLOOKUP(A849, [1]Orders!A:E, 4, FALSE)</f>
        <v>Rajasthan</v>
      </c>
      <c r="K849" t="str">
        <f>VLOOKUP(A849, [1]Orders!A:E, 5, FALSE)</f>
        <v>Udaipur</v>
      </c>
    </row>
    <row r="850" spans="1:11" x14ac:dyDescent="0.5">
      <c r="A850" t="s">
        <v>424</v>
      </c>
      <c r="B850">
        <v>64</v>
      </c>
      <c r="C850">
        <v>27</v>
      </c>
      <c r="D850">
        <v>5</v>
      </c>
      <c r="E850" t="s">
        <v>23</v>
      </c>
      <c r="F850" t="s">
        <v>30</v>
      </c>
      <c r="G850" t="s">
        <v>28</v>
      </c>
      <c r="H850" s="1">
        <f>VLOOKUP(A850, [1]Orders!A:B, 2, FALSE)</f>
        <v>43402</v>
      </c>
      <c r="I850" t="str">
        <f>VLOOKUP(A850, [1]Orders!A:E, 3, FALSE)</f>
        <v>Krishna</v>
      </c>
      <c r="J850" t="str">
        <f>VLOOKUP(A850, [1]Orders!A:E, 4, FALSE)</f>
        <v>Madhya Pradesh</v>
      </c>
      <c r="K850" t="str">
        <f>VLOOKUP(A850, [1]Orders!A:E, 5, FALSE)</f>
        <v>Indore</v>
      </c>
    </row>
    <row r="851" spans="1:11" x14ac:dyDescent="0.5">
      <c r="A851" t="s">
        <v>425</v>
      </c>
      <c r="B851">
        <v>166</v>
      </c>
      <c r="C851">
        <v>-113</v>
      </c>
      <c r="D851">
        <v>4</v>
      </c>
      <c r="E851" t="s">
        <v>8</v>
      </c>
      <c r="F851" t="s">
        <v>73</v>
      </c>
      <c r="G851" t="s">
        <v>14</v>
      </c>
      <c r="H851" s="1">
        <f>VLOOKUP(A851, [1]Orders!A:B, 2, FALSE)</f>
        <v>43241</v>
      </c>
      <c r="I851" t="str">
        <f>VLOOKUP(A851, [1]Orders!A:E, 3, FALSE)</f>
        <v>Chayanika</v>
      </c>
      <c r="J851" t="str">
        <f>VLOOKUP(A851, [1]Orders!A:E, 4, FALSE)</f>
        <v xml:space="preserve">Kerala </v>
      </c>
      <c r="K851" t="str">
        <f>VLOOKUP(A851, [1]Orders!A:E, 5, FALSE)</f>
        <v>Thiruvananthapuram</v>
      </c>
    </row>
    <row r="852" spans="1:11" x14ac:dyDescent="0.5">
      <c r="A852" t="s">
        <v>426</v>
      </c>
      <c r="B852">
        <v>167</v>
      </c>
      <c r="C852">
        <v>43</v>
      </c>
      <c r="D852">
        <v>7</v>
      </c>
      <c r="E852" t="s">
        <v>23</v>
      </c>
      <c r="F852" t="s">
        <v>81</v>
      </c>
      <c r="G852" t="s">
        <v>14</v>
      </c>
      <c r="H852" s="1">
        <f>VLOOKUP(A852, [1]Orders!A:B, 2, FALSE)</f>
        <v>43269</v>
      </c>
      <c r="I852" t="str">
        <f>VLOOKUP(A852, [1]Orders!A:E, 3, FALSE)</f>
        <v>Subhasmita</v>
      </c>
      <c r="J852" t="str">
        <f>VLOOKUP(A852, [1]Orders!A:E, 4, FALSE)</f>
        <v>Rajasthan</v>
      </c>
      <c r="K852" t="str">
        <f>VLOOKUP(A852, [1]Orders!A:E, 5, FALSE)</f>
        <v>Jaipur</v>
      </c>
    </row>
    <row r="853" spans="1:11" x14ac:dyDescent="0.5">
      <c r="A853" t="s">
        <v>427</v>
      </c>
      <c r="B853">
        <v>123</v>
      </c>
      <c r="C853">
        <v>17</v>
      </c>
      <c r="D853">
        <v>3</v>
      </c>
      <c r="E853" t="s">
        <v>12</v>
      </c>
      <c r="F853" t="s">
        <v>131</v>
      </c>
      <c r="G853" t="s">
        <v>10</v>
      </c>
      <c r="H853" s="1">
        <f>VLOOKUP(A853, [1]Orders!A:B, 2, FALSE)</f>
        <v>43244</v>
      </c>
      <c r="I853" t="str">
        <f>VLOOKUP(A853, [1]Orders!A:E, 3, FALSE)</f>
        <v>Rhea</v>
      </c>
      <c r="J853" t="str">
        <f>VLOOKUP(A853, [1]Orders!A:E, 4, FALSE)</f>
        <v>Himachal Pradesh</v>
      </c>
      <c r="K853" t="str">
        <f>VLOOKUP(A853, [1]Orders!A:E, 5, FALSE)</f>
        <v>Simla</v>
      </c>
    </row>
    <row r="854" spans="1:11" x14ac:dyDescent="0.5">
      <c r="A854" t="s">
        <v>125</v>
      </c>
      <c r="B854">
        <v>63</v>
      </c>
      <c r="C854">
        <v>14</v>
      </c>
      <c r="D854">
        <v>2</v>
      </c>
      <c r="E854" t="s">
        <v>23</v>
      </c>
      <c r="F854" t="s">
        <v>142</v>
      </c>
      <c r="G854" t="s">
        <v>10</v>
      </c>
      <c r="H854" s="1">
        <f>VLOOKUP(A854, [1]Orders!A:B, 2, FALSE)</f>
        <v>43111</v>
      </c>
      <c r="I854" t="str">
        <f>VLOOKUP(A854, [1]Orders!A:E, 3, FALSE)</f>
        <v>Mhatre</v>
      </c>
      <c r="J854" t="str">
        <f>VLOOKUP(A854, [1]Orders!A:E, 4, FALSE)</f>
        <v>Madhya Pradesh</v>
      </c>
      <c r="K854" t="str">
        <f>VLOOKUP(A854, [1]Orders!A:E, 5, FALSE)</f>
        <v>Indore</v>
      </c>
    </row>
    <row r="855" spans="1:11" x14ac:dyDescent="0.5">
      <c r="A855" t="s">
        <v>328</v>
      </c>
      <c r="B855">
        <v>891</v>
      </c>
      <c r="C855">
        <v>0</v>
      </c>
      <c r="D855">
        <v>5</v>
      </c>
      <c r="E855" t="s">
        <v>23</v>
      </c>
      <c r="F855" t="s">
        <v>26</v>
      </c>
      <c r="G855" t="s">
        <v>10</v>
      </c>
      <c r="H855" s="1">
        <f>VLOOKUP(A855, [1]Orders!A:B, 2, FALSE)</f>
        <v>43114</v>
      </c>
      <c r="I855" t="str">
        <f>VLOOKUP(A855, [1]Orders!A:E, 3, FALSE)</f>
        <v>Trupti</v>
      </c>
      <c r="J855" t="str">
        <f>VLOOKUP(A855, [1]Orders!A:E, 4, FALSE)</f>
        <v>Gujarat</v>
      </c>
      <c r="K855" t="str">
        <f>VLOOKUP(A855, [1]Orders!A:E, 5, FALSE)</f>
        <v>Ahmedabad</v>
      </c>
    </row>
    <row r="856" spans="1:11" x14ac:dyDescent="0.5">
      <c r="A856" t="s">
        <v>198</v>
      </c>
      <c r="B856">
        <v>75</v>
      </c>
      <c r="C856">
        <v>28</v>
      </c>
      <c r="D856">
        <v>9</v>
      </c>
      <c r="E856" t="s">
        <v>23</v>
      </c>
      <c r="F856" t="s">
        <v>30</v>
      </c>
      <c r="G856" t="s">
        <v>28</v>
      </c>
      <c r="H856" s="1">
        <f>VLOOKUP(A856, [1]Orders!A:B, 2, FALSE)</f>
        <v>43387</v>
      </c>
      <c r="I856" t="str">
        <f>VLOOKUP(A856, [1]Orders!A:E, 3, FALSE)</f>
        <v>Sandeep</v>
      </c>
      <c r="J856" t="str">
        <f>VLOOKUP(A856, [1]Orders!A:E, 4, FALSE)</f>
        <v>Madhya Pradesh</v>
      </c>
      <c r="K856" t="str">
        <f>VLOOKUP(A856, [1]Orders!A:E, 5, FALSE)</f>
        <v>Indore</v>
      </c>
    </row>
    <row r="857" spans="1:11" x14ac:dyDescent="0.5">
      <c r="A857" t="s">
        <v>271</v>
      </c>
      <c r="B857">
        <v>62</v>
      </c>
      <c r="C857">
        <v>6</v>
      </c>
      <c r="D857">
        <v>5</v>
      </c>
      <c r="E857" t="s">
        <v>23</v>
      </c>
      <c r="F857" t="s">
        <v>30</v>
      </c>
      <c r="G857" t="s">
        <v>10</v>
      </c>
      <c r="H857" s="1">
        <f>VLOOKUP(A857, [1]Orders!A:B, 2, FALSE)</f>
        <v>43419</v>
      </c>
      <c r="I857" t="str">
        <f>VLOOKUP(A857, [1]Orders!A:E, 3, FALSE)</f>
        <v>Aayush</v>
      </c>
      <c r="J857" t="str">
        <f>VLOOKUP(A857, [1]Orders!A:E, 4, FALSE)</f>
        <v>Uttar Pradesh</v>
      </c>
      <c r="K857" t="str">
        <f>VLOOKUP(A857, [1]Orders!A:E, 5, FALSE)</f>
        <v>Lucknow</v>
      </c>
    </row>
    <row r="858" spans="1:11" x14ac:dyDescent="0.5">
      <c r="A858" t="s">
        <v>340</v>
      </c>
      <c r="B858">
        <v>29</v>
      </c>
      <c r="C858">
        <v>-18</v>
      </c>
      <c r="D858">
        <v>7</v>
      </c>
      <c r="E858" t="s">
        <v>23</v>
      </c>
      <c r="F858" t="s">
        <v>43</v>
      </c>
      <c r="G858" t="s">
        <v>28</v>
      </c>
      <c r="H858" s="1">
        <f>VLOOKUP(A858, [1]Orders!A:B, 2, FALSE)</f>
        <v>43297</v>
      </c>
      <c r="I858" t="str">
        <f>VLOOKUP(A858, [1]Orders!A:E, 3, FALSE)</f>
        <v>Anchal</v>
      </c>
      <c r="J858" t="str">
        <f>VLOOKUP(A858, [1]Orders!A:E, 4, FALSE)</f>
        <v>Haryana</v>
      </c>
      <c r="K858" t="str">
        <f>VLOOKUP(A858, [1]Orders!A:E, 5, FALSE)</f>
        <v>Chandigarh</v>
      </c>
    </row>
    <row r="859" spans="1:11" x14ac:dyDescent="0.5">
      <c r="A859" t="s">
        <v>428</v>
      </c>
      <c r="B859">
        <v>168</v>
      </c>
      <c r="C859">
        <v>18</v>
      </c>
      <c r="D859">
        <v>6</v>
      </c>
      <c r="E859" t="s">
        <v>23</v>
      </c>
      <c r="F859" t="s">
        <v>57</v>
      </c>
      <c r="G859" t="s">
        <v>82</v>
      </c>
      <c r="H859" s="1">
        <f>VLOOKUP(A859, [1]Orders!A:B, 2, FALSE)</f>
        <v>43150</v>
      </c>
      <c r="I859" t="str">
        <f>VLOOKUP(A859, [1]Orders!A:E, 3, FALSE)</f>
        <v>Vandana</v>
      </c>
      <c r="J859" t="str">
        <f>VLOOKUP(A859, [1]Orders!A:E, 4, FALSE)</f>
        <v>Himachal Pradesh</v>
      </c>
      <c r="K859" t="str">
        <f>VLOOKUP(A859, [1]Orders!A:E, 5, FALSE)</f>
        <v>Simla</v>
      </c>
    </row>
    <row r="860" spans="1:11" x14ac:dyDescent="0.5">
      <c r="A860" t="s">
        <v>211</v>
      </c>
      <c r="B860">
        <v>70</v>
      </c>
      <c r="C860">
        <v>24</v>
      </c>
      <c r="D860">
        <v>3</v>
      </c>
      <c r="E860" t="s">
        <v>23</v>
      </c>
      <c r="F860" t="s">
        <v>57</v>
      </c>
      <c r="G860" t="s">
        <v>28</v>
      </c>
      <c r="H860" s="1">
        <f>VLOOKUP(A860, [1]Orders!A:B, 2, FALSE)</f>
        <v>43169</v>
      </c>
      <c r="I860" t="str">
        <f>VLOOKUP(A860, [1]Orders!A:E, 3, FALSE)</f>
        <v>Sonal</v>
      </c>
      <c r="J860" t="str">
        <f>VLOOKUP(A860, [1]Orders!A:E, 4, FALSE)</f>
        <v>Bihar</v>
      </c>
      <c r="K860" t="str">
        <f>VLOOKUP(A860, [1]Orders!A:E, 5, FALSE)</f>
        <v>Patna</v>
      </c>
    </row>
    <row r="861" spans="1:11" x14ac:dyDescent="0.5">
      <c r="A861" t="s">
        <v>230</v>
      </c>
      <c r="B861">
        <v>169</v>
      </c>
      <c r="C861">
        <v>55</v>
      </c>
      <c r="D861">
        <v>4</v>
      </c>
      <c r="E861" t="s">
        <v>23</v>
      </c>
      <c r="F861" t="s">
        <v>26</v>
      </c>
      <c r="G861" t="s">
        <v>82</v>
      </c>
      <c r="H861" s="1">
        <f>VLOOKUP(A861, [1]Orders!A:B, 2, FALSE)</f>
        <v>43165</v>
      </c>
      <c r="I861" t="str">
        <f>VLOOKUP(A861, [1]Orders!A:E, 3, FALSE)</f>
        <v>Paridhi</v>
      </c>
      <c r="J861" t="str">
        <f>VLOOKUP(A861, [1]Orders!A:E, 4, FALSE)</f>
        <v>Rajasthan</v>
      </c>
      <c r="K861" t="str">
        <f>VLOOKUP(A861, [1]Orders!A:E, 5, FALSE)</f>
        <v>Jaipur</v>
      </c>
    </row>
    <row r="862" spans="1:11" x14ac:dyDescent="0.5">
      <c r="A862" t="s">
        <v>152</v>
      </c>
      <c r="B862">
        <v>32</v>
      </c>
      <c r="C862">
        <v>-8</v>
      </c>
      <c r="D862">
        <v>2</v>
      </c>
      <c r="E862" t="s">
        <v>23</v>
      </c>
      <c r="F862" t="s">
        <v>57</v>
      </c>
      <c r="G862" t="s">
        <v>10</v>
      </c>
      <c r="H862" s="1">
        <f>VLOOKUP(A862, [1]Orders!A:B, 2, FALSE)</f>
        <v>43282</v>
      </c>
      <c r="I862" t="str">
        <f>VLOOKUP(A862, [1]Orders!A:E, 3, FALSE)</f>
        <v>Kishwar</v>
      </c>
      <c r="J862" t="str">
        <f>VLOOKUP(A862, [1]Orders!A:E, 4, FALSE)</f>
        <v>Madhya Pradesh</v>
      </c>
      <c r="K862" t="str">
        <f>VLOOKUP(A862, [1]Orders!A:E, 5, FALSE)</f>
        <v>Indore</v>
      </c>
    </row>
    <row r="863" spans="1:11" x14ac:dyDescent="0.5">
      <c r="A863" t="s">
        <v>119</v>
      </c>
      <c r="B863">
        <v>44</v>
      </c>
      <c r="C863">
        <v>-8</v>
      </c>
      <c r="D863">
        <v>3</v>
      </c>
      <c r="E863" t="s">
        <v>23</v>
      </c>
      <c r="F863" t="s">
        <v>57</v>
      </c>
      <c r="G863" t="s">
        <v>28</v>
      </c>
      <c r="H863" s="1">
        <f>VLOOKUP(A863, [1]Orders!A:B, 2, FALSE)</f>
        <v>43227</v>
      </c>
      <c r="I863" t="str">
        <f>VLOOKUP(A863, [1]Orders!A:E, 3, FALSE)</f>
        <v>Anurag</v>
      </c>
      <c r="J863" t="str">
        <f>VLOOKUP(A863, [1]Orders!A:E, 4, FALSE)</f>
        <v>Madhya Pradesh</v>
      </c>
      <c r="K863" t="str">
        <f>VLOOKUP(A863, [1]Orders!A:E, 5, FALSE)</f>
        <v>Indore</v>
      </c>
    </row>
    <row r="864" spans="1:11" x14ac:dyDescent="0.5">
      <c r="A864" t="s">
        <v>107</v>
      </c>
      <c r="B864">
        <v>116</v>
      </c>
      <c r="C864">
        <v>-56</v>
      </c>
      <c r="D864">
        <v>5</v>
      </c>
      <c r="E864" t="s">
        <v>23</v>
      </c>
      <c r="F864" t="s">
        <v>57</v>
      </c>
      <c r="G864" t="s">
        <v>19</v>
      </c>
      <c r="H864" s="1">
        <f>VLOOKUP(A864, [1]Orders!A:B, 2, FALSE)</f>
        <v>43205</v>
      </c>
      <c r="I864" t="str">
        <f>VLOOKUP(A864, [1]Orders!A:E, 3, FALSE)</f>
        <v>Kanak</v>
      </c>
      <c r="J864" t="str">
        <f>VLOOKUP(A864, [1]Orders!A:E, 4, FALSE)</f>
        <v>Goa</v>
      </c>
      <c r="K864" t="str">
        <f>VLOOKUP(A864, [1]Orders!A:E, 5, FALSE)</f>
        <v>Goa</v>
      </c>
    </row>
    <row r="865" spans="1:11" x14ac:dyDescent="0.5">
      <c r="A865" t="s">
        <v>429</v>
      </c>
      <c r="B865">
        <v>156</v>
      </c>
      <c r="C865">
        <v>21</v>
      </c>
      <c r="D865">
        <v>3</v>
      </c>
      <c r="E865" t="s">
        <v>12</v>
      </c>
      <c r="F865" t="s">
        <v>13</v>
      </c>
      <c r="G865" t="s">
        <v>10</v>
      </c>
      <c r="H865" s="1">
        <f>VLOOKUP(A865, [1]Orders!A:B, 2, FALSE)</f>
        <v>43396</v>
      </c>
      <c r="I865" t="str">
        <f>VLOOKUP(A865, [1]Orders!A:E, 3, FALSE)</f>
        <v>Sheetal</v>
      </c>
      <c r="J865" t="str">
        <f>VLOOKUP(A865, [1]Orders!A:E, 4, FALSE)</f>
        <v>Madhya Pradesh</v>
      </c>
      <c r="K865" t="str">
        <f>VLOOKUP(A865, [1]Orders!A:E, 5, FALSE)</f>
        <v>Indore</v>
      </c>
    </row>
    <row r="866" spans="1:11" x14ac:dyDescent="0.5">
      <c r="A866" t="s">
        <v>173</v>
      </c>
      <c r="B866">
        <v>62</v>
      </c>
      <c r="C866">
        <v>6</v>
      </c>
      <c r="D866">
        <v>6</v>
      </c>
      <c r="E866" t="s">
        <v>23</v>
      </c>
      <c r="F866" t="s">
        <v>43</v>
      </c>
      <c r="G866" t="s">
        <v>10</v>
      </c>
      <c r="H866" s="1">
        <f>VLOOKUP(A866, [1]Orders!A:B, 2, FALSE)</f>
        <v>43135</v>
      </c>
      <c r="I866" t="str">
        <f>VLOOKUP(A866, [1]Orders!A:E, 3, FALSE)</f>
        <v>Prashant</v>
      </c>
      <c r="J866" t="str">
        <f>VLOOKUP(A866, [1]Orders!A:E, 4, FALSE)</f>
        <v>Delhi</v>
      </c>
      <c r="K866" t="str">
        <f>VLOOKUP(A866, [1]Orders!A:E, 5, FALSE)</f>
        <v>Delhi</v>
      </c>
    </row>
    <row r="867" spans="1:11" x14ac:dyDescent="0.5">
      <c r="A867" t="s">
        <v>50</v>
      </c>
      <c r="B867">
        <v>54</v>
      </c>
      <c r="C867">
        <v>1</v>
      </c>
      <c r="D867">
        <v>2</v>
      </c>
      <c r="E867" t="s">
        <v>23</v>
      </c>
      <c r="F867" t="s">
        <v>26</v>
      </c>
      <c r="G867" t="s">
        <v>28</v>
      </c>
      <c r="H867" s="1">
        <f>VLOOKUP(A867, [1]Orders!A:B, 2, FALSE)</f>
        <v>43399</v>
      </c>
      <c r="I867" t="str">
        <f>VLOOKUP(A867, [1]Orders!A:E, 3, FALSE)</f>
        <v>Aastha</v>
      </c>
      <c r="J867" t="str">
        <f>VLOOKUP(A867, [1]Orders!A:E, 4, FALSE)</f>
        <v>Himachal Pradesh</v>
      </c>
      <c r="K867" t="str">
        <f>VLOOKUP(A867, [1]Orders!A:E, 5, FALSE)</f>
        <v>Simla</v>
      </c>
    </row>
    <row r="868" spans="1:11" x14ac:dyDescent="0.5">
      <c r="A868" t="s">
        <v>179</v>
      </c>
      <c r="B868">
        <v>111</v>
      </c>
      <c r="C868">
        <v>11</v>
      </c>
      <c r="D868">
        <v>9</v>
      </c>
      <c r="E868" t="s">
        <v>23</v>
      </c>
      <c r="F868" t="s">
        <v>30</v>
      </c>
      <c r="G868" t="s">
        <v>19</v>
      </c>
      <c r="H868" s="1">
        <f>VLOOKUP(A868, [1]Orders!A:B, 2, FALSE)</f>
        <v>43113</v>
      </c>
      <c r="I868" t="str">
        <f>VLOOKUP(A868, [1]Orders!A:E, 3, FALSE)</f>
        <v>Jesal</v>
      </c>
      <c r="J868" t="str">
        <f>VLOOKUP(A868, [1]Orders!A:E, 4, FALSE)</f>
        <v>West Bengal</v>
      </c>
      <c r="K868" t="str">
        <f>VLOOKUP(A868, [1]Orders!A:E, 5, FALSE)</f>
        <v>Kolkata</v>
      </c>
    </row>
    <row r="869" spans="1:11" x14ac:dyDescent="0.5">
      <c r="A869" t="s">
        <v>430</v>
      </c>
      <c r="B869">
        <v>158</v>
      </c>
      <c r="C869">
        <v>-63</v>
      </c>
      <c r="D869">
        <v>4</v>
      </c>
      <c r="E869" t="s">
        <v>12</v>
      </c>
      <c r="F869" t="s">
        <v>13</v>
      </c>
      <c r="G869" t="s">
        <v>28</v>
      </c>
      <c r="H869" s="1">
        <f>VLOOKUP(A869, [1]Orders!A:B, 2, FALSE)</f>
        <v>43289</v>
      </c>
      <c r="I869" t="str">
        <f>VLOOKUP(A869, [1]Orders!A:E, 3, FALSE)</f>
        <v>Raksha</v>
      </c>
      <c r="J869" t="str">
        <f>VLOOKUP(A869, [1]Orders!A:E, 4, FALSE)</f>
        <v>West Bengal</v>
      </c>
      <c r="K869" t="str">
        <f>VLOOKUP(A869, [1]Orders!A:E, 5, FALSE)</f>
        <v>Kolkata</v>
      </c>
    </row>
    <row r="870" spans="1:11" x14ac:dyDescent="0.5">
      <c r="A870" t="s">
        <v>215</v>
      </c>
      <c r="B870">
        <v>7</v>
      </c>
      <c r="C870">
        <v>-3</v>
      </c>
      <c r="D870">
        <v>2</v>
      </c>
      <c r="E870" t="s">
        <v>23</v>
      </c>
      <c r="F870" t="s">
        <v>43</v>
      </c>
      <c r="G870" t="s">
        <v>28</v>
      </c>
      <c r="H870" s="1">
        <f>VLOOKUP(A870, [1]Orders!A:B, 2, FALSE)</f>
        <v>43254</v>
      </c>
      <c r="I870" t="str">
        <f>VLOOKUP(A870, [1]Orders!A:E, 3, FALSE)</f>
        <v>Bathina</v>
      </c>
      <c r="J870" t="str">
        <f>VLOOKUP(A870, [1]Orders!A:E, 4, FALSE)</f>
        <v>Karnataka</v>
      </c>
      <c r="K870" t="str">
        <f>VLOOKUP(A870, [1]Orders!A:E, 5, FALSE)</f>
        <v>Bangalore</v>
      </c>
    </row>
    <row r="871" spans="1:11" x14ac:dyDescent="0.5">
      <c r="A871" t="s">
        <v>378</v>
      </c>
      <c r="B871">
        <v>61</v>
      </c>
      <c r="C871">
        <v>28</v>
      </c>
      <c r="D871">
        <v>2</v>
      </c>
      <c r="E871" t="s">
        <v>23</v>
      </c>
      <c r="F871" t="s">
        <v>30</v>
      </c>
      <c r="G871" t="s">
        <v>28</v>
      </c>
      <c r="H871" s="1">
        <f>VLOOKUP(A871, [1]Orders!A:B, 2, FALSE)</f>
        <v>43444</v>
      </c>
      <c r="I871" t="str">
        <f>VLOOKUP(A871, [1]Orders!A:E, 3, FALSE)</f>
        <v>Suraj</v>
      </c>
      <c r="J871" t="str">
        <f>VLOOKUP(A871, [1]Orders!A:E, 4, FALSE)</f>
        <v>Gujarat</v>
      </c>
      <c r="K871" t="str">
        <f>VLOOKUP(A871, [1]Orders!A:E, 5, FALSE)</f>
        <v>Surat</v>
      </c>
    </row>
    <row r="872" spans="1:11" x14ac:dyDescent="0.5">
      <c r="A872" t="s">
        <v>208</v>
      </c>
      <c r="B872">
        <v>61</v>
      </c>
      <c r="C872">
        <v>-50</v>
      </c>
      <c r="D872">
        <v>4</v>
      </c>
      <c r="E872" t="s">
        <v>23</v>
      </c>
      <c r="F872" t="s">
        <v>30</v>
      </c>
      <c r="G872" t="s">
        <v>10</v>
      </c>
      <c r="H872" s="1">
        <f>VLOOKUP(A872, [1]Orders!A:B, 2, FALSE)</f>
        <v>43374</v>
      </c>
      <c r="I872" t="str">
        <f>VLOOKUP(A872, [1]Orders!A:E, 3, FALSE)</f>
        <v>Shishu</v>
      </c>
      <c r="J872" t="str">
        <f>VLOOKUP(A872, [1]Orders!A:E, 4, FALSE)</f>
        <v>Andhra Pradesh</v>
      </c>
      <c r="K872" t="str">
        <f>VLOOKUP(A872, [1]Orders!A:E, 5, FALSE)</f>
        <v>Hyderabad</v>
      </c>
    </row>
    <row r="873" spans="1:11" x14ac:dyDescent="0.5">
      <c r="A873" t="s">
        <v>306</v>
      </c>
      <c r="B873">
        <v>154</v>
      </c>
      <c r="C873">
        <v>26</v>
      </c>
      <c r="D873">
        <v>4</v>
      </c>
      <c r="E873" t="s">
        <v>8</v>
      </c>
      <c r="F873" t="s">
        <v>73</v>
      </c>
      <c r="G873" t="s">
        <v>10</v>
      </c>
      <c r="H873" s="1">
        <f>VLOOKUP(A873, [1]Orders!A:B, 2, FALSE)</f>
        <v>43444</v>
      </c>
      <c r="I873" t="str">
        <f>VLOOKUP(A873, [1]Orders!A:E, 3, FALSE)</f>
        <v>Ishpreet</v>
      </c>
      <c r="J873" t="str">
        <f>VLOOKUP(A873, [1]Orders!A:E, 4, FALSE)</f>
        <v>Maharashtra</v>
      </c>
      <c r="K873" t="str">
        <f>VLOOKUP(A873, [1]Orders!A:E, 5, FALSE)</f>
        <v>Mumbai</v>
      </c>
    </row>
    <row r="874" spans="1:11" x14ac:dyDescent="0.5">
      <c r="A874" t="s">
        <v>31</v>
      </c>
      <c r="B874">
        <v>62</v>
      </c>
      <c r="C874">
        <v>1</v>
      </c>
      <c r="D874">
        <v>3</v>
      </c>
      <c r="E874" t="s">
        <v>23</v>
      </c>
      <c r="F874" t="s">
        <v>26</v>
      </c>
      <c r="G874" t="s">
        <v>10</v>
      </c>
      <c r="H874" s="1">
        <f>VLOOKUP(A874, [1]Orders!A:B, 2, FALSE)</f>
        <v>43410</v>
      </c>
      <c r="I874" t="str">
        <f>VLOOKUP(A874, [1]Orders!A:E, 3, FALSE)</f>
        <v>Kushal</v>
      </c>
      <c r="J874" t="str">
        <f>VLOOKUP(A874, [1]Orders!A:E, 4, FALSE)</f>
        <v>Nagaland</v>
      </c>
      <c r="K874" t="str">
        <f>VLOOKUP(A874, [1]Orders!A:E, 5, FALSE)</f>
        <v>Kohima</v>
      </c>
    </row>
    <row r="875" spans="1:11" x14ac:dyDescent="0.5">
      <c r="A875" t="s">
        <v>431</v>
      </c>
      <c r="B875">
        <v>169</v>
      </c>
      <c r="C875">
        <v>38</v>
      </c>
      <c r="D875">
        <v>3</v>
      </c>
      <c r="E875" t="s">
        <v>23</v>
      </c>
      <c r="F875" t="s">
        <v>26</v>
      </c>
      <c r="G875" t="s">
        <v>82</v>
      </c>
      <c r="H875" s="1">
        <f>VLOOKUP(A875, [1]Orders!A:B, 2, FALSE)</f>
        <v>43110</v>
      </c>
      <c r="I875" t="str">
        <f>VLOOKUP(A875, [1]Orders!A:E, 3, FALSE)</f>
        <v>Syed</v>
      </c>
      <c r="J875" t="str">
        <f>VLOOKUP(A875, [1]Orders!A:E, 4, FALSE)</f>
        <v>Maharashtra</v>
      </c>
      <c r="K875" t="str">
        <f>VLOOKUP(A875, [1]Orders!A:E, 5, FALSE)</f>
        <v>Pune</v>
      </c>
    </row>
    <row r="876" spans="1:11" x14ac:dyDescent="0.5">
      <c r="A876" t="s">
        <v>408</v>
      </c>
      <c r="B876">
        <v>61</v>
      </c>
      <c r="C876">
        <v>18</v>
      </c>
      <c r="D876">
        <v>2</v>
      </c>
      <c r="E876" t="s">
        <v>8</v>
      </c>
      <c r="F876" t="s">
        <v>73</v>
      </c>
      <c r="G876" t="s">
        <v>10</v>
      </c>
      <c r="H876" s="1">
        <f>VLOOKUP(A876, [1]Orders!A:B, 2, FALSE)</f>
        <v>43105</v>
      </c>
      <c r="I876" t="str">
        <f>VLOOKUP(A876, [1]Orders!A:E, 3, FALSE)</f>
        <v>Vineet</v>
      </c>
      <c r="J876" t="str">
        <f>VLOOKUP(A876, [1]Orders!A:E, 4, FALSE)</f>
        <v>Sikkim</v>
      </c>
      <c r="K876" t="str">
        <f>VLOOKUP(A876, [1]Orders!A:E, 5, FALSE)</f>
        <v>Gangtok</v>
      </c>
    </row>
    <row r="877" spans="1:11" x14ac:dyDescent="0.5">
      <c r="A877" t="s">
        <v>123</v>
      </c>
      <c r="B877">
        <v>61</v>
      </c>
      <c r="C877">
        <v>-23</v>
      </c>
      <c r="D877">
        <v>2</v>
      </c>
      <c r="E877" t="s">
        <v>23</v>
      </c>
      <c r="F877" t="s">
        <v>26</v>
      </c>
      <c r="G877" t="s">
        <v>10</v>
      </c>
      <c r="H877" s="1">
        <f>VLOOKUP(A877, [1]Orders!A:B, 2, FALSE)</f>
        <v>43231</v>
      </c>
      <c r="I877" t="str">
        <f>VLOOKUP(A877, [1]Orders!A:E, 3, FALSE)</f>
        <v>Priyanka</v>
      </c>
      <c r="J877" t="str">
        <f>VLOOKUP(A877, [1]Orders!A:E, 4, FALSE)</f>
        <v>Maharashtra</v>
      </c>
      <c r="K877" t="str">
        <f>VLOOKUP(A877, [1]Orders!A:E, 5, FALSE)</f>
        <v>Pune</v>
      </c>
    </row>
    <row r="878" spans="1:11" x14ac:dyDescent="0.5">
      <c r="A878" t="s">
        <v>432</v>
      </c>
      <c r="B878">
        <v>171</v>
      </c>
      <c r="C878">
        <v>14</v>
      </c>
      <c r="D878">
        <v>9</v>
      </c>
      <c r="E878" t="s">
        <v>23</v>
      </c>
      <c r="F878" t="s">
        <v>142</v>
      </c>
      <c r="G878" t="s">
        <v>82</v>
      </c>
      <c r="H878" s="1">
        <f>VLOOKUP(A878, [1]Orders!A:B, 2, FALSE)</f>
        <v>43269</v>
      </c>
      <c r="I878" t="str">
        <f>VLOOKUP(A878, [1]Orders!A:E, 3, FALSE)</f>
        <v>Suhani</v>
      </c>
      <c r="J878" t="str">
        <f>VLOOKUP(A878, [1]Orders!A:E, 4, FALSE)</f>
        <v>West Bengal</v>
      </c>
      <c r="K878" t="str">
        <f>VLOOKUP(A878, [1]Orders!A:E, 5, FALSE)</f>
        <v>Kolkata</v>
      </c>
    </row>
    <row r="879" spans="1:11" x14ac:dyDescent="0.5">
      <c r="A879" t="s">
        <v>276</v>
      </c>
      <c r="B879">
        <v>60</v>
      </c>
      <c r="C879">
        <v>-49</v>
      </c>
      <c r="D879">
        <v>8</v>
      </c>
      <c r="E879" t="s">
        <v>23</v>
      </c>
      <c r="F879" t="s">
        <v>30</v>
      </c>
      <c r="G879" t="s">
        <v>10</v>
      </c>
      <c r="H879" s="1">
        <f>VLOOKUP(A879, [1]Orders!A:B, 2, FALSE)</f>
        <v>43357</v>
      </c>
      <c r="I879" t="str">
        <f>VLOOKUP(A879, [1]Orders!A:E, 3, FALSE)</f>
        <v>Rutuja</v>
      </c>
      <c r="J879" t="str">
        <f>VLOOKUP(A879, [1]Orders!A:E, 4, FALSE)</f>
        <v>Gujarat</v>
      </c>
      <c r="K879" t="str">
        <f>VLOOKUP(A879, [1]Orders!A:E, 5, FALSE)</f>
        <v>Ahmedabad</v>
      </c>
    </row>
    <row r="880" spans="1:11" x14ac:dyDescent="0.5">
      <c r="A880" t="s">
        <v>388</v>
      </c>
      <c r="B880">
        <v>25</v>
      </c>
      <c r="C880">
        <v>-11</v>
      </c>
      <c r="D880">
        <v>1</v>
      </c>
      <c r="E880" t="s">
        <v>23</v>
      </c>
      <c r="F880" t="s">
        <v>57</v>
      </c>
      <c r="G880" t="s">
        <v>28</v>
      </c>
      <c r="H880" s="1">
        <f>VLOOKUP(A880, [1]Orders!A:B, 2, FALSE)</f>
        <v>43358</v>
      </c>
      <c r="I880" t="str">
        <f>VLOOKUP(A880, [1]Orders!A:E, 3, FALSE)</f>
        <v>Shivangi</v>
      </c>
      <c r="J880" t="str">
        <f>VLOOKUP(A880, [1]Orders!A:E, 4, FALSE)</f>
        <v>Madhya Pradesh</v>
      </c>
      <c r="K880" t="str">
        <f>VLOOKUP(A880, [1]Orders!A:E, 5, FALSE)</f>
        <v>Indore</v>
      </c>
    </row>
    <row r="881" spans="1:11" x14ac:dyDescent="0.5">
      <c r="A881" t="s">
        <v>188</v>
      </c>
      <c r="B881">
        <v>163</v>
      </c>
      <c r="C881">
        <v>26</v>
      </c>
      <c r="D881">
        <v>4</v>
      </c>
      <c r="E881" t="s">
        <v>23</v>
      </c>
      <c r="F881" t="s">
        <v>142</v>
      </c>
      <c r="G881" t="s">
        <v>10</v>
      </c>
      <c r="H881" s="1">
        <f>VLOOKUP(A881, [1]Orders!A:B, 2, FALSE)</f>
        <v>43421</v>
      </c>
      <c r="I881" t="str">
        <f>VLOOKUP(A881, [1]Orders!A:E, 3, FALSE)</f>
        <v>Ankit</v>
      </c>
      <c r="J881" t="str">
        <f>VLOOKUP(A881, [1]Orders!A:E, 4, FALSE)</f>
        <v>Sikkim</v>
      </c>
      <c r="K881" t="str">
        <f>VLOOKUP(A881, [1]Orders!A:E, 5, FALSE)</f>
        <v>Gangtok</v>
      </c>
    </row>
    <row r="882" spans="1:11" x14ac:dyDescent="0.5">
      <c r="A882" t="s">
        <v>164</v>
      </c>
      <c r="B882">
        <v>173</v>
      </c>
      <c r="C882">
        <v>86</v>
      </c>
      <c r="D882">
        <v>1</v>
      </c>
      <c r="E882" t="s">
        <v>8</v>
      </c>
      <c r="F882" t="s">
        <v>18</v>
      </c>
      <c r="G882" t="s">
        <v>82</v>
      </c>
      <c r="H882" s="1">
        <f>VLOOKUP(A882, [1]Orders!A:B, 2, FALSE)</f>
        <v>43134</v>
      </c>
      <c r="I882" t="str">
        <f>VLOOKUP(A882, [1]Orders!A:E, 3, FALSE)</f>
        <v>Madhav</v>
      </c>
      <c r="J882" t="str">
        <f>VLOOKUP(A882, [1]Orders!A:E, 4, FALSE)</f>
        <v>Delhi</v>
      </c>
      <c r="K882" t="str">
        <f>VLOOKUP(A882, [1]Orders!A:E, 5, FALSE)</f>
        <v>Delhi</v>
      </c>
    </row>
    <row r="883" spans="1:11" x14ac:dyDescent="0.5">
      <c r="A883" t="s">
        <v>67</v>
      </c>
      <c r="B883">
        <v>257</v>
      </c>
      <c r="C883">
        <v>-3</v>
      </c>
      <c r="D883">
        <v>2</v>
      </c>
      <c r="E883" t="s">
        <v>12</v>
      </c>
      <c r="F883" t="s">
        <v>16</v>
      </c>
      <c r="G883" t="s">
        <v>28</v>
      </c>
      <c r="H883" s="1">
        <f>VLOOKUP(A883, [1]Orders!A:B, 2, FALSE)</f>
        <v>43331</v>
      </c>
      <c r="I883" t="str">
        <f>VLOOKUP(A883, [1]Orders!A:E, 3, FALSE)</f>
        <v>Shourya</v>
      </c>
      <c r="J883" t="str">
        <f>VLOOKUP(A883, [1]Orders!A:E, 4, FALSE)</f>
        <v xml:space="preserve">Kerala </v>
      </c>
      <c r="K883" t="str">
        <f>VLOOKUP(A883, [1]Orders!A:E, 5, FALSE)</f>
        <v>Thiruvananthapuram</v>
      </c>
    </row>
    <row r="884" spans="1:11" x14ac:dyDescent="0.5">
      <c r="A884" t="s">
        <v>433</v>
      </c>
      <c r="B884">
        <v>108</v>
      </c>
      <c r="C884">
        <v>37</v>
      </c>
      <c r="D884">
        <v>2</v>
      </c>
      <c r="E884" t="s">
        <v>23</v>
      </c>
      <c r="F884" t="s">
        <v>57</v>
      </c>
      <c r="G884" t="s">
        <v>19</v>
      </c>
      <c r="H884" s="1">
        <f>VLOOKUP(A884, [1]Orders!A:B, 2, FALSE)</f>
        <v>43428</v>
      </c>
      <c r="I884" t="str">
        <f>VLOOKUP(A884, [1]Orders!A:E, 3, FALSE)</f>
        <v>Apoorv</v>
      </c>
      <c r="J884" t="str">
        <f>VLOOKUP(A884, [1]Orders!A:E, 4, FALSE)</f>
        <v>Rajasthan</v>
      </c>
      <c r="K884" t="str">
        <f>VLOOKUP(A884, [1]Orders!A:E, 5, FALSE)</f>
        <v>Udaipur</v>
      </c>
    </row>
    <row r="885" spans="1:11" x14ac:dyDescent="0.5">
      <c r="A885" t="s">
        <v>434</v>
      </c>
      <c r="B885">
        <v>177</v>
      </c>
      <c r="C885">
        <v>41</v>
      </c>
      <c r="D885">
        <v>4</v>
      </c>
      <c r="E885" t="s">
        <v>23</v>
      </c>
      <c r="F885" t="s">
        <v>142</v>
      </c>
      <c r="G885" t="s">
        <v>82</v>
      </c>
      <c r="H885" s="1">
        <f>VLOOKUP(A885, [1]Orders!A:B, 2, FALSE)</f>
        <v>43107</v>
      </c>
      <c r="I885" t="str">
        <f>VLOOKUP(A885, [1]Orders!A:E, 3, FALSE)</f>
        <v>Jaideep</v>
      </c>
      <c r="J885" t="str">
        <f>VLOOKUP(A885, [1]Orders!A:E, 4, FALSE)</f>
        <v>Nagaland</v>
      </c>
      <c r="K885" t="str">
        <f>VLOOKUP(A885, [1]Orders!A:E, 5, FALSE)</f>
        <v>Kohima</v>
      </c>
    </row>
    <row r="886" spans="1:11" x14ac:dyDescent="0.5">
      <c r="A886" t="s">
        <v>104</v>
      </c>
      <c r="B886">
        <v>106</v>
      </c>
      <c r="C886">
        <v>15</v>
      </c>
      <c r="D886">
        <v>7</v>
      </c>
      <c r="E886" t="s">
        <v>23</v>
      </c>
      <c r="F886" t="s">
        <v>30</v>
      </c>
      <c r="G886" t="s">
        <v>19</v>
      </c>
      <c r="H886" s="1">
        <f>VLOOKUP(A886, [1]Orders!A:B, 2, FALSE)</f>
        <v>43333</v>
      </c>
      <c r="I886" t="str">
        <f>VLOOKUP(A886, [1]Orders!A:E, 3, FALSE)</f>
        <v>Vishakha</v>
      </c>
      <c r="J886" t="str">
        <f>VLOOKUP(A886, [1]Orders!A:E, 4, FALSE)</f>
        <v>Madhya Pradesh</v>
      </c>
      <c r="K886" t="str">
        <f>VLOOKUP(A886, [1]Orders!A:E, 5, FALSE)</f>
        <v>Indore</v>
      </c>
    </row>
    <row r="887" spans="1:11" x14ac:dyDescent="0.5">
      <c r="A887" t="s">
        <v>54</v>
      </c>
      <c r="B887">
        <v>41</v>
      </c>
      <c r="C887">
        <v>-14</v>
      </c>
      <c r="D887">
        <v>5</v>
      </c>
      <c r="E887" t="s">
        <v>23</v>
      </c>
      <c r="F887" t="s">
        <v>63</v>
      </c>
      <c r="G887" t="s">
        <v>28</v>
      </c>
      <c r="H887" s="1">
        <f>VLOOKUP(A887, [1]Orders!A:B, 2, FALSE)</f>
        <v>43330</v>
      </c>
      <c r="I887" t="str">
        <f>VLOOKUP(A887, [1]Orders!A:E, 3, FALSE)</f>
        <v>Akshay</v>
      </c>
      <c r="J887" t="str">
        <f>VLOOKUP(A887, [1]Orders!A:E, 4, FALSE)</f>
        <v>Bihar</v>
      </c>
      <c r="K887" t="str">
        <f>VLOOKUP(A887, [1]Orders!A:E, 5, FALSE)</f>
        <v>Patna</v>
      </c>
    </row>
    <row r="888" spans="1:11" x14ac:dyDescent="0.5">
      <c r="A888" t="s">
        <v>117</v>
      </c>
      <c r="B888">
        <v>168</v>
      </c>
      <c r="C888">
        <v>-10</v>
      </c>
      <c r="D888">
        <v>3</v>
      </c>
      <c r="E888" t="s">
        <v>8</v>
      </c>
      <c r="F888" t="s">
        <v>73</v>
      </c>
      <c r="G888" t="s">
        <v>28</v>
      </c>
      <c r="H888" s="1">
        <f>VLOOKUP(A888, [1]Orders!A:B, 2, FALSE)</f>
        <v>43228</v>
      </c>
      <c r="I888" t="str">
        <f>VLOOKUP(A888, [1]Orders!A:E, 3, FALSE)</f>
        <v>Farah</v>
      </c>
      <c r="J888" t="str">
        <f>VLOOKUP(A888, [1]Orders!A:E, 4, FALSE)</f>
        <v>Nagaland</v>
      </c>
      <c r="K888" t="str">
        <f>VLOOKUP(A888, [1]Orders!A:E, 5, FALSE)</f>
        <v>Kohima</v>
      </c>
    </row>
    <row r="889" spans="1:11" x14ac:dyDescent="0.5">
      <c r="A889" t="s">
        <v>139</v>
      </c>
      <c r="B889">
        <v>60</v>
      </c>
      <c r="C889">
        <v>21</v>
      </c>
      <c r="D889">
        <v>4</v>
      </c>
      <c r="E889" t="s">
        <v>23</v>
      </c>
      <c r="F889" t="s">
        <v>57</v>
      </c>
      <c r="G889" t="s">
        <v>10</v>
      </c>
      <c r="H889" s="1">
        <f>VLOOKUP(A889, [1]Orders!A:B, 2, FALSE)</f>
        <v>43389</v>
      </c>
      <c r="I889" t="str">
        <f>VLOOKUP(A889, [1]Orders!A:E, 3, FALSE)</f>
        <v>Ajay</v>
      </c>
      <c r="J889" t="str">
        <f>VLOOKUP(A889, [1]Orders!A:E, 4, FALSE)</f>
        <v>West Bengal</v>
      </c>
      <c r="K889" t="str">
        <f>VLOOKUP(A889, [1]Orders!A:E, 5, FALSE)</f>
        <v>Kolkata</v>
      </c>
    </row>
    <row r="890" spans="1:11" x14ac:dyDescent="0.5">
      <c r="A890" t="s">
        <v>435</v>
      </c>
      <c r="B890">
        <v>31</v>
      </c>
      <c r="C890">
        <v>-11</v>
      </c>
      <c r="D890">
        <v>4</v>
      </c>
      <c r="E890" t="s">
        <v>23</v>
      </c>
      <c r="F890" t="s">
        <v>57</v>
      </c>
      <c r="G890" t="s">
        <v>10</v>
      </c>
      <c r="H890" s="1">
        <f>VLOOKUP(A890, [1]Orders!A:B, 2, FALSE)</f>
        <v>43282</v>
      </c>
      <c r="I890" t="str">
        <f>VLOOKUP(A890, [1]Orders!A:E, 3, FALSE)</f>
        <v>Swetlana</v>
      </c>
      <c r="J890" t="str">
        <f>VLOOKUP(A890, [1]Orders!A:E, 4, FALSE)</f>
        <v>Goa</v>
      </c>
      <c r="K890" t="str">
        <f>VLOOKUP(A890, [1]Orders!A:E, 5, FALSE)</f>
        <v>Goa</v>
      </c>
    </row>
    <row r="891" spans="1:11" x14ac:dyDescent="0.5">
      <c r="A891" t="s">
        <v>228</v>
      </c>
      <c r="B891">
        <v>179</v>
      </c>
      <c r="C891">
        <v>0</v>
      </c>
      <c r="D891">
        <v>2</v>
      </c>
      <c r="E891" t="s">
        <v>23</v>
      </c>
      <c r="F891" t="s">
        <v>26</v>
      </c>
      <c r="G891" t="s">
        <v>82</v>
      </c>
      <c r="H891" s="1">
        <f>VLOOKUP(A891, [1]Orders!A:B, 2, FALSE)</f>
        <v>43175</v>
      </c>
      <c r="I891" t="str">
        <f>VLOOKUP(A891, [1]Orders!A:E, 3, FALSE)</f>
        <v>Ankita</v>
      </c>
      <c r="J891" t="str">
        <f>VLOOKUP(A891, [1]Orders!A:E, 4, FALSE)</f>
        <v>Maharashtra</v>
      </c>
      <c r="K891" t="str">
        <f>VLOOKUP(A891, [1]Orders!A:E, 5, FALSE)</f>
        <v>Mumbai</v>
      </c>
    </row>
    <row r="892" spans="1:11" x14ac:dyDescent="0.5">
      <c r="A892" t="s">
        <v>172</v>
      </c>
      <c r="B892">
        <v>106</v>
      </c>
      <c r="C892">
        <v>12</v>
      </c>
      <c r="D892">
        <v>3</v>
      </c>
      <c r="E892" t="s">
        <v>23</v>
      </c>
      <c r="F892" t="s">
        <v>24</v>
      </c>
      <c r="G892" t="s">
        <v>19</v>
      </c>
      <c r="H892" s="1">
        <f>VLOOKUP(A892, [1]Orders!A:B, 2, FALSE)</f>
        <v>43378</v>
      </c>
      <c r="I892" t="str">
        <f>VLOOKUP(A892, [1]Orders!A:E, 3, FALSE)</f>
        <v>Shivanshu</v>
      </c>
      <c r="J892" t="str">
        <f>VLOOKUP(A892, [1]Orders!A:E, 4, FALSE)</f>
        <v>Madhya Pradesh</v>
      </c>
      <c r="K892" t="str">
        <f>VLOOKUP(A892, [1]Orders!A:E, 5, FALSE)</f>
        <v>Indore</v>
      </c>
    </row>
    <row r="893" spans="1:11" x14ac:dyDescent="0.5">
      <c r="A893" t="s">
        <v>294</v>
      </c>
      <c r="B893">
        <v>60</v>
      </c>
      <c r="C893">
        <v>13</v>
      </c>
      <c r="D893">
        <v>2</v>
      </c>
      <c r="E893" t="s">
        <v>23</v>
      </c>
      <c r="F893" t="s">
        <v>81</v>
      </c>
      <c r="G893" t="s">
        <v>10</v>
      </c>
      <c r="H893" s="1">
        <f>VLOOKUP(A893, [1]Orders!A:B, 2, FALSE)</f>
        <v>43180</v>
      </c>
      <c r="I893" t="str">
        <f>VLOOKUP(A893, [1]Orders!A:E, 3, FALSE)</f>
        <v>Jahan</v>
      </c>
      <c r="J893" t="str">
        <f>VLOOKUP(A893, [1]Orders!A:E, 4, FALSE)</f>
        <v>Madhya Pradesh</v>
      </c>
      <c r="K893" t="str">
        <f>VLOOKUP(A893, [1]Orders!A:E, 5, FALSE)</f>
        <v>Bhopal</v>
      </c>
    </row>
    <row r="894" spans="1:11" x14ac:dyDescent="0.5">
      <c r="A894" t="s">
        <v>149</v>
      </c>
      <c r="B894">
        <v>180</v>
      </c>
      <c r="C894">
        <v>5</v>
      </c>
      <c r="D894">
        <v>3</v>
      </c>
      <c r="E894" t="s">
        <v>23</v>
      </c>
      <c r="F894" t="s">
        <v>24</v>
      </c>
      <c r="G894" t="s">
        <v>82</v>
      </c>
      <c r="H894" s="1">
        <f>VLOOKUP(A894, [1]Orders!A:B, 2, FALSE)</f>
        <v>43193</v>
      </c>
      <c r="I894" t="str">
        <f>VLOOKUP(A894, [1]Orders!A:E, 3, FALSE)</f>
        <v>Jahan</v>
      </c>
      <c r="J894" t="str">
        <f>VLOOKUP(A894, [1]Orders!A:E, 4, FALSE)</f>
        <v>Madhya Pradesh</v>
      </c>
      <c r="K894" t="str">
        <f>VLOOKUP(A894, [1]Orders!A:E, 5, FALSE)</f>
        <v>Bhopal</v>
      </c>
    </row>
    <row r="895" spans="1:11" x14ac:dyDescent="0.5">
      <c r="A895" t="s">
        <v>134</v>
      </c>
      <c r="B895">
        <v>60</v>
      </c>
      <c r="C895">
        <v>-10</v>
      </c>
      <c r="D895">
        <v>2</v>
      </c>
      <c r="E895" t="s">
        <v>12</v>
      </c>
      <c r="F895" t="s">
        <v>131</v>
      </c>
      <c r="G895" t="s">
        <v>10</v>
      </c>
      <c r="H895" s="1">
        <f>VLOOKUP(A895, [1]Orders!A:B, 2, FALSE)</f>
        <v>43444</v>
      </c>
      <c r="I895" t="str">
        <f>VLOOKUP(A895, [1]Orders!A:E, 3, FALSE)</f>
        <v>Amlan</v>
      </c>
      <c r="J895" t="str">
        <f>VLOOKUP(A895, [1]Orders!A:E, 4, FALSE)</f>
        <v>Madhya Pradesh</v>
      </c>
      <c r="K895" t="str">
        <f>VLOOKUP(A895, [1]Orders!A:E, 5, FALSE)</f>
        <v>Indore</v>
      </c>
    </row>
    <row r="896" spans="1:11" x14ac:dyDescent="0.5">
      <c r="A896" t="s">
        <v>389</v>
      </c>
      <c r="B896">
        <v>59</v>
      </c>
      <c r="C896">
        <v>25</v>
      </c>
      <c r="D896">
        <v>3</v>
      </c>
      <c r="E896" t="s">
        <v>23</v>
      </c>
      <c r="F896" t="s">
        <v>57</v>
      </c>
      <c r="G896" t="s">
        <v>10</v>
      </c>
      <c r="H896" s="1">
        <f>VLOOKUP(A896, [1]Orders!A:B, 2, FALSE)</f>
        <v>43105</v>
      </c>
      <c r="I896" t="str">
        <f>VLOOKUP(A896, [1]Orders!A:E, 3, FALSE)</f>
        <v>Shikhar</v>
      </c>
      <c r="J896" t="str">
        <f>VLOOKUP(A896, [1]Orders!A:E, 4, FALSE)</f>
        <v>Himachal Pradesh</v>
      </c>
      <c r="K896" t="str">
        <f>VLOOKUP(A896, [1]Orders!A:E, 5, FALSE)</f>
        <v>Simla</v>
      </c>
    </row>
    <row r="897" spans="1:11" x14ac:dyDescent="0.5">
      <c r="A897" t="s">
        <v>84</v>
      </c>
      <c r="B897">
        <v>170</v>
      </c>
      <c r="C897">
        <v>73</v>
      </c>
      <c r="D897">
        <v>2</v>
      </c>
      <c r="E897" t="s">
        <v>8</v>
      </c>
      <c r="F897" t="s">
        <v>73</v>
      </c>
      <c r="G897" t="s">
        <v>28</v>
      </c>
      <c r="H897" s="1">
        <f>VLOOKUP(A897, [1]Orders!A:B, 2, FALSE)</f>
        <v>43422</v>
      </c>
      <c r="I897" t="str">
        <f>VLOOKUP(A897, [1]Orders!A:E, 3, FALSE)</f>
        <v>Vikash</v>
      </c>
      <c r="J897" t="str">
        <f>VLOOKUP(A897, [1]Orders!A:E, 4, FALSE)</f>
        <v>Goa</v>
      </c>
      <c r="K897" t="str">
        <f>VLOOKUP(A897, [1]Orders!A:E, 5, FALSE)</f>
        <v>Goa</v>
      </c>
    </row>
    <row r="898" spans="1:11" x14ac:dyDescent="0.5">
      <c r="A898" t="s">
        <v>394</v>
      </c>
      <c r="B898">
        <v>59</v>
      </c>
      <c r="C898">
        <v>10</v>
      </c>
      <c r="D898">
        <v>2</v>
      </c>
      <c r="E898" t="s">
        <v>23</v>
      </c>
      <c r="F898" t="s">
        <v>30</v>
      </c>
      <c r="G898" t="s">
        <v>10</v>
      </c>
      <c r="H898" s="1">
        <f>VLOOKUP(A898, [1]Orders!A:B, 2, FALSE)</f>
        <v>43117</v>
      </c>
      <c r="I898" t="str">
        <f>VLOOKUP(A898, [1]Orders!A:E, 3, FALSE)</f>
        <v>Shreya</v>
      </c>
      <c r="J898" t="str">
        <f>VLOOKUP(A898, [1]Orders!A:E, 4, FALSE)</f>
        <v>Maharashtra</v>
      </c>
      <c r="K898" t="str">
        <f>VLOOKUP(A898, [1]Orders!A:E, 5, FALSE)</f>
        <v>Mumbai</v>
      </c>
    </row>
    <row r="899" spans="1:11" x14ac:dyDescent="0.5">
      <c r="A899" t="s">
        <v>308</v>
      </c>
      <c r="B899">
        <v>24</v>
      </c>
      <c r="C899">
        <v>-21</v>
      </c>
      <c r="D899">
        <v>7</v>
      </c>
      <c r="E899" t="s">
        <v>23</v>
      </c>
      <c r="F899" t="s">
        <v>43</v>
      </c>
      <c r="G899" t="s">
        <v>10</v>
      </c>
      <c r="H899" s="1">
        <f>VLOOKUP(A899, [1]Orders!A:B, 2, FALSE)</f>
        <v>43228</v>
      </c>
      <c r="I899" t="str">
        <f>VLOOKUP(A899, [1]Orders!A:E, 3, FALSE)</f>
        <v>Tushina</v>
      </c>
      <c r="J899" t="str">
        <f>VLOOKUP(A899, [1]Orders!A:E, 4, FALSE)</f>
        <v>Goa</v>
      </c>
      <c r="K899" t="str">
        <f>VLOOKUP(A899, [1]Orders!A:E, 5, FALSE)</f>
        <v>Goa</v>
      </c>
    </row>
    <row r="900" spans="1:11" x14ac:dyDescent="0.5">
      <c r="A900" t="s">
        <v>59</v>
      </c>
      <c r="B900">
        <v>105</v>
      </c>
      <c r="C900">
        <v>-26</v>
      </c>
      <c r="D900">
        <v>8</v>
      </c>
      <c r="E900" t="s">
        <v>23</v>
      </c>
      <c r="F900" t="s">
        <v>63</v>
      </c>
      <c r="G900" t="s">
        <v>19</v>
      </c>
      <c r="H900" s="1">
        <f>VLOOKUP(A900, [1]Orders!A:B, 2, FALSE)</f>
        <v>43431</v>
      </c>
      <c r="I900" t="str">
        <f>VLOOKUP(A900, [1]Orders!A:E, 3, FALSE)</f>
        <v>Saptadeep</v>
      </c>
      <c r="J900" t="str">
        <f>VLOOKUP(A900, [1]Orders!A:E, 4, FALSE)</f>
        <v>Gujarat</v>
      </c>
      <c r="K900" t="str">
        <f>VLOOKUP(A900, [1]Orders!A:E, 5, FALSE)</f>
        <v>Surat</v>
      </c>
    </row>
    <row r="901" spans="1:11" x14ac:dyDescent="0.5">
      <c r="A901" t="s">
        <v>243</v>
      </c>
      <c r="B901">
        <v>103</v>
      </c>
      <c r="C901">
        <v>46</v>
      </c>
      <c r="D901">
        <v>2</v>
      </c>
      <c r="E901" t="s">
        <v>23</v>
      </c>
      <c r="F901" t="s">
        <v>26</v>
      </c>
      <c r="G901" t="s">
        <v>19</v>
      </c>
      <c r="H901" s="1">
        <f>VLOOKUP(A901, [1]Orders!A:B, 2, FALSE)</f>
        <v>43187</v>
      </c>
      <c r="I901" t="str">
        <f>VLOOKUP(A901, [1]Orders!A:E, 3, FALSE)</f>
        <v>Atharv</v>
      </c>
      <c r="J901" t="str">
        <f>VLOOKUP(A901, [1]Orders!A:E, 4, FALSE)</f>
        <v>West Bengal</v>
      </c>
      <c r="K901" t="str">
        <f>VLOOKUP(A901, [1]Orders!A:E, 5, FALSE)</f>
        <v>Kolkata</v>
      </c>
    </row>
    <row r="902" spans="1:11" x14ac:dyDescent="0.5">
      <c r="A902" t="s">
        <v>436</v>
      </c>
      <c r="B902">
        <v>171</v>
      </c>
      <c r="C902">
        <v>17</v>
      </c>
      <c r="D902">
        <v>6</v>
      </c>
      <c r="E902" t="s">
        <v>23</v>
      </c>
      <c r="F902" t="s">
        <v>81</v>
      </c>
      <c r="G902" t="s">
        <v>28</v>
      </c>
      <c r="H902" s="1">
        <f>VLOOKUP(A902, [1]Orders!A:B, 2, FALSE)</f>
        <v>43121</v>
      </c>
      <c r="I902" t="str">
        <f>VLOOKUP(A902, [1]Orders!A:E, 3, FALSE)</f>
        <v>Shreyshi</v>
      </c>
      <c r="J902" t="str">
        <f>VLOOKUP(A902, [1]Orders!A:E, 4, FALSE)</f>
        <v>Gujarat</v>
      </c>
      <c r="K902" t="str">
        <f>VLOOKUP(A902, [1]Orders!A:E, 5, FALSE)</f>
        <v>Surat</v>
      </c>
    </row>
    <row r="903" spans="1:11" x14ac:dyDescent="0.5">
      <c r="A903" t="s">
        <v>179</v>
      </c>
      <c r="B903">
        <v>102</v>
      </c>
      <c r="C903">
        <v>13</v>
      </c>
      <c r="D903">
        <v>2</v>
      </c>
      <c r="E903" t="s">
        <v>23</v>
      </c>
      <c r="F903" t="s">
        <v>57</v>
      </c>
      <c r="G903" t="s">
        <v>19</v>
      </c>
      <c r="H903" s="1">
        <f>VLOOKUP(A903, [1]Orders!A:B, 2, FALSE)</f>
        <v>43113</v>
      </c>
      <c r="I903" t="str">
        <f>VLOOKUP(A903, [1]Orders!A:E, 3, FALSE)</f>
        <v>Jesal</v>
      </c>
      <c r="J903" t="str">
        <f>VLOOKUP(A903, [1]Orders!A:E, 4, FALSE)</f>
        <v>West Bengal</v>
      </c>
      <c r="K903" t="str">
        <f>VLOOKUP(A903, [1]Orders!A:E, 5, FALSE)</f>
        <v>Kolkata</v>
      </c>
    </row>
    <row r="904" spans="1:11" x14ac:dyDescent="0.5">
      <c r="A904" t="s">
        <v>171</v>
      </c>
      <c r="B904">
        <v>98</v>
      </c>
      <c r="C904">
        <v>12</v>
      </c>
      <c r="D904">
        <v>2</v>
      </c>
      <c r="E904" t="s">
        <v>23</v>
      </c>
      <c r="F904" t="s">
        <v>30</v>
      </c>
      <c r="G904" t="s">
        <v>19</v>
      </c>
      <c r="H904" s="1">
        <f>VLOOKUP(A904, [1]Orders!A:B, 2, FALSE)</f>
        <v>43412</v>
      </c>
      <c r="I904" t="str">
        <f>VLOOKUP(A904, [1]Orders!A:E, 3, FALSE)</f>
        <v>Abhijeet</v>
      </c>
      <c r="J904" t="str">
        <f>VLOOKUP(A904, [1]Orders!A:E, 4, FALSE)</f>
        <v>Madhya Pradesh</v>
      </c>
      <c r="K904" t="str">
        <f>VLOOKUP(A904, [1]Orders!A:E, 5, FALSE)</f>
        <v>Bhopal</v>
      </c>
    </row>
    <row r="905" spans="1:11" x14ac:dyDescent="0.5">
      <c r="A905" t="s">
        <v>323</v>
      </c>
      <c r="B905">
        <v>59</v>
      </c>
      <c r="C905">
        <v>10</v>
      </c>
      <c r="D905">
        <v>4</v>
      </c>
      <c r="E905" t="s">
        <v>23</v>
      </c>
      <c r="F905" t="s">
        <v>63</v>
      </c>
      <c r="G905" t="s">
        <v>10</v>
      </c>
      <c r="H905" s="1">
        <f>VLOOKUP(A905, [1]Orders!A:B, 2, FALSE)</f>
        <v>43186</v>
      </c>
      <c r="I905" t="str">
        <f>VLOOKUP(A905, [1]Orders!A:E, 3, FALSE)</f>
        <v>Manju</v>
      </c>
      <c r="J905" t="str">
        <f>VLOOKUP(A905, [1]Orders!A:E, 4, FALSE)</f>
        <v>Andhra Pradesh</v>
      </c>
      <c r="K905" t="str">
        <f>VLOOKUP(A905, [1]Orders!A:E, 5, FALSE)</f>
        <v>Hyderabad</v>
      </c>
    </row>
    <row r="906" spans="1:11" x14ac:dyDescent="0.5">
      <c r="A906" t="s">
        <v>328</v>
      </c>
      <c r="B906">
        <v>189</v>
      </c>
      <c r="C906">
        <v>60</v>
      </c>
      <c r="D906">
        <v>4</v>
      </c>
      <c r="E906" t="s">
        <v>12</v>
      </c>
      <c r="F906" t="s">
        <v>131</v>
      </c>
      <c r="G906" t="s">
        <v>82</v>
      </c>
      <c r="H906" s="1">
        <f>VLOOKUP(A906, [1]Orders!A:B, 2, FALSE)</f>
        <v>43114</v>
      </c>
      <c r="I906" t="str">
        <f>VLOOKUP(A906, [1]Orders!A:E, 3, FALSE)</f>
        <v>Trupti</v>
      </c>
      <c r="J906" t="str">
        <f>VLOOKUP(A906, [1]Orders!A:E, 4, FALSE)</f>
        <v>Gujarat</v>
      </c>
      <c r="K906" t="str">
        <f>VLOOKUP(A906, [1]Orders!A:E, 5, FALSE)</f>
        <v>Ahmedabad</v>
      </c>
    </row>
    <row r="907" spans="1:11" x14ac:dyDescent="0.5">
      <c r="A907" t="s">
        <v>437</v>
      </c>
      <c r="B907">
        <v>58</v>
      </c>
      <c r="C907">
        <v>-52</v>
      </c>
      <c r="D907">
        <v>3</v>
      </c>
      <c r="E907" t="s">
        <v>12</v>
      </c>
      <c r="F907" t="s">
        <v>13</v>
      </c>
      <c r="G907" t="s">
        <v>10</v>
      </c>
      <c r="H907" s="1">
        <f>VLOOKUP(A907, [1]Orders!A:B, 2, FALSE)</f>
        <v>43339</v>
      </c>
      <c r="I907" t="str">
        <f>VLOOKUP(A907, [1]Orders!A:E, 3, FALSE)</f>
        <v>Noshiba</v>
      </c>
      <c r="J907" t="str">
        <f>VLOOKUP(A907, [1]Orders!A:E, 4, FALSE)</f>
        <v>Gujarat</v>
      </c>
      <c r="K907" t="str">
        <f>VLOOKUP(A907, [1]Orders!A:E, 5, FALSE)</f>
        <v>Ahmedabad</v>
      </c>
    </row>
    <row r="908" spans="1:11" x14ac:dyDescent="0.5">
      <c r="A908" t="s">
        <v>125</v>
      </c>
      <c r="B908">
        <v>60</v>
      </c>
      <c r="C908">
        <v>3</v>
      </c>
      <c r="D908">
        <v>3</v>
      </c>
      <c r="E908" t="s">
        <v>23</v>
      </c>
      <c r="F908" t="s">
        <v>26</v>
      </c>
      <c r="G908" t="s">
        <v>28</v>
      </c>
      <c r="H908" s="1">
        <f>VLOOKUP(A908, [1]Orders!A:B, 2, FALSE)</f>
        <v>43111</v>
      </c>
      <c r="I908" t="str">
        <f>VLOOKUP(A908, [1]Orders!A:E, 3, FALSE)</f>
        <v>Mhatre</v>
      </c>
      <c r="J908" t="str">
        <f>VLOOKUP(A908, [1]Orders!A:E, 4, FALSE)</f>
        <v>Madhya Pradesh</v>
      </c>
      <c r="K908" t="str">
        <f>VLOOKUP(A908, [1]Orders!A:E, 5, FALSE)</f>
        <v>Indore</v>
      </c>
    </row>
    <row r="909" spans="1:11" x14ac:dyDescent="0.5">
      <c r="A909" t="s">
        <v>438</v>
      </c>
      <c r="B909">
        <v>58</v>
      </c>
      <c r="C909">
        <v>-8</v>
      </c>
      <c r="D909">
        <v>2</v>
      </c>
      <c r="E909" t="s">
        <v>23</v>
      </c>
      <c r="F909" t="s">
        <v>26</v>
      </c>
      <c r="G909" t="s">
        <v>10</v>
      </c>
      <c r="H909" s="1">
        <f>VLOOKUP(A909, [1]Orders!A:B, 2, FALSE)</f>
        <v>43315</v>
      </c>
      <c r="I909" t="str">
        <f>VLOOKUP(A909, [1]Orders!A:E, 3, FALSE)</f>
        <v>Rane</v>
      </c>
      <c r="J909" t="str">
        <f>VLOOKUP(A909, [1]Orders!A:E, 4, FALSE)</f>
        <v>Maharashtra</v>
      </c>
      <c r="K909" t="str">
        <f>VLOOKUP(A909, [1]Orders!A:E, 5, FALSE)</f>
        <v>Mumbai</v>
      </c>
    </row>
    <row r="910" spans="1:11" x14ac:dyDescent="0.5">
      <c r="A910" t="s">
        <v>198</v>
      </c>
      <c r="B910">
        <v>94</v>
      </c>
      <c r="C910">
        <v>20</v>
      </c>
      <c r="D910">
        <v>2</v>
      </c>
      <c r="E910" t="s">
        <v>12</v>
      </c>
      <c r="F910" t="s">
        <v>131</v>
      </c>
      <c r="G910" t="s">
        <v>28</v>
      </c>
      <c r="H910" s="1">
        <f>VLOOKUP(A910, [1]Orders!A:B, 2, FALSE)</f>
        <v>43387</v>
      </c>
      <c r="I910" t="str">
        <f>VLOOKUP(A910, [1]Orders!A:E, 3, FALSE)</f>
        <v>Sandeep</v>
      </c>
      <c r="J910" t="str">
        <f>VLOOKUP(A910, [1]Orders!A:E, 4, FALSE)</f>
        <v>Madhya Pradesh</v>
      </c>
      <c r="K910" t="str">
        <f>VLOOKUP(A910, [1]Orders!A:E, 5, FALSE)</f>
        <v>Indore</v>
      </c>
    </row>
    <row r="911" spans="1:11" x14ac:dyDescent="0.5">
      <c r="A911" t="s">
        <v>149</v>
      </c>
      <c r="B911">
        <v>193</v>
      </c>
      <c r="C911">
        <v>-166</v>
      </c>
      <c r="D911">
        <v>3</v>
      </c>
      <c r="E911" t="s">
        <v>23</v>
      </c>
      <c r="F911" t="s">
        <v>26</v>
      </c>
      <c r="G911" t="s">
        <v>14</v>
      </c>
      <c r="H911" s="1">
        <f>VLOOKUP(A911, [1]Orders!A:B, 2, FALSE)</f>
        <v>43193</v>
      </c>
      <c r="I911" t="str">
        <f>VLOOKUP(A911, [1]Orders!A:E, 3, FALSE)</f>
        <v>Jahan</v>
      </c>
      <c r="J911" t="str">
        <f>VLOOKUP(A911, [1]Orders!A:E, 4, FALSE)</f>
        <v>Madhya Pradesh</v>
      </c>
      <c r="K911" t="str">
        <f>VLOOKUP(A911, [1]Orders!A:E, 5, FALSE)</f>
        <v>Bhopal</v>
      </c>
    </row>
    <row r="912" spans="1:11" x14ac:dyDescent="0.5">
      <c r="A912" t="s">
        <v>235</v>
      </c>
      <c r="B912">
        <v>199</v>
      </c>
      <c r="C912">
        <v>0</v>
      </c>
      <c r="D912">
        <v>4</v>
      </c>
      <c r="E912" t="s">
        <v>23</v>
      </c>
      <c r="F912" t="s">
        <v>57</v>
      </c>
      <c r="G912" t="s">
        <v>14</v>
      </c>
      <c r="H912" s="1">
        <f>VLOOKUP(A912, [1]Orders!A:B, 2, FALSE)</f>
        <v>43120</v>
      </c>
      <c r="I912" t="str">
        <f>VLOOKUP(A912, [1]Orders!A:E, 3, FALSE)</f>
        <v>Oshin</v>
      </c>
      <c r="J912" t="str">
        <f>VLOOKUP(A912, [1]Orders!A:E, 4, FALSE)</f>
        <v>Maharashtra</v>
      </c>
      <c r="K912" t="str">
        <f>VLOOKUP(A912, [1]Orders!A:E, 5, FALSE)</f>
        <v>Pune</v>
      </c>
    </row>
    <row r="913" spans="1:11" x14ac:dyDescent="0.5">
      <c r="A913" t="s">
        <v>165</v>
      </c>
      <c r="B913">
        <v>202</v>
      </c>
      <c r="C913">
        <v>89</v>
      </c>
      <c r="D913">
        <v>9</v>
      </c>
      <c r="E913" t="s">
        <v>23</v>
      </c>
      <c r="F913" t="s">
        <v>81</v>
      </c>
      <c r="G913" t="s">
        <v>14</v>
      </c>
      <c r="H913" s="1">
        <f>VLOOKUP(A913, [1]Orders!A:B, 2, FALSE)</f>
        <v>43103</v>
      </c>
      <c r="I913" t="str">
        <f>VLOOKUP(A913, [1]Orders!A:E, 3, FALSE)</f>
        <v>Monica</v>
      </c>
      <c r="J913" t="str">
        <f>VLOOKUP(A913, [1]Orders!A:E, 4, FALSE)</f>
        <v>Punjab</v>
      </c>
      <c r="K913" t="str">
        <f>VLOOKUP(A913, [1]Orders!A:E, 5, FALSE)</f>
        <v>Chandigarh</v>
      </c>
    </row>
    <row r="914" spans="1:11" x14ac:dyDescent="0.5">
      <c r="A914" t="s">
        <v>165</v>
      </c>
      <c r="B914">
        <v>58</v>
      </c>
      <c r="C914">
        <v>17</v>
      </c>
      <c r="D914">
        <v>2</v>
      </c>
      <c r="E914" t="s">
        <v>23</v>
      </c>
      <c r="F914" t="s">
        <v>30</v>
      </c>
      <c r="G914" t="s">
        <v>10</v>
      </c>
      <c r="H914" s="1">
        <f>VLOOKUP(A914, [1]Orders!A:B, 2, FALSE)</f>
        <v>43103</v>
      </c>
      <c r="I914" t="str">
        <f>VLOOKUP(A914, [1]Orders!A:E, 3, FALSE)</f>
        <v>Monica</v>
      </c>
      <c r="J914" t="str">
        <f>VLOOKUP(A914, [1]Orders!A:E, 4, FALSE)</f>
        <v>Punjab</v>
      </c>
      <c r="K914" t="str">
        <f>VLOOKUP(A914, [1]Orders!A:E, 5, FALSE)</f>
        <v>Chandigarh</v>
      </c>
    </row>
    <row r="915" spans="1:11" x14ac:dyDescent="0.5">
      <c r="A915" t="s">
        <v>439</v>
      </c>
      <c r="B915">
        <v>57</v>
      </c>
      <c r="C915">
        <v>-28</v>
      </c>
      <c r="D915">
        <v>2</v>
      </c>
      <c r="E915" t="s">
        <v>23</v>
      </c>
      <c r="F915" t="s">
        <v>32</v>
      </c>
      <c r="G915" t="s">
        <v>10</v>
      </c>
      <c r="H915" s="1">
        <f>VLOOKUP(A915, [1]Orders!A:B, 2, FALSE)</f>
        <v>43428</v>
      </c>
      <c r="I915" t="str">
        <f>VLOOKUP(A915, [1]Orders!A:E, 3, FALSE)</f>
        <v>Siddharth</v>
      </c>
      <c r="J915" t="str">
        <f>VLOOKUP(A915, [1]Orders!A:E, 4, FALSE)</f>
        <v>Madhya Pradesh</v>
      </c>
      <c r="K915" t="str">
        <f>VLOOKUP(A915, [1]Orders!A:E, 5, FALSE)</f>
        <v>Indore</v>
      </c>
    </row>
    <row r="916" spans="1:11" x14ac:dyDescent="0.5">
      <c r="A916" t="s">
        <v>134</v>
      </c>
      <c r="B916">
        <v>204</v>
      </c>
      <c r="C916">
        <v>-94</v>
      </c>
      <c r="D916">
        <v>4</v>
      </c>
      <c r="E916" t="s">
        <v>23</v>
      </c>
      <c r="F916" t="s">
        <v>30</v>
      </c>
      <c r="G916" t="s">
        <v>14</v>
      </c>
      <c r="H916" s="1">
        <f>VLOOKUP(A916, [1]Orders!A:B, 2, FALSE)</f>
        <v>43444</v>
      </c>
      <c r="I916" t="str">
        <f>VLOOKUP(A916, [1]Orders!A:E, 3, FALSE)</f>
        <v>Amlan</v>
      </c>
      <c r="J916" t="str">
        <f>VLOOKUP(A916, [1]Orders!A:E, 4, FALSE)</f>
        <v>Madhya Pradesh</v>
      </c>
      <c r="K916" t="str">
        <f>VLOOKUP(A916, [1]Orders!A:E, 5, FALSE)</f>
        <v>Indore</v>
      </c>
    </row>
    <row r="917" spans="1:11" x14ac:dyDescent="0.5">
      <c r="A917" t="s">
        <v>440</v>
      </c>
      <c r="B917">
        <v>98</v>
      </c>
      <c r="C917">
        <v>-12</v>
      </c>
      <c r="D917">
        <v>2</v>
      </c>
      <c r="E917" t="s">
        <v>8</v>
      </c>
      <c r="F917" t="s">
        <v>9</v>
      </c>
      <c r="G917" t="s">
        <v>19</v>
      </c>
      <c r="H917" s="1">
        <f>VLOOKUP(A917, [1]Orders!A:B, 2, FALSE)</f>
        <v>43203</v>
      </c>
      <c r="I917" t="str">
        <f>VLOOKUP(A917, [1]Orders!A:E, 3, FALSE)</f>
        <v>Vandana</v>
      </c>
      <c r="J917" t="str">
        <f>VLOOKUP(A917, [1]Orders!A:E, 4, FALSE)</f>
        <v>Himachal Pradesh</v>
      </c>
      <c r="K917" t="str">
        <f>VLOOKUP(A917, [1]Orders!A:E, 5, FALSE)</f>
        <v>Simla</v>
      </c>
    </row>
    <row r="918" spans="1:11" x14ac:dyDescent="0.5">
      <c r="A918" t="s">
        <v>141</v>
      </c>
      <c r="B918">
        <v>22</v>
      </c>
      <c r="C918">
        <v>-12</v>
      </c>
      <c r="D918">
        <v>3</v>
      </c>
      <c r="E918" t="s">
        <v>23</v>
      </c>
      <c r="F918" t="s">
        <v>57</v>
      </c>
      <c r="G918" t="s">
        <v>10</v>
      </c>
      <c r="H918" s="1">
        <f>VLOOKUP(A918, [1]Orders!A:B, 2, FALSE)</f>
        <v>43326</v>
      </c>
      <c r="I918" t="str">
        <f>VLOOKUP(A918, [1]Orders!A:E, 3, FALSE)</f>
        <v>Priyanshu</v>
      </c>
      <c r="J918" t="str">
        <f>VLOOKUP(A918, [1]Orders!A:E, 4, FALSE)</f>
        <v>Madhya Pradesh</v>
      </c>
      <c r="K918" t="str">
        <f>VLOOKUP(A918, [1]Orders!A:E, 5, FALSE)</f>
        <v>Indore</v>
      </c>
    </row>
    <row r="919" spans="1:11" x14ac:dyDescent="0.5">
      <c r="A919" t="s">
        <v>113</v>
      </c>
      <c r="B919">
        <v>97</v>
      </c>
      <c r="C919">
        <v>17</v>
      </c>
      <c r="D919">
        <v>2</v>
      </c>
      <c r="E919" t="s">
        <v>23</v>
      </c>
      <c r="F919" t="s">
        <v>57</v>
      </c>
      <c r="G919" t="s">
        <v>19</v>
      </c>
      <c r="H919" s="1">
        <f>VLOOKUP(A919, [1]Orders!A:B, 2, FALSE)</f>
        <v>43411</v>
      </c>
      <c r="I919" t="str">
        <f>VLOOKUP(A919, [1]Orders!A:E, 3, FALSE)</f>
        <v>Soumyabrata</v>
      </c>
      <c r="J919" t="str">
        <f>VLOOKUP(A919, [1]Orders!A:E, 4, FALSE)</f>
        <v>Andhra Pradesh</v>
      </c>
      <c r="K919" t="str">
        <f>VLOOKUP(A919, [1]Orders!A:E, 5, FALSE)</f>
        <v>Hyderabad</v>
      </c>
    </row>
    <row r="920" spans="1:11" x14ac:dyDescent="0.5">
      <c r="A920" t="s">
        <v>332</v>
      </c>
      <c r="B920">
        <v>57</v>
      </c>
      <c r="C920">
        <v>24</v>
      </c>
      <c r="D920">
        <v>5</v>
      </c>
      <c r="E920" t="s">
        <v>23</v>
      </c>
      <c r="F920" t="s">
        <v>63</v>
      </c>
      <c r="G920" t="s">
        <v>10</v>
      </c>
      <c r="H920" s="1">
        <f>VLOOKUP(A920, [1]Orders!A:B, 2, FALSE)</f>
        <v>43140</v>
      </c>
      <c r="I920" t="str">
        <f>VLOOKUP(A920, [1]Orders!A:E, 3, FALSE)</f>
        <v>Kalyani</v>
      </c>
      <c r="J920" t="str">
        <f>VLOOKUP(A920, [1]Orders!A:E, 4, FALSE)</f>
        <v>Tamil Nadu</v>
      </c>
      <c r="K920" t="str">
        <f>VLOOKUP(A920, [1]Orders!A:E, 5, FALSE)</f>
        <v>Chennai</v>
      </c>
    </row>
    <row r="921" spans="1:11" x14ac:dyDescent="0.5">
      <c r="A921" t="s">
        <v>441</v>
      </c>
      <c r="B921">
        <v>97</v>
      </c>
      <c r="C921">
        <v>14</v>
      </c>
      <c r="D921">
        <v>2</v>
      </c>
      <c r="E921" t="s">
        <v>23</v>
      </c>
      <c r="F921" t="s">
        <v>81</v>
      </c>
      <c r="G921" t="s">
        <v>19</v>
      </c>
      <c r="H921" s="1">
        <f>VLOOKUP(A921, [1]Orders!A:B, 2, FALSE)</f>
        <v>43186</v>
      </c>
      <c r="I921" t="str">
        <f>VLOOKUP(A921, [1]Orders!A:E, 3, FALSE)</f>
        <v>Ramesh</v>
      </c>
      <c r="J921" t="str">
        <f>VLOOKUP(A921, [1]Orders!A:E, 4, FALSE)</f>
        <v>Gujarat</v>
      </c>
      <c r="K921" t="str">
        <f>VLOOKUP(A921, [1]Orders!A:E, 5, FALSE)</f>
        <v>Ahmedabad</v>
      </c>
    </row>
    <row r="922" spans="1:11" x14ac:dyDescent="0.5">
      <c r="A922" t="s">
        <v>203</v>
      </c>
      <c r="B922">
        <v>97</v>
      </c>
      <c r="C922">
        <v>17</v>
      </c>
      <c r="D922">
        <v>2</v>
      </c>
      <c r="E922" t="s">
        <v>23</v>
      </c>
      <c r="F922" t="s">
        <v>57</v>
      </c>
      <c r="G922" t="s">
        <v>19</v>
      </c>
      <c r="H922" s="1">
        <f>VLOOKUP(A922, [1]Orders!A:B, 2, FALSE)</f>
        <v>43265</v>
      </c>
      <c r="I922" t="str">
        <f>VLOOKUP(A922, [1]Orders!A:E, 3, FALSE)</f>
        <v>Bhaggyasree</v>
      </c>
      <c r="J922" t="str">
        <f>VLOOKUP(A922, [1]Orders!A:E, 4, FALSE)</f>
        <v>Maharashtra</v>
      </c>
      <c r="K922" t="str">
        <f>VLOOKUP(A922, [1]Orders!A:E, 5, FALSE)</f>
        <v>Mumbai</v>
      </c>
    </row>
    <row r="923" spans="1:11" x14ac:dyDescent="0.5">
      <c r="A923" t="s">
        <v>121</v>
      </c>
      <c r="B923">
        <v>96</v>
      </c>
      <c r="C923">
        <v>22</v>
      </c>
      <c r="D923">
        <v>5</v>
      </c>
      <c r="E923" t="s">
        <v>23</v>
      </c>
      <c r="F923" t="s">
        <v>57</v>
      </c>
      <c r="G923" t="s">
        <v>19</v>
      </c>
      <c r="H923" s="1">
        <f>VLOOKUP(A923, [1]Orders!A:B, 2, FALSE)</f>
        <v>43303</v>
      </c>
      <c r="I923" t="str">
        <f>VLOOKUP(A923, [1]Orders!A:E, 3, FALSE)</f>
        <v>Rishabh</v>
      </c>
      <c r="J923" t="str">
        <f>VLOOKUP(A923, [1]Orders!A:E, 4, FALSE)</f>
        <v>Rajasthan</v>
      </c>
      <c r="K923" t="str">
        <f>VLOOKUP(A923, [1]Orders!A:E, 5, FALSE)</f>
        <v>Jaipur</v>
      </c>
    </row>
    <row r="924" spans="1:11" x14ac:dyDescent="0.5">
      <c r="A924" t="s">
        <v>146</v>
      </c>
      <c r="B924">
        <v>94</v>
      </c>
      <c r="C924">
        <v>27</v>
      </c>
      <c r="D924">
        <v>2</v>
      </c>
      <c r="E924" t="s">
        <v>23</v>
      </c>
      <c r="F924" t="s">
        <v>142</v>
      </c>
      <c r="G924" t="s">
        <v>19</v>
      </c>
      <c r="H924" s="1">
        <f>VLOOKUP(A924, [1]Orders!A:B, 2, FALSE)</f>
        <v>43432</v>
      </c>
      <c r="I924" t="str">
        <f>VLOOKUP(A924, [1]Orders!A:E, 3, FALSE)</f>
        <v>Shatayu</v>
      </c>
      <c r="J924" t="str">
        <f>VLOOKUP(A924, [1]Orders!A:E, 4, FALSE)</f>
        <v>Madhya Pradesh</v>
      </c>
      <c r="K924" t="str">
        <f>VLOOKUP(A924, [1]Orders!A:E, 5, FALSE)</f>
        <v>Indore</v>
      </c>
    </row>
    <row r="925" spans="1:11" x14ac:dyDescent="0.5">
      <c r="A925" t="s">
        <v>292</v>
      </c>
      <c r="B925">
        <v>26</v>
      </c>
      <c r="C925">
        <v>-17</v>
      </c>
      <c r="D925">
        <v>1</v>
      </c>
      <c r="E925" t="s">
        <v>23</v>
      </c>
      <c r="F925" t="s">
        <v>57</v>
      </c>
      <c r="G925" t="s">
        <v>10</v>
      </c>
      <c r="H925" s="1">
        <f>VLOOKUP(A925, [1]Orders!A:B, 2, FALSE)</f>
        <v>43136</v>
      </c>
      <c r="I925" t="str">
        <f>VLOOKUP(A925, [1]Orders!A:E, 3, FALSE)</f>
        <v>Diwakar</v>
      </c>
      <c r="J925" t="str">
        <f>VLOOKUP(A925, [1]Orders!A:E, 4, FALSE)</f>
        <v>Delhi</v>
      </c>
      <c r="K925" t="str">
        <f>VLOOKUP(A925, [1]Orders!A:E, 5, FALSE)</f>
        <v>Delhi</v>
      </c>
    </row>
    <row r="926" spans="1:11" x14ac:dyDescent="0.5">
      <c r="A926" t="s">
        <v>442</v>
      </c>
      <c r="B926">
        <v>93</v>
      </c>
      <c r="C926">
        <v>44</v>
      </c>
      <c r="D926">
        <v>2</v>
      </c>
      <c r="E926" t="s">
        <v>23</v>
      </c>
      <c r="F926" t="s">
        <v>57</v>
      </c>
      <c r="G926" t="s">
        <v>19</v>
      </c>
      <c r="H926" s="1">
        <f>VLOOKUP(A926, [1]Orders!A:B, 2, FALSE)</f>
        <v>43143</v>
      </c>
      <c r="I926" t="str">
        <f>VLOOKUP(A926, [1]Orders!A:E, 3, FALSE)</f>
        <v>Bharat</v>
      </c>
      <c r="J926" t="str">
        <f>VLOOKUP(A926, [1]Orders!A:E, 4, FALSE)</f>
        <v>Gujarat</v>
      </c>
      <c r="K926" t="str">
        <f>VLOOKUP(A926, [1]Orders!A:E, 5, FALSE)</f>
        <v>Ahmedabad</v>
      </c>
    </row>
    <row r="927" spans="1:11" x14ac:dyDescent="0.5">
      <c r="A927" t="s">
        <v>54</v>
      </c>
      <c r="B927">
        <v>93</v>
      </c>
      <c r="C927">
        <v>-65</v>
      </c>
      <c r="D927">
        <v>4</v>
      </c>
      <c r="E927" t="s">
        <v>23</v>
      </c>
      <c r="F927" t="s">
        <v>57</v>
      </c>
      <c r="G927" t="s">
        <v>19</v>
      </c>
      <c r="H927" s="1">
        <f>VLOOKUP(A927, [1]Orders!A:B, 2, FALSE)</f>
        <v>43330</v>
      </c>
      <c r="I927" t="str">
        <f>VLOOKUP(A927, [1]Orders!A:E, 3, FALSE)</f>
        <v>Akshay</v>
      </c>
      <c r="J927" t="str">
        <f>VLOOKUP(A927, [1]Orders!A:E, 4, FALSE)</f>
        <v>Bihar</v>
      </c>
      <c r="K927" t="str">
        <f>VLOOKUP(A927, [1]Orders!A:E, 5, FALSE)</f>
        <v>Patna</v>
      </c>
    </row>
    <row r="928" spans="1:11" x14ac:dyDescent="0.5">
      <c r="A928" t="s">
        <v>254</v>
      </c>
      <c r="B928">
        <v>92</v>
      </c>
      <c r="C928">
        <v>5</v>
      </c>
      <c r="D928">
        <v>6</v>
      </c>
      <c r="E928" t="s">
        <v>23</v>
      </c>
      <c r="F928" t="s">
        <v>30</v>
      </c>
      <c r="G928" t="s">
        <v>19</v>
      </c>
      <c r="H928" s="1">
        <f>VLOOKUP(A928, [1]Orders!A:B, 2, FALSE)</f>
        <v>43152</v>
      </c>
      <c r="I928" t="str">
        <f>VLOOKUP(A928, [1]Orders!A:E, 3, FALSE)</f>
        <v>Sarita</v>
      </c>
      <c r="J928" t="str">
        <f>VLOOKUP(A928, [1]Orders!A:E, 4, FALSE)</f>
        <v>Maharashtra</v>
      </c>
      <c r="K928" t="str">
        <f>VLOOKUP(A928, [1]Orders!A:E, 5, FALSE)</f>
        <v>Pune</v>
      </c>
    </row>
    <row r="929" spans="1:11" x14ac:dyDescent="0.5">
      <c r="A929" t="s">
        <v>31</v>
      </c>
      <c r="B929">
        <v>57</v>
      </c>
      <c r="C929">
        <v>27</v>
      </c>
      <c r="D929">
        <v>2</v>
      </c>
      <c r="E929" t="s">
        <v>23</v>
      </c>
      <c r="F929" t="s">
        <v>81</v>
      </c>
      <c r="G929" t="s">
        <v>10</v>
      </c>
      <c r="H929" s="1">
        <f>VLOOKUP(A929, [1]Orders!A:B, 2, FALSE)</f>
        <v>43410</v>
      </c>
      <c r="I929" t="str">
        <f>VLOOKUP(A929, [1]Orders!A:E, 3, FALSE)</f>
        <v>Kushal</v>
      </c>
      <c r="J929" t="str">
        <f>VLOOKUP(A929, [1]Orders!A:E, 4, FALSE)</f>
        <v>Nagaland</v>
      </c>
      <c r="K929" t="str">
        <f>VLOOKUP(A929, [1]Orders!A:E, 5, FALSE)</f>
        <v>Kohima</v>
      </c>
    </row>
    <row r="930" spans="1:11" x14ac:dyDescent="0.5">
      <c r="A930" t="s">
        <v>170</v>
      </c>
      <c r="B930">
        <v>57</v>
      </c>
      <c r="C930">
        <v>7</v>
      </c>
      <c r="D930">
        <v>3</v>
      </c>
      <c r="E930" t="s">
        <v>12</v>
      </c>
      <c r="F930" t="s">
        <v>131</v>
      </c>
      <c r="G930" t="s">
        <v>10</v>
      </c>
      <c r="H930" s="1">
        <f>VLOOKUP(A930, [1]Orders!A:B, 2, FALSE)</f>
        <v>43424</v>
      </c>
      <c r="I930" t="str">
        <f>VLOOKUP(A930, [1]Orders!A:E, 3, FALSE)</f>
        <v>Pranav</v>
      </c>
      <c r="J930" t="str">
        <f>VLOOKUP(A930, [1]Orders!A:E, 4, FALSE)</f>
        <v>Andhra Pradesh</v>
      </c>
      <c r="K930" t="str">
        <f>VLOOKUP(A930, [1]Orders!A:E, 5, FALSE)</f>
        <v>Hyderabad</v>
      </c>
    </row>
    <row r="931" spans="1:11" x14ac:dyDescent="0.5">
      <c r="A931" t="s">
        <v>443</v>
      </c>
      <c r="B931">
        <v>57</v>
      </c>
      <c r="C931">
        <v>21</v>
      </c>
      <c r="D931">
        <v>4</v>
      </c>
      <c r="E931" t="s">
        <v>23</v>
      </c>
      <c r="F931" t="s">
        <v>63</v>
      </c>
      <c r="G931" t="s">
        <v>10</v>
      </c>
      <c r="H931" s="1">
        <f>VLOOKUP(A931, [1]Orders!A:B, 2, FALSE)</f>
        <v>43180</v>
      </c>
      <c r="I931" t="str">
        <f>VLOOKUP(A931, [1]Orders!A:E, 3, FALSE)</f>
        <v>Bharat</v>
      </c>
      <c r="J931" t="str">
        <f>VLOOKUP(A931, [1]Orders!A:E, 4, FALSE)</f>
        <v>Gujarat</v>
      </c>
      <c r="K931" t="str">
        <f>VLOOKUP(A931, [1]Orders!A:E, 5, FALSE)</f>
        <v>Ahmedabad</v>
      </c>
    </row>
    <row r="932" spans="1:11" x14ac:dyDescent="0.5">
      <c r="A932" t="s">
        <v>271</v>
      </c>
      <c r="B932">
        <v>128</v>
      </c>
      <c r="C932">
        <v>4</v>
      </c>
      <c r="D932">
        <v>3</v>
      </c>
      <c r="E932" t="s">
        <v>23</v>
      </c>
      <c r="F932" t="s">
        <v>26</v>
      </c>
      <c r="G932" t="s">
        <v>10</v>
      </c>
      <c r="H932" s="1">
        <f>VLOOKUP(A932, [1]Orders!A:B, 2, FALSE)</f>
        <v>43419</v>
      </c>
      <c r="I932" t="str">
        <f>VLOOKUP(A932, [1]Orders!A:E, 3, FALSE)</f>
        <v>Aayush</v>
      </c>
      <c r="J932" t="str">
        <f>VLOOKUP(A932, [1]Orders!A:E, 4, FALSE)</f>
        <v>Uttar Pradesh</v>
      </c>
      <c r="K932" t="str">
        <f>VLOOKUP(A932, [1]Orders!A:E, 5, FALSE)</f>
        <v>Lucknow</v>
      </c>
    </row>
    <row r="933" spans="1:11" x14ac:dyDescent="0.5">
      <c r="A933" t="s">
        <v>64</v>
      </c>
      <c r="B933">
        <v>89</v>
      </c>
      <c r="C933">
        <v>-4</v>
      </c>
      <c r="D933">
        <v>5</v>
      </c>
      <c r="E933" t="s">
        <v>23</v>
      </c>
      <c r="F933" t="s">
        <v>26</v>
      </c>
      <c r="G933" t="s">
        <v>19</v>
      </c>
      <c r="H933" s="1">
        <f>VLOOKUP(A933, [1]Orders!A:B, 2, FALSE)</f>
        <v>43373</v>
      </c>
      <c r="I933" t="str">
        <f>VLOOKUP(A933, [1]Orders!A:E, 3, FALSE)</f>
        <v>Sauptik</v>
      </c>
      <c r="J933" t="str">
        <f>VLOOKUP(A933, [1]Orders!A:E, 4, FALSE)</f>
        <v>Madhya Pradesh</v>
      </c>
      <c r="K933" t="str">
        <f>VLOOKUP(A933, [1]Orders!A:E, 5, FALSE)</f>
        <v>Indore</v>
      </c>
    </row>
    <row r="934" spans="1:11" x14ac:dyDescent="0.5">
      <c r="A934" t="s">
        <v>164</v>
      </c>
      <c r="B934">
        <v>221</v>
      </c>
      <c r="C934">
        <v>26</v>
      </c>
      <c r="D934">
        <v>7</v>
      </c>
      <c r="E934" t="s">
        <v>12</v>
      </c>
      <c r="F934" t="s">
        <v>131</v>
      </c>
      <c r="G934" t="s">
        <v>10</v>
      </c>
      <c r="H934" s="1">
        <f>VLOOKUP(A934, [1]Orders!A:B, 2, FALSE)</f>
        <v>43134</v>
      </c>
      <c r="I934" t="str">
        <f>VLOOKUP(A934, [1]Orders!A:E, 3, FALSE)</f>
        <v>Madhav</v>
      </c>
      <c r="J934" t="str">
        <f>VLOOKUP(A934, [1]Orders!A:E, 4, FALSE)</f>
        <v>Delhi</v>
      </c>
      <c r="K934" t="str">
        <f>VLOOKUP(A934, [1]Orders!A:E, 5, FALSE)</f>
        <v>Delhi</v>
      </c>
    </row>
    <row r="935" spans="1:11" x14ac:dyDescent="0.5">
      <c r="A935" t="s">
        <v>272</v>
      </c>
      <c r="B935">
        <v>205</v>
      </c>
      <c r="C935">
        <v>-119</v>
      </c>
      <c r="D935">
        <v>3</v>
      </c>
      <c r="E935" t="s">
        <v>23</v>
      </c>
      <c r="F935" t="s">
        <v>26</v>
      </c>
      <c r="G935" t="s">
        <v>82</v>
      </c>
      <c r="H935" s="1">
        <f>VLOOKUP(A935, [1]Orders!A:B, 2, FALSE)</f>
        <v>43374</v>
      </c>
      <c r="I935" t="str">
        <f>VLOOKUP(A935, [1]Orders!A:E, 3, FALSE)</f>
        <v>Divyansh</v>
      </c>
      <c r="J935" t="str">
        <f>VLOOKUP(A935, [1]Orders!A:E, 4, FALSE)</f>
        <v>Gujarat</v>
      </c>
      <c r="K935" t="str">
        <f>VLOOKUP(A935, [1]Orders!A:E, 5, FALSE)</f>
        <v>Ahmedabad</v>
      </c>
    </row>
    <row r="936" spans="1:11" x14ac:dyDescent="0.5">
      <c r="A936" t="s">
        <v>340</v>
      </c>
      <c r="B936">
        <v>191</v>
      </c>
      <c r="C936">
        <v>51</v>
      </c>
      <c r="D936">
        <v>5</v>
      </c>
      <c r="E936" t="s">
        <v>23</v>
      </c>
      <c r="F936" t="s">
        <v>142</v>
      </c>
      <c r="G936" t="s">
        <v>28</v>
      </c>
      <c r="H936" s="1">
        <f>VLOOKUP(A936, [1]Orders!A:B, 2, FALSE)</f>
        <v>43297</v>
      </c>
      <c r="I936" t="str">
        <f>VLOOKUP(A936, [1]Orders!A:E, 3, FALSE)</f>
        <v>Anchal</v>
      </c>
      <c r="J936" t="str">
        <f>VLOOKUP(A936, [1]Orders!A:E, 4, FALSE)</f>
        <v>Haryana</v>
      </c>
      <c r="K936" t="str">
        <f>VLOOKUP(A936, [1]Orders!A:E, 5, FALSE)</f>
        <v>Chandigarh</v>
      </c>
    </row>
    <row r="937" spans="1:11" x14ac:dyDescent="0.5">
      <c r="A937" t="s">
        <v>211</v>
      </c>
      <c r="B937">
        <v>206</v>
      </c>
      <c r="C937">
        <v>18</v>
      </c>
      <c r="D937">
        <v>4</v>
      </c>
      <c r="E937" t="s">
        <v>23</v>
      </c>
      <c r="F937" t="s">
        <v>30</v>
      </c>
      <c r="G937" t="s">
        <v>82</v>
      </c>
      <c r="H937" s="1">
        <f>VLOOKUP(A937, [1]Orders!A:B, 2, FALSE)</f>
        <v>43169</v>
      </c>
      <c r="I937" t="str">
        <f>VLOOKUP(A937, [1]Orders!A:E, 3, FALSE)</f>
        <v>Sonal</v>
      </c>
      <c r="J937" t="str">
        <f>VLOOKUP(A937, [1]Orders!A:E, 4, FALSE)</f>
        <v>Bihar</v>
      </c>
      <c r="K937" t="str">
        <f>VLOOKUP(A937, [1]Orders!A:E, 5, FALSE)</f>
        <v>Patna</v>
      </c>
    </row>
    <row r="938" spans="1:11" x14ac:dyDescent="0.5">
      <c r="A938" t="s">
        <v>224</v>
      </c>
      <c r="B938">
        <v>56</v>
      </c>
      <c r="C938">
        <v>0</v>
      </c>
      <c r="D938">
        <v>4</v>
      </c>
      <c r="E938" t="s">
        <v>23</v>
      </c>
      <c r="F938" t="s">
        <v>30</v>
      </c>
      <c r="G938" t="s">
        <v>10</v>
      </c>
      <c r="H938" s="1">
        <f>VLOOKUP(A938, [1]Orders!A:B, 2, FALSE)</f>
        <v>43319</v>
      </c>
      <c r="I938" t="str">
        <f>VLOOKUP(A938, [1]Orders!A:E, 3, FALSE)</f>
        <v>Aman</v>
      </c>
      <c r="J938" t="str">
        <f>VLOOKUP(A938, [1]Orders!A:E, 4, FALSE)</f>
        <v>Nagaland</v>
      </c>
      <c r="K938" t="str">
        <f>VLOOKUP(A938, [1]Orders!A:E, 5, FALSE)</f>
        <v>Kohima</v>
      </c>
    </row>
    <row r="939" spans="1:11" x14ac:dyDescent="0.5">
      <c r="A939" t="s">
        <v>234</v>
      </c>
      <c r="B939">
        <v>88</v>
      </c>
      <c r="C939">
        <v>16</v>
      </c>
      <c r="D939">
        <v>4</v>
      </c>
      <c r="E939" t="s">
        <v>23</v>
      </c>
      <c r="F939" t="s">
        <v>57</v>
      </c>
      <c r="G939" t="s">
        <v>19</v>
      </c>
      <c r="H939" s="1">
        <f>VLOOKUP(A939, [1]Orders!A:B, 2, FALSE)</f>
        <v>43412</v>
      </c>
      <c r="I939" t="str">
        <f>VLOOKUP(A939, [1]Orders!A:E, 3, FALSE)</f>
        <v>Shubham</v>
      </c>
      <c r="J939" t="str">
        <f>VLOOKUP(A939, [1]Orders!A:E, 4, FALSE)</f>
        <v>Maharashtra</v>
      </c>
      <c r="K939" t="str">
        <f>VLOOKUP(A939, [1]Orders!A:E, 5, FALSE)</f>
        <v>Pune</v>
      </c>
    </row>
    <row r="940" spans="1:11" x14ac:dyDescent="0.5">
      <c r="A940" t="s">
        <v>326</v>
      </c>
      <c r="B940">
        <v>224</v>
      </c>
      <c r="C940">
        <v>58</v>
      </c>
      <c r="D940">
        <v>3</v>
      </c>
      <c r="E940" t="s">
        <v>8</v>
      </c>
      <c r="F940" t="s">
        <v>21</v>
      </c>
      <c r="G940" t="s">
        <v>28</v>
      </c>
      <c r="H940" s="1">
        <f>VLOOKUP(A940, [1]Orders!A:B, 2, FALSE)</f>
        <v>43324</v>
      </c>
      <c r="I940" t="str">
        <f>VLOOKUP(A940, [1]Orders!A:E, 3, FALSE)</f>
        <v>Nitant</v>
      </c>
      <c r="J940" t="str">
        <f>VLOOKUP(A940, [1]Orders!A:E, 4, FALSE)</f>
        <v>Rajasthan</v>
      </c>
      <c r="K940" t="str">
        <f>VLOOKUP(A940, [1]Orders!A:E, 5, FALSE)</f>
        <v>Jaipur</v>
      </c>
    </row>
    <row r="941" spans="1:11" x14ac:dyDescent="0.5">
      <c r="A941" t="s">
        <v>444</v>
      </c>
      <c r="B941">
        <v>193</v>
      </c>
      <c r="C941">
        <v>8</v>
      </c>
      <c r="D941">
        <v>4</v>
      </c>
      <c r="E941" t="s">
        <v>23</v>
      </c>
      <c r="F941" t="s">
        <v>81</v>
      </c>
      <c r="G941" t="s">
        <v>28</v>
      </c>
      <c r="H941" s="1">
        <f>VLOOKUP(A941, [1]Orders!A:B, 2, FALSE)</f>
        <v>43125</v>
      </c>
      <c r="I941" t="str">
        <f>VLOOKUP(A941, [1]Orders!A:E, 3, FALSE)</f>
        <v>Piyam</v>
      </c>
      <c r="J941" t="str">
        <f>VLOOKUP(A941, [1]Orders!A:E, 4, FALSE)</f>
        <v>Punjab</v>
      </c>
      <c r="K941" t="str">
        <f>VLOOKUP(A941, [1]Orders!A:E, 5, FALSE)</f>
        <v>Amritsar</v>
      </c>
    </row>
    <row r="942" spans="1:11" x14ac:dyDescent="0.5">
      <c r="A942" t="s">
        <v>132</v>
      </c>
      <c r="B942">
        <v>87</v>
      </c>
      <c r="C942">
        <v>36</v>
      </c>
      <c r="D942">
        <v>5</v>
      </c>
      <c r="E942" t="s">
        <v>23</v>
      </c>
      <c r="F942" t="s">
        <v>57</v>
      </c>
      <c r="G942" t="s">
        <v>19</v>
      </c>
      <c r="H942" s="1">
        <f>VLOOKUP(A942, [1]Orders!A:B, 2, FALSE)</f>
        <v>43114</v>
      </c>
      <c r="I942" t="str">
        <f>VLOOKUP(A942, [1]Orders!A:E, 3, FALSE)</f>
        <v>Krutika</v>
      </c>
      <c r="J942" t="str">
        <f>VLOOKUP(A942, [1]Orders!A:E, 4, FALSE)</f>
        <v>Andhra Pradesh</v>
      </c>
      <c r="K942" t="str">
        <f>VLOOKUP(A942, [1]Orders!A:E, 5, FALSE)</f>
        <v>Hyderabad</v>
      </c>
    </row>
    <row r="943" spans="1:11" x14ac:dyDescent="0.5">
      <c r="A943" t="s">
        <v>173</v>
      </c>
      <c r="B943">
        <v>189</v>
      </c>
      <c r="C943">
        <v>4</v>
      </c>
      <c r="D943">
        <v>1</v>
      </c>
      <c r="E943" t="s">
        <v>23</v>
      </c>
      <c r="F943" t="s">
        <v>26</v>
      </c>
      <c r="G943" t="s">
        <v>28</v>
      </c>
      <c r="H943" s="1">
        <f>VLOOKUP(A943, [1]Orders!A:B, 2, FALSE)</f>
        <v>43135</v>
      </c>
      <c r="I943" t="str">
        <f>VLOOKUP(A943, [1]Orders!A:E, 3, FALSE)</f>
        <v>Prashant</v>
      </c>
      <c r="J943" t="str">
        <f>VLOOKUP(A943, [1]Orders!A:E, 4, FALSE)</f>
        <v>Delhi</v>
      </c>
      <c r="K943" t="str">
        <f>VLOOKUP(A943, [1]Orders!A:E, 5, FALSE)</f>
        <v>Delhi</v>
      </c>
    </row>
    <row r="944" spans="1:11" x14ac:dyDescent="0.5">
      <c r="A944" t="s">
        <v>227</v>
      </c>
      <c r="B944">
        <v>55</v>
      </c>
      <c r="C944">
        <v>-33</v>
      </c>
      <c r="D944">
        <v>2</v>
      </c>
      <c r="E944" t="s">
        <v>12</v>
      </c>
      <c r="F944" t="s">
        <v>13</v>
      </c>
      <c r="G944" t="s">
        <v>10</v>
      </c>
      <c r="H944" s="1">
        <f>VLOOKUP(A944, [1]Orders!A:B, 2, FALSE)</f>
        <v>43293</v>
      </c>
      <c r="I944" t="str">
        <f>VLOOKUP(A944, [1]Orders!A:E, 3, FALSE)</f>
        <v>Manshul</v>
      </c>
      <c r="J944" t="str">
        <f>VLOOKUP(A944, [1]Orders!A:E, 4, FALSE)</f>
        <v>Uttar Pradesh</v>
      </c>
      <c r="K944" t="str">
        <f>VLOOKUP(A944, [1]Orders!A:E, 5, FALSE)</f>
        <v>Lucknow</v>
      </c>
    </row>
    <row r="945" spans="1:11" x14ac:dyDescent="0.5">
      <c r="A945" t="s">
        <v>445</v>
      </c>
      <c r="B945">
        <v>85</v>
      </c>
      <c r="C945">
        <v>-1</v>
      </c>
      <c r="D945">
        <v>3</v>
      </c>
      <c r="E945" t="s">
        <v>23</v>
      </c>
      <c r="F945" t="s">
        <v>26</v>
      </c>
      <c r="G945" t="s">
        <v>19</v>
      </c>
      <c r="H945" s="1">
        <f>VLOOKUP(A945, [1]Orders!A:B, 2, FALSE)</f>
        <v>43419</v>
      </c>
      <c r="I945" t="str">
        <f>VLOOKUP(A945, [1]Orders!A:E, 3, FALSE)</f>
        <v>Arun</v>
      </c>
      <c r="J945" t="str">
        <f>VLOOKUP(A945, [1]Orders!A:E, 4, FALSE)</f>
        <v>Madhya Pradesh</v>
      </c>
      <c r="K945" t="str">
        <f>VLOOKUP(A945, [1]Orders!A:E, 5, FALSE)</f>
        <v>Indore</v>
      </c>
    </row>
    <row r="946" spans="1:11" x14ac:dyDescent="0.5">
      <c r="A946" t="s">
        <v>157</v>
      </c>
      <c r="B946">
        <v>252</v>
      </c>
      <c r="C946">
        <v>56</v>
      </c>
      <c r="D946">
        <v>2</v>
      </c>
      <c r="E946" t="s">
        <v>8</v>
      </c>
      <c r="F946" t="s">
        <v>21</v>
      </c>
      <c r="G946" t="s">
        <v>28</v>
      </c>
      <c r="H946" s="1">
        <f>VLOOKUP(A946, [1]Orders!A:B, 2, FALSE)</f>
        <v>43118</v>
      </c>
      <c r="I946" t="str">
        <f>VLOOKUP(A946, [1]Orders!A:E, 3, FALSE)</f>
        <v>Muskan</v>
      </c>
      <c r="J946" t="str">
        <f>VLOOKUP(A946, [1]Orders!A:E, 4, FALSE)</f>
        <v>Madhya Pradesh</v>
      </c>
      <c r="K946" t="str">
        <f>VLOOKUP(A946, [1]Orders!A:E, 5, FALSE)</f>
        <v>Indore</v>
      </c>
    </row>
    <row r="947" spans="1:11" x14ac:dyDescent="0.5">
      <c r="A947" t="s">
        <v>171</v>
      </c>
      <c r="B947">
        <v>197</v>
      </c>
      <c r="C947">
        <v>73</v>
      </c>
      <c r="D947">
        <v>1</v>
      </c>
      <c r="E947" t="s">
        <v>12</v>
      </c>
      <c r="F947" t="s">
        <v>16</v>
      </c>
      <c r="G947" t="s">
        <v>10</v>
      </c>
      <c r="H947" s="1">
        <f>VLOOKUP(A947, [1]Orders!A:B, 2, FALSE)</f>
        <v>43412</v>
      </c>
      <c r="I947" t="str">
        <f>VLOOKUP(A947, [1]Orders!A:E, 3, FALSE)</f>
        <v>Abhijeet</v>
      </c>
      <c r="J947" t="str">
        <f>VLOOKUP(A947, [1]Orders!A:E, 4, FALSE)</f>
        <v>Madhya Pradesh</v>
      </c>
      <c r="K947" t="str">
        <f>VLOOKUP(A947, [1]Orders!A:E, 5, FALSE)</f>
        <v>Bhopal</v>
      </c>
    </row>
    <row r="948" spans="1:11" x14ac:dyDescent="0.5">
      <c r="A948" t="s">
        <v>33</v>
      </c>
      <c r="B948">
        <v>17</v>
      </c>
      <c r="C948">
        <v>-3</v>
      </c>
      <c r="D948">
        <v>2</v>
      </c>
      <c r="E948" t="s">
        <v>23</v>
      </c>
      <c r="F948" t="s">
        <v>57</v>
      </c>
      <c r="G948" t="s">
        <v>28</v>
      </c>
      <c r="H948" s="1">
        <f>VLOOKUP(A948, [1]Orders!A:B, 2, FALSE)</f>
        <v>43279</v>
      </c>
      <c r="I948" t="str">
        <f>VLOOKUP(A948, [1]Orders!A:E, 3, FALSE)</f>
        <v>Ekta</v>
      </c>
      <c r="J948" t="str">
        <f>VLOOKUP(A948, [1]Orders!A:E, 4, FALSE)</f>
        <v>Madhya Pradesh</v>
      </c>
      <c r="K948" t="str">
        <f>VLOOKUP(A948, [1]Orders!A:E, 5, FALSE)</f>
        <v>Indore</v>
      </c>
    </row>
    <row r="949" spans="1:11" x14ac:dyDescent="0.5">
      <c r="A949" t="s">
        <v>446</v>
      </c>
      <c r="B949">
        <v>100</v>
      </c>
      <c r="C949">
        <v>28</v>
      </c>
      <c r="D949">
        <v>2</v>
      </c>
      <c r="E949" t="s">
        <v>23</v>
      </c>
      <c r="F949" t="s">
        <v>30</v>
      </c>
      <c r="G949" t="s">
        <v>28</v>
      </c>
      <c r="H949" s="1">
        <f>VLOOKUP(A949, [1]Orders!A:B, 2, FALSE)</f>
        <v>43164</v>
      </c>
      <c r="I949" t="str">
        <f>VLOOKUP(A949, [1]Orders!A:E, 3, FALSE)</f>
        <v>Lisha</v>
      </c>
      <c r="J949" t="str">
        <f>VLOOKUP(A949, [1]Orders!A:E, 4, FALSE)</f>
        <v>Madhya Pradesh</v>
      </c>
      <c r="K949" t="str">
        <f>VLOOKUP(A949, [1]Orders!A:E, 5, FALSE)</f>
        <v>Bhopal</v>
      </c>
    </row>
    <row r="950" spans="1:11" x14ac:dyDescent="0.5">
      <c r="A950" t="s">
        <v>67</v>
      </c>
      <c r="B950">
        <v>80</v>
      </c>
      <c r="C950">
        <v>-19</v>
      </c>
      <c r="D950">
        <v>5</v>
      </c>
      <c r="E950" t="s">
        <v>23</v>
      </c>
      <c r="F950" t="s">
        <v>57</v>
      </c>
      <c r="G950" t="s">
        <v>28</v>
      </c>
      <c r="H950" s="1">
        <f>VLOOKUP(A950, [1]Orders!A:B, 2, FALSE)</f>
        <v>43331</v>
      </c>
      <c r="I950" t="str">
        <f>VLOOKUP(A950, [1]Orders!A:E, 3, FALSE)</f>
        <v>Shourya</v>
      </c>
      <c r="J950" t="str">
        <f>VLOOKUP(A950, [1]Orders!A:E, 4, FALSE)</f>
        <v xml:space="preserve">Kerala </v>
      </c>
      <c r="K950" t="str">
        <f>VLOOKUP(A950, [1]Orders!A:E, 5, FALSE)</f>
        <v>Thiruvananthapuram</v>
      </c>
    </row>
    <row r="951" spans="1:11" x14ac:dyDescent="0.5">
      <c r="A951" t="s">
        <v>169</v>
      </c>
      <c r="B951">
        <v>75</v>
      </c>
      <c r="C951">
        <v>29</v>
      </c>
      <c r="D951">
        <v>1</v>
      </c>
      <c r="E951" t="s">
        <v>23</v>
      </c>
      <c r="F951" t="s">
        <v>24</v>
      </c>
      <c r="G951" t="s">
        <v>28</v>
      </c>
      <c r="H951" s="1">
        <f>VLOOKUP(A951, [1]Orders!A:B, 2, FALSE)</f>
        <v>43177</v>
      </c>
      <c r="I951" t="str">
        <f>VLOOKUP(A951, [1]Orders!A:E, 3, FALSE)</f>
        <v>Shruti</v>
      </c>
      <c r="J951" t="str">
        <f>VLOOKUP(A951, [1]Orders!A:E, 4, FALSE)</f>
        <v>Karnataka</v>
      </c>
      <c r="K951" t="str">
        <f>VLOOKUP(A951, [1]Orders!A:E, 5, FALSE)</f>
        <v>Bangalore</v>
      </c>
    </row>
    <row r="952" spans="1:11" x14ac:dyDescent="0.5">
      <c r="A952" t="s">
        <v>67</v>
      </c>
      <c r="B952">
        <v>26</v>
      </c>
      <c r="C952">
        <v>4</v>
      </c>
      <c r="D952">
        <v>2</v>
      </c>
      <c r="E952" t="s">
        <v>23</v>
      </c>
      <c r="F952" t="s">
        <v>26</v>
      </c>
      <c r="G952" t="s">
        <v>28</v>
      </c>
      <c r="H952" s="1">
        <f>VLOOKUP(A952, [1]Orders!A:B, 2, FALSE)</f>
        <v>43331</v>
      </c>
      <c r="I952" t="str">
        <f>VLOOKUP(A952, [1]Orders!A:E, 3, FALSE)</f>
        <v>Shourya</v>
      </c>
      <c r="J952" t="str">
        <f>VLOOKUP(A952, [1]Orders!A:E, 4, FALSE)</f>
        <v xml:space="preserve">Kerala </v>
      </c>
      <c r="K952" t="str">
        <f>VLOOKUP(A952, [1]Orders!A:E, 5, FALSE)</f>
        <v>Thiruvananthapuram</v>
      </c>
    </row>
    <row r="953" spans="1:11" x14ac:dyDescent="0.5">
      <c r="A953" t="s">
        <v>447</v>
      </c>
      <c r="B953">
        <v>55</v>
      </c>
      <c r="C953">
        <v>12</v>
      </c>
      <c r="D953">
        <v>5</v>
      </c>
      <c r="E953" t="s">
        <v>23</v>
      </c>
      <c r="F953" t="s">
        <v>43</v>
      </c>
      <c r="G953" t="s">
        <v>10</v>
      </c>
      <c r="H953" s="1">
        <f>VLOOKUP(A953, [1]Orders!A:B, 2, FALSE)</f>
        <v>43163</v>
      </c>
      <c r="I953" t="str">
        <f>VLOOKUP(A953, [1]Orders!A:E, 3, FALSE)</f>
        <v>Ashmi</v>
      </c>
      <c r="J953" t="str">
        <f>VLOOKUP(A953, [1]Orders!A:E, 4, FALSE)</f>
        <v>Madhya Pradesh</v>
      </c>
      <c r="K953" t="str">
        <f>VLOOKUP(A953, [1]Orders!A:E, 5, FALSE)</f>
        <v>Indore</v>
      </c>
    </row>
    <row r="954" spans="1:11" x14ac:dyDescent="0.5">
      <c r="A954" t="s">
        <v>324</v>
      </c>
      <c r="B954">
        <v>157</v>
      </c>
      <c r="C954">
        <v>5</v>
      </c>
      <c r="D954">
        <v>9</v>
      </c>
      <c r="E954" t="s">
        <v>23</v>
      </c>
      <c r="F954" t="s">
        <v>26</v>
      </c>
      <c r="G954" t="s">
        <v>28</v>
      </c>
      <c r="H954" s="1">
        <f>VLOOKUP(A954, [1]Orders!A:B, 2, FALSE)</f>
        <v>43193</v>
      </c>
      <c r="I954" t="str">
        <f>VLOOKUP(A954, [1]Orders!A:E, 3, FALSE)</f>
        <v>Divsha</v>
      </c>
      <c r="J954" t="str">
        <f>VLOOKUP(A954, [1]Orders!A:E, 4, FALSE)</f>
        <v>Rajasthan</v>
      </c>
      <c r="K954" t="str">
        <f>VLOOKUP(A954, [1]Orders!A:E, 5, FALSE)</f>
        <v>Jaipur</v>
      </c>
    </row>
    <row r="955" spans="1:11" x14ac:dyDescent="0.5">
      <c r="A955" t="s">
        <v>119</v>
      </c>
      <c r="B955">
        <v>200</v>
      </c>
      <c r="C955">
        <v>-60</v>
      </c>
      <c r="D955">
        <v>4</v>
      </c>
      <c r="E955" t="s">
        <v>12</v>
      </c>
      <c r="F955" t="s">
        <v>16</v>
      </c>
      <c r="G955" t="s">
        <v>28</v>
      </c>
      <c r="H955" s="1">
        <f>VLOOKUP(A955, [1]Orders!A:B, 2, FALSE)</f>
        <v>43227</v>
      </c>
      <c r="I955" t="str">
        <f>VLOOKUP(A955, [1]Orders!A:E, 3, FALSE)</f>
        <v>Anurag</v>
      </c>
      <c r="J955" t="str">
        <f>VLOOKUP(A955, [1]Orders!A:E, 4, FALSE)</f>
        <v>Madhya Pradesh</v>
      </c>
      <c r="K955" t="str">
        <f>VLOOKUP(A955, [1]Orders!A:E, 5, FALSE)</f>
        <v>Indore</v>
      </c>
    </row>
    <row r="956" spans="1:11" x14ac:dyDescent="0.5">
      <c r="A956" t="s">
        <v>223</v>
      </c>
      <c r="B956">
        <v>230</v>
      </c>
      <c r="C956">
        <v>5</v>
      </c>
      <c r="D956">
        <v>2</v>
      </c>
      <c r="E956" t="s">
        <v>23</v>
      </c>
      <c r="F956" t="s">
        <v>26</v>
      </c>
      <c r="G956" t="s">
        <v>28</v>
      </c>
      <c r="H956" s="1">
        <f>VLOOKUP(A956, [1]Orders!A:B, 2, FALSE)</f>
        <v>43130</v>
      </c>
      <c r="I956" t="str">
        <f>VLOOKUP(A956, [1]Orders!A:E, 3, FALSE)</f>
        <v>Atul</v>
      </c>
      <c r="J956" t="str">
        <f>VLOOKUP(A956, [1]Orders!A:E, 4, FALSE)</f>
        <v>Delhi</v>
      </c>
      <c r="K956" t="str">
        <f>VLOOKUP(A956, [1]Orders!A:E, 5, FALSE)</f>
        <v>Delhi</v>
      </c>
    </row>
    <row r="957" spans="1:11" x14ac:dyDescent="0.5">
      <c r="A957" t="s">
        <v>211</v>
      </c>
      <c r="B957">
        <v>213</v>
      </c>
      <c r="C957">
        <v>-145</v>
      </c>
      <c r="D957">
        <v>3</v>
      </c>
      <c r="E957" t="s">
        <v>12</v>
      </c>
      <c r="F957" t="s">
        <v>16</v>
      </c>
      <c r="G957" t="s">
        <v>82</v>
      </c>
      <c r="H957" s="1">
        <f>VLOOKUP(A957, [1]Orders!A:B, 2, FALSE)</f>
        <v>43169</v>
      </c>
      <c r="I957" t="str">
        <f>VLOOKUP(A957, [1]Orders!A:E, 3, FALSE)</f>
        <v>Sonal</v>
      </c>
      <c r="J957" t="str">
        <f>VLOOKUP(A957, [1]Orders!A:E, 4, FALSE)</f>
        <v>Bihar</v>
      </c>
      <c r="K957" t="str">
        <f>VLOOKUP(A957, [1]Orders!A:E, 5, FALSE)</f>
        <v>Patna</v>
      </c>
    </row>
    <row r="958" spans="1:11" x14ac:dyDescent="0.5">
      <c r="A958" t="s">
        <v>193</v>
      </c>
      <c r="B958">
        <v>55</v>
      </c>
      <c r="C958">
        <v>4</v>
      </c>
      <c r="D958">
        <v>2</v>
      </c>
      <c r="E958" t="s">
        <v>23</v>
      </c>
      <c r="F958" t="s">
        <v>57</v>
      </c>
      <c r="G958" t="s">
        <v>10</v>
      </c>
      <c r="H958" s="1">
        <f>VLOOKUP(A958, [1]Orders!A:B, 2, FALSE)</f>
        <v>43106</v>
      </c>
      <c r="I958" t="str">
        <f>VLOOKUP(A958, [1]Orders!A:E, 3, FALSE)</f>
        <v>Vivek</v>
      </c>
      <c r="J958" t="str">
        <f>VLOOKUP(A958, [1]Orders!A:E, 4, FALSE)</f>
        <v>Goa</v>
      </c>
      <c r="K958" t="str">
        <f>VLOOKUP(A958, [1]Orders!A:E, 5, FALSE)</f>
        <v>Goa</v>
      </c>
    </row>
    <row r="959" spans="1:11" x14ac:dyDescent="0.5">
      <c r="A959" t="s">
        <v>448</v>
      </c>
      <c r="B959">
        <v>220</v>
      </c>
      <c r="C959">
        <v>-19</v>
      </c>
      <c r="D959">
        <v>2</v>
      </c>
      <c r="E959" t="s">
        <v>23</v>
      </c>
      <c r="F959" t="s">
        <v>26</v>
      </c>
      <c r="G959" t="s">
        <v>82</v>
      </c>
      <c r="H959" s="1">
        <f>VLOOKUP(A959, [1]Orders!A:B, 2, FALSE)</f>
        <v>43342</v>
      </c>
      <c r="I959" t="str">
        <f>VLOOKUP(A959, [1]Orders!A:E, 3, FALSE)</f>
        <v>Surabhi</v>
      </c>
      <c r="J959" t="str">
        <f>VLOOKUP(A959, [1]Orders!A:E, 4, FALSE)</f>
        <v>Rajasthan</v>
      </c>
      <c r="K959" t="str">
        <f>VLOOKUP(A959, [1]Orders!A:E, 5, FALSE)</f>
        <v>Jaipur</v>
      </c>
    </row>
    <row r="960" spans="1:11" x14ac:dyDescent="0.5">
      <c r="A960" t="s">
        <v>74</v>
      </c>
      <c r="B960">
        <v>150</v>
      </c>
      <c r="C960">
        <v>32</v>
      </c>
      <c r="D960">
        <v>3</v>
      </c>
      <c r="E960" t="s">
        <v>23</v>
      </c>
      <c r="F960" t="s">
        <v>30</v>
      </c>
      <c r="G960" t="s">
        <v>10</v>
      </c>
      <c r="H960" s="1">
        <f>VLOOKUP(A960, [1]Orders!A:B, 2, FALSE)</f>
        <v>43104</v>
      </c>
      <c r="I960" t="str">
        <f>VLOOKUP(A960, [1]Orders!A:E, 3, FALSE)</f>
        <v>Sudhir</v>
      </c>
      <c r="J960" t="str">
        <f>VLOOKUP(A960, [1]Orders!A:E, 4, FALSE)</f>
        <v>Nagaland</v>
      </c>
      <c r="K960" t="str">
        <f>VLOOKUP(A960, [1]Orders!A:E, 5, FALSE)</f>
        <v>Kohima</v>
      </c>
    </row>
    <row r="961" spans="1:11" x14ac:dyDescent="0.5">
      <c r="A961" t="s">
        <v>136</v>
      </c>
      <c r="B961">
        <v>203</v>
      </c>
      <c r="C961">
        <v>84</v>
      </c>
      <c r="D961">
        <v>2</v>
      </c>
      <c r="E961" t="s">
        <v>8</v>
      </c>
      <c r="F961" t="s">
        <v>18</v>
      </c>
      <c r="G961" t="s">
        <v>28</v>
      </c>
      <c r="H961" s="1">
        <f>VLOOKUP(A961, [1]Orders!A:B, 2, FALSE)</f>
        <v>43122</v>
      </c>
      <c r="I961" t="str">
        <f>VLOOKUP(A961, [1]Orders!A:E, 3, FALSE)</f>
        <v>Rhea</v>
      </c>
      <c r="J961" t="str">
        <f>VLOOKUP(A961, [1]Orders!A:E, 4, FALSE)</f>
        <v>Maharashtra</v>
      </c>
      <c r="K961" t="str">
        <f>VLOOKUP(A961, [1]Orders!A:E, 5, FALSE)</f>
        <v>Mumbai</v>
      </c>
    </row>
    <row r="962" spans="1:11" x14ac:dyDescent="0.5">
      <c r="A962" t="s">
        <v>167</v>
      </c>
      <c r="B962">
        <v>93</v>
      </c>
      <c r="C962">
        <v>31</v>
      </c>
      <c r="D962">
        <v>3</v>
      </c>
      <c r="E962" t="s">
        <v>8</v>
      </c>
      <c r="F962" t="s">
        <v>73</v>
      </c>
      <c r="G962" t="s">
        <v>28</v>
      </c>
      <c r="H962" s="1">
        <f>VLOOKUP(A962, [1]Orders!A:B, 2, FALSE)</f>
        <v>43168</v>
      </c>
      <c r="I962" t="str">
        <f>VLOOKUP(A962, [1]Orders!A:E, 3, FALSE)</f>
        <v>Kirti</v>
      </c>
      <c r="J962" t="str">
        <f>VLOOKUP(A962, [1]Orders!A:E, 4, FALSE)</f>
        <v>Jammu and Kashmir</v>
      </c>
      <c r="K962" t="str">
        <f>VLOOKUP(A962, [1]Orders!A:E, 5, FALSE)</f>
        <v>Kashmir</v>
      </c>
    </row>
    <row r="963" spans="1:11" x14ac:dyDescent="0.5">
      <c r="A963" t="s">
        <v>449</v>
      </c>
      <c r="B963">
        <v>290</v>
      </c>
      <c r="C963">
        <v>35</v>
      </c>
      <c r="D963">
        <v>6</v>
      </c>
      <c r="E963" t="s">
        <v>23</v>
      </c>
      <c r="F963" t="s">
        <v>30</v>
      </c>
      <c r="G963" t="s">
        <v>10</v>
      </c>
      <c r="H963" s="1">
        <f>VLOOKUP(A963, [1]Orders!A:B, 2, FALSE)</f>
        <v>43113</v>
      </c>
      <c r="I963" t="str">
        <f>VLOOKUP(A963, [1]Orders!A:E, 3, FALSE)</f>
        <v>Chetan</v>
      </c>
      <c r="J963" t="str">
        <f>VLOOKUP(A963, [1]Orders!A:E, 4, FALSE)</f>
        <v>Gujarat</v>
      </c>
      <c r="K963" t="str">
        <f>VLOOKUP(A963, [1]Orders!A:E, 5, FALSE)</f>
        <v>Ahmedabad</v>
      </c>
    </row>
    <row r="964" spans="1:11" x14ac:dyDescent="0.5">
      <c r="A964" t="s">
        <v>269</v>
      </c>
      <c r="B964">
        <v>48</v>
      </c>
      <c r="C964">
        <v>6</v>
      </c>
      <c r="D964">
        <v>1</v>
      </c>
      <c r="E964" t="s">
        <v>23</v>
      </c>
      <c r="F964" t="s">
        <v>26</v>
      </c>
      <c r="G964" t="s">
        <v>10</v>
      </c>
      <c r="H964" s="1">
        <f>VLOOKUP(A964, [1]Orders!A:B, 2, FALSE)</f>
        <v>43414</v>
      </c>
      <c r="I964" t="str">
        <f>VLOOKUP(A964, [1]Orders!A:E, 3, FALSE)</f>
        <v>Abhijeet</v>
      </c>
      <c r="J964" t="str">
        <f>VLOOKUP(A964, [1]Orders!A:E, 4, FALSE)</f>
        <v>Maharashtra</v>
      </c>
      <c r="K964" t="str">
        <f>VLOOKUP(A964, [1]Orders!A:E, 5, FALSE)</f>
        <v>Mumbai</v>
      </c>
    </row>
    <row r="965" spans="1:11" x14ac:dyDescent="0.5">
      <c r="A965" t="s">
        <v>254</v>
      </c>
      <c r="B965">
        <v>221</v>
      </c>
      <c r="C965">
        <v>35</v>
      </c>
      <c r="D965">
        <v>4</v>
      </c>
      <c r="E965" t="s">
        <v>8</v>
      </c>
      <c r="F965" t="s">
        <v>73</v>
      </c>
      <c r="G965" t="s">
        <v>82</v>
      </c>
      <c r="H965" s="1">
        <f>VLOOKUP(A965, [1]Orders!A:B, 2, FALSE)</f>
        <v>43152</v>
      </c>
      <c r="I965" t="str">
        <f>VLOOKUP(A965, [1]Orders!A:E, 3, FALSE)</f>
        <v>Sarita</v>
      </c>
      <c r="J965" t="str">
        <f>VLOOKUP(A965, [1]Orders!A:E, 4, FALSE)</f>
        <v>Maharashtra</v>
      </c>
      <c r="K965" t="str">
        <f>VLOOKUP(A965, [1]Orders!A:E, 5, FALSE)</f>
        <v>Pune</v>
      </c>
    </row>
    <row r="966" spans="1:11" x14ac:dyDescent="0.5">
      <c r="A966" t="s">
        <v>450</v>
      </c>
      <c r="B966">
        <v>55</v>
      </c>
      <c r="C966">
        <v>18</v>
      </c>
      <c r="D966">
        <v>2</v>
      </c>
      <c r="E966" t="s">
        <v>23</v>
      </c>
      <c r="F966" t="s">
        <v>32</v>
      </c>
      <c r="G966" t="s">
        <v>10</v>
      </c>
      <c r="H966" s="1">
        <f>VLOOKUP(A966, [1]Orders!A:B, 2, FALSE)</f>
        <v>43176</v>
      </c>
      <c r="I966" t="str">
        <f>VLOOKUP(A966, [1]Orders!A:E, 3, FALSE)</f>
        <v>Sanskriti</v>
      </c>
      <c r="J966" t="str">
        <f>VLOOKUP(A966, [1]Orders!A:E, 4, FALSE)</f>
        <v>West Bengal</v>
      </c>
      <c r="K966" t="str">
        <f>VLOOKUP(A966, [1]Orders!A:E, 5, FALSE)</f>
        <v>Kolkata</v>
      </c>
    </row>
    <row r="967" spans="1:11" x14ac:dyDescent="0.5">
      <c r="A967" t="s">
        <v>117</v>
      </c>
      <c r="B967">
        <v>227</v>
      </c>
      <c r="C967">
        <v>102</v>
      </c>
      <c r="D967">
        <v>8</v>
      </c>
      <c r="E967" t="s">
        <v>8</v>
      </c>
      <c r="F967" t="s">
        <v>73</v>
      </c>
      <c r="G967" t="s">
        <v>82</v>
      </c>
      <c r="H967" s="1">
        <f>VLOOKUP(A967, [1]Orders!A:B, 2, FALSE)</f>
        <v>43228</v>
      </c>
      <c r="I967" t="str">
        <f>VLOOKUP(A967, [1]Orders!A:E, 3, FALSE)</f>
        <v>Farah</v>
      </c>
      <c r="J967" t="str">
        <f>VLOOKUP(A967, [1]Orders!A:E, 4, FALSE)</f>
        <v>Nagaland</v>
      </c>
      <c r="K967" t="str">
        <f>VLOOKUP(A967, [1]Orders!A:E, 5, FALSE)</f>
        <v>Kohima</v>
      </c>
    </row>
    <row r="968" spans="1:11" x14ac:dyDescent="0.5">
      <c r="A968" t="s">
        <v>451</v>
      </c>
      <c r="B968">
        <v>55</v>
      </c>
      <c r="C968">
        <v>-39</v>
      </c>
      <c r="D968">
        <v>4</v>
      </c>
      <c r="E968" t="s">
        <v>23</v>
      </c>
      <c r="F968" t="s">
        <v>57</v>
      </c>
      <c r="G968" t="s">
        <v>10</v>
      </c>
      <c r="H968" s="1">
        <f>VLOOKUP(A968, [1]Orders!A:B, 2, FALSE)</f>
        <v>43213</v>
      </c>
      <c r="I968" t="str">
        <f>VLOOKUP(A968, [1]Orders!A:E, 3, FALSE)</f>
        <v>Hitika</v>
      </c>
      <c r="J968" t="str">
        <f>VLOOKUP(A968, [1]Orders!A:E, 4, FALSE)</f>
        <v>Madhya Pradesh</v>
      </c>
      <c r="K968" t="str">
        <f>VLOOKUP(A968, [1]Orders!A:E, 5, FALSE)</f>
        <v>Indore</v>
      </c>
    </row>
    <row r="969" spans="1:11" x14ac:dyDescent="0.5">
      <c r="A969" t="s">
        <v>449</v>
      </c>
      <c r="B969">
        <v>207</v>
      </c>
      <c r="C969">
        <v>33</v>
      </c>
      <c r="D969">
        <v>2</v>
      </c>
      <c r="E969" t="s">
        <v>8</v>
      </c>
      <c r="F969" t="s">
        <v>73</v>
      </c>
      <c r="G969" t="s">
        <v>28</v>
      </c>
      <c r="H969" s="1">
        <f>VLOOKUP(A969, [1]Orders!A:B, 2, FALSE)</f>
        <v>43113</v>
      </c>
      <c r="I969" t="str">
        <f>VLOOKUP(A969, [1]Orders!A:E, 3, FALSE)</f>
        <v>Chetan</v>
      </c>
      <c r="J969" t="str">
        <f>VLOOKUP(A969, [1]Orders!A:E, 4, FALSE)</f>
        <v>Gujarat</v>
      </c>
      <c r="K969" t="str">
        <f>VLOOKUP(A969, [1]Orders!A:E, 5, FALSE)</f>
        <v>Ahmedabad</v>
      </c>
    </row>
    <row r="970" spans="1:11" x14ac:dyDescent="0.5">
      <c r="A970" t="s">
        <v>80</v>
      </c>
      <c r="B970">
        <v>64</v>
      </c>
      <c r="C970">
        <v>6</v>
      </c>
      <c r="D970">
        <v>4</v>
      </c>
      <c r="E970" t="s">
        <v>23</v>
      </c>
      <c r="F970" t="s">
        <v>26</v>
      </c>
      <c r="G970" t="s">
        <v>10</v>
      </c>
      <c r="H970" s="1">
        <f>VLOOKUP(A970, [1]Orders!A:B, 2, FALSE)</f>
        <v>43374</v>
      </c>
      <c r="I970" t="str">
        <f>VLOOKUP(A970, [1]Orders!A:E, 3, FALSE)</f>
        <v>Aryan</v>
      </c>
      <c r="J970" t="str">
        <f>VLOOKUP(A970, [1]Orders!A:E, 4, FALSE)</f>
        <v>Madhya Pradesh</v>
      </c>
      <c r="K970" t="str">
        <f>VLOOKUP(A970, [1]Orders!A:E, 5, FALSE)</f>
        <v>Bhopal</v>
      </c>
    </row>
    <row r="971" spans="1:11" x14ac:dyDescent="0.5">
      <c r="A971" t="s">
        <v>235</v>
      </c>
      <c r="B971">
        <v>89</v>
      </c>
      <c r="C971">
        <v>6</v>
      </c>
      <c r="D971">
        <v>5</v>
      </c>
      <c r="E971" t="s">
        <v>23</v>
      </c>
      <c r="F971" t="s">
        <v>26</v>
      </c>
      <c r="G971" t="s">
        <v>10</v>
      </c>
      <c r="H971" s="1">
        <f>VLOOKUP(A971, [1]Orders!A:B, 2, FALSE)</f>
        <v>43120</v>
      </c>
      <c r="I971" t="str">
        <f>VLOOKUP(A971, [1]Orders!A:E, 3, FALSE)</f>
        <v>Oshin</v>
      </c>
      <c r="J971" t="str">
        <f>VLOOKUP(A971, [1]Orders!A:E, 4, FALSE)</f>
        <v>Maharashtra</v>
      </c>
      <c r="K971" t="str">
        <f>VLOOKUP(A971, [1]Orders!A:E, 5, FALSE)</f>
        <v>Pune</v>
      </c>
    </row>
    <row r="972" spans="1:11" x14ac:dyDescent="0.5">
      <c r="A972" t="s">
        <v>46</v>
      </c>
      <c r="B972">
        <v>54</v>
      </c>
      <c r="C972">
        <v>27</v>
      </c>
      <c r="D972">
        <v>2</v>
      </c>
      <c r="E972" t="s">
        <v>23</v>
      </c>
      <c r="F972" t="s">
        <v>57</v>
      </c>
      <c r="G972" t="s">
        <v>10</v>
      </c>
      <c r="H972" s="1">
        <f>VLOOKUP(A972, [1]Orders!A:B, 2, FALSE)</f>
        <v>43113</v>
      </c>
      <c r="I972" t="str">
        <f>VLOOKUP(A972, [1]Orders!A:E, 3, FALSE)</f>
        <v>Shruti</v>
      </c>
      <c r="J972" t="str">
        <f>VLOOKUP(A972, [1]Orders!A:E, 4, FALSE)</f>
        <v>Madhya Pradesh</v>
      </c>
      <c r="K972" t="str">
        <f>VLOOKUP(A972, [1]Orders!A:E, 5, FALSE)</f>
        <v>Indore</v>
      </c>
    </row>
    <row r="973" spans="1:11" x14ac:dyDescent="0.5">
      <c r="A973" t="s">
        <v>140</v>
      </c>
      <c r="B973">
        <v>84</v>
      </c>
      <c r="C973">
        <v>41</v>
      </c>
      <c r="D973">
        <v>3</v>
      </c>
      <c r="E973" t="s">
        <v>23</v>
      </c>
      <c r="F973" t="s">
        <v>81</v>
      </c>
      <c r="G973" t="s">
        <v>19</v>
      </c>
      <c r="H973" s="1">
        <f>VLOOKUP(A973, [1]Orders!A:B, 2, FALSE)</f>
        <v>43428</v>
      </c>
      <c r="I973" t="str">
        <f>VLOOKUP(A973, [1]Orders!A:E, 3, FALSE)</f>
        <v>Mrinal</v>
      </c>
      <c r="J973" t="str">
        <f>VLOOKUP(A973, [1]Orders!A:E, 4, FALSE)</f>
        <v>Maharashtra</v>
      </c>
      <c r="K973" t="str">
        <f>VLOOKUP(A973, [1]Orders!A:E, 5, FALSE)</f>
        <v>Mumbai</v>
      </c>
    </row>
    <row r="974" spans="1:11" x14ac:dyDescent="0.5">
      <c r="A974" t="s">
        <v>289</v>
      </c>
      <c r="B974">
        <v>209</v>
      </c>
      <c r="C974">
        <v>-21</v>
      </c>
      <c r="D974">
        <v>2</v>
      </c>
      <c r="E974" t="s">
        <v>8</v>
      </c>
      <c r="F974" t="s">
        <v>9</v>
      </c>
      <c r="G974" t="s">
        <v>28</v>
      </c>
      <c r="H974" s="1">
        <f>VLOOKUP(A974, [1]Orders!A:B, 2, FALSE)</f>
        <v>43349</v>
      </c>
      <c r="I974" t="str">
        <f>VLOOKUP(A974, [1]Orders!A:E, 3, FALSE)</f>
        <v>Shreya</v>
      </c>
      <c r="J974" t="str">
        <f>VLOOKUP(A974, [1]Orders!A:E, 4, FALSE)</f>
        <v xml:space="preserve">Kerala </v>
      </c>
      <c r="K974" t="str">
        <f>VLOOKUP(A974, [1]Orders!A:E, 5, FALSE)</f>
        <v>Thiruvananthapuram</v>
      </c>
    </row>
    <row r="975" spans="1:11" x14ac:dyDescent="0.5">
      <c r="A975" t="s">
        <v>200</v>
      </c>
      <c r="B975">
        <v>79</v>
      </c>
      <c r="C975">
        <v>33</v>
      </c>
      <c r="D975">
        <v>4</v>
      </c>
      <c r="E975" t="s">
        <v>23</v>
      </c>
      <c r="F975" t="s">
        <v>57</v>
      </c>
      <c r="G975" t="s">
        <v>28</v>
      </c>
      <c r="H975" s="1">
        <f>VLOOKUP(A975, [1]Orders!A:B, 2, FALSE)</f>
        <v>43181</v>
      </c>
      <c r="I975" t="str">
        <f>VLOOKUP(A975, [1]Orders!A:E, 3, FALSE)</f>
        <v>Aarushi</v>
      </c>
      <c r="J975" t="str">
        <f>VLOOKUP(A975, [1]Orders!A:E, 4, FALSE)</f>
        <v>Tamil Nadu</v>
      </c>
      <c r="K975" t="str">
        <f>VLOOKUP(A975, [1]Orders!A:E, 5, FALSE)</f>
        <v>Chennai</v>
      </c>
    </row>
    <row r="976" spans="1:11" x14ac:dyDescent="0.5">
      <c r="A976" t="s">
        <v>452</v>
      </c>
      <c r="B976">
        <v>54</v>
      </c>
      <c r="C976">
        <v>8</v>
      </c>
      <c r="D976">
        <v>4</v>
      </c>
      <c r="E976" t="s">
        <v>23</v>
      </c>
      <c r="F976" t="s">
        <v>81</v>
      </c>
      <c r="G976" t="s">
        <v>10</v>
      </c>
      <c r="H976" s="1">
        <f>VLOOKUP(A976, [1]Orders!A:B, 2, FALSE)</f>
        <v>43151</v>
      </c>
      <c r="I976" t="str">
        <f>VLOOKUP(A976, [1]Orders!A:E, 3, FALSE)</f>
        <v>Sagar</v>
      </c>
      <c r="J976" t="str">
        <f>VLOOKUP(A976, [1]Orders!A:E, 4, FALSE)</f>
        <v>Nagaland</v>
      </c>
      <c r="K976" t="str">
        <f>VLOOKUP(A976, [1]Orders!A:E, 5, FALSE)</f>
        <v>Kohima</v>
      </c>
    </row>
    <row r="977" spans="1:11" x14ac:dyDescent="0.5">
      <c r="A977" t="s">
        <v>94</v>
      </c>
      <c r="B977">
        <v>229</v>
      </c>
      <c r="C977">
        <v>59</v>
      </c>
      <c r="D977">
        <v>9</v>
      </c>
      <c r="E977" t="s">
        <v>23</v>
      </c>
      <c r="F977" t="s">
        <v>26</v>
      </c>
      <c r="G977" t="s">
        <v>82</v>
      </c>
      <c r="H977" s="1">
        <f>VLOOKUP(A977, [1]Orders!A:B, 2, FALSE)</f>
        <v>43121</v>
      </c>
      <c r="I977" t="str">
        <f>VLOOKUP(A977, [1]Orders!A:E, 3, FALSE)</f>
        <v>Sudevi</v>
      </c>
      <c r="J977" t="str">
        <f>VLOOKUP(A977, [1]Orders!A:E, 4, FALSE)</f>
        <v>Uttar Pradesh</v>
      </c>
      <c r="K977" t="str">
        <f>VLOOKUP(A977, [1]Orders!A:E, 5, FALSE)</f>
        <v>Prayagraj</v>
      </c>
    </row>
    <row r="978" spans="1:11" x14ac:dyDescent="0.5">
      <c r="A978" t="s">
        <v>378</v>
      </c>
      <c r="B978">
        <v>158</v>
      </c>
      <c r="C978">
        <v>38</v>
      </c>
      <c r="D978">
        <v>3</v>
      </c>
      <c r="E978" t="s">
        <v>23</v>
      </c>
      <c r="F978" t="s">
        <v>30</v>
      </c>
      <c r="G978" t="s">
        <v>28</v>
      </c>
      <c r="H978" s="1">
        <f>VLOOKUP(A978, [1]Orders!A:B, 2, FALSE)</f>
        <v>43444</v>
      </c>
      <c r="I978" t="str">
        <f>VLOOKUP(A978, [1]Orders!A:E, 3, FALSE)</f>
        <v>Suraj</v>
      </c>
      <c r="J978" t="str">
        <f>VLOOKUP(A978, [1]Orders!A:E, 4, FALSE)</f>
        <v>Gujarat</v>
      </c>
      <c r="K978" t="str">
        <f>VLOOKUP(A978, [1]Orders!A:E, 5, FALSE)</f>
        <v>Surat</v>
      </c>
    </row>
    <row r="979" spans="1:11" x14ac:dyDescent="0.5">
      <c r="A979" t="s">
        <v>179</v>
      </c>
      <c r="B979">
        <v>248</v>
      </c>
      <c r="C979">
        <v>105</v>
      </c>
      <c r="D979">
        <v>2</v>
      </c>
      <c r="E979" t="s">
        <v>8</v>
      </c>
      <c r="F979" t="s">
        <v>21</v>
      </c>
      <c r="G979" t="s">
        <v>82</v>
      </c>
      <c r="H979" s="1">
        <f>VLOOKUP(A979, [1]Orders!A:B, 2, FALSE)</f>
        <v>43113</v>
      </c>
      <c r="I979" t="str">
        <f>VLOOKUP(A979, [1]Orders!A:E, 3, FALSE)</f>
        <v>Jesal</v>
      </c>
      <c r="J979" t="str">
        <f>VLOOKUP(A979, [1]Orders!A:E, 4, FALSE)</f>
        <v>West Bengal</v>
      </c>
      <c r="K979" t="str">
        <f>VLOOKUP(A979, [1]Orders!A:E, 5, FALSE)</f>
        <v>Kolkata</v>
      </c>
    </row>
    <row r="980" spans="1:11" x14ac:dyDescent="0.5">
      <c r="A980" t="s">
        <v>41</v>
      </c>
      <c r="B980">
        <v>199</v>
      </c>
      <c r="C980">
        <v>6</v>
      </c>
      <c r="D980">
        <v>2</v>
      </c>
      <c r="E980" t="s">
        <v>23</v>
      </c>
      <c r="F980" t="s">
        <v>26</v>
      </c>
      <c r="G980" t="s">
        <v>28</v>
      </c>
      <c r="H980" s="1">
        <f>VLOOKUP(A980, [1]Orders!A:B, 2, FALSE)</f>
        <v>43412</v>
      </c>
      <c r="I980" t="str">
        <f>VLOOKUP(A980, [1]Orders!A:E, 3, FALSE)</f>
        <v>Gaurav</v>
      </c>
      <c r="J980" t="str">
        <f>VLOOKUP(A980, [1]Orders!A:E, 4, FALSE)</f>
        <v>Gujarat</v>
      </c>
      <c r="K980" t="str">
        <f>VLOOKUP(A980, [1]Orders!A:E, 5, FALSE)</f>
        <v>Ahmedabad</v>
      </c>
    </row>
    <row r="981" spans="1:11" x14ac:dyDescent="0.5">
      <c r="A981" t="s">
        <v>35</v>
      </c>
      <c r="B981">
        <v>253</v>
      </c>
      <c r="C981">
        <v>-11</v>
      </c>
      <c r="D981">
        <v>1</v>
      </c>
      <c r="E981" t="s">
        <v>23</v>
      </c>
      <c r="F981" t="s">
        <v>24</v>
      </c>
      <c r="G981" t="s">
        <v>82</v>
      </c>
      <c r="H981" s="1">
        <f>VLOOKUP(A981, [1]Orders!A:B, 2, FALSE)</f>
        <v>43461</v>
      </c>
      <c r="I981" t="str">
        <f>VLOOKUP(A981, [1]Orders!A:E, 3, FALSE)</f>
        <v>Gopal</v>
      </c>
      <c r="J981" t="str">
        <f>VLOOKUP(A981, [1]Orders!A:E, 4, FALSE)</f>
        <v>Maharashtra</v>
      </c>
      <c r="K981" t="str">
        <f>VLOOKUP(A981, [1]Orders!A:E, 5, FALSE)</f>
        <v>Mumbai</v>
      </c>
    </row>
    <row r="982" spans="1:11" x14ac:dyDescent="0.5">
      <c r="A982" t="s">
        <v>307</v>
      </c>
      <c r="B982">
        <v>257</v>
      </c>
      <c r="C982">
        <v>-252</v>
      </c>
      <c r="D982">
        <v>4</v>
      </c>
      <c r="E982" t="s">
        <v>23</v>
      </c>
      <c r="F982" t="s">
        <v>26</v>
      </c>
      <c r="G982" t="s">
        <v>82</v>
      </c>
      <c r="H982" s="1">
        <f>VLOOKUP(A982, [1]Orders!A:B, 2, FALSE)</f>
        <v>43367</v>
      </c>
      <c r="I982" t="str">
        <f>VLOOKUP(A982, [1]Orders!A:E, 3, FALSE)</f>
        <v>Siddharth</v>
      </c>
      <c r="J982" t="str">
        <f>VLOOKUP(A982, [1]Orders!A:E, 4, FALSE)</f>
        <v>Madhya Pradesh</v>
      </c>
      <c r="K982" t="str">
        <f>VLOOKUP(A982, [1]Orders!A:E, 5, FALSE)</f>
        <v>Indore</v>
      </c>
    </row>
    <row r="983" spans="1:11" x14ac:dyDescent="0.5">
      <c r="A983" t="s">
        <v>453</v>
      </c>
      <c r="B983">
        <v>193</v>
      </c>
      <c r="C983">
        <v>33</v>
      </c>
      <c r="D983">
        <v>5</v>
      </c>
      <c r="E983" t="s">
        <v>8</v>
      </c>
      <c r="F983" t="s">
        <v>73</v>
      </c>
      <c r="G983" t="s">
        <v>10</v>
      </c>
      <c r="H983" s="1">
        <f>VLOOKUP(A983, [1]Orders!A:B, 2, FALSE)</f>
        <v>43175</v>
      </c>
      <c r="I983" t="str">
        <f>VLOOKUP(A983, [1]Orders!A:E, 3, FALSE)</f>
        <v>Shefali</v>
      </c>
      <c r="J983" t="str">
        <f>VLOOKUP(A983, [1]Orders!A:E, 4, FALSE)</f>
        <v>Rajasthan</v>
      </c>
      <c r="K983" t="str">
        <f>VLOOKUP(A983, [1]Orders!A:E, 5, FALSE)</f>
        <v>Jaipur</v>
      </c>
    </row>
    <row r="984" spans="1:11" x14ac:dyDescent="0.5">
      <c r="A984" t="s">
        <v>454</v>
      </c>
      <c r="B984">
        <v>109</v>
      </c>
      <c r="C984">
        <v>35</v>
      </c>
      <c r="D984">
        <v>6</v>
      </c>
      <c r="E984" t="s">
        <v>23</v>
      </c>
      <c r="F984" t="s">
        <v>81</v>
      </c>
      <c r="G984" t="s">
        <v>10</v>
      </c>
      <c r="H984" s="1">
        <f>VLOOKUP(A984, [1]Orders!A:B, 2, FALSE)</f>
        <v>43181</v>
      </c>
      <c r="I984" t="str">
        <f>VLOOKUP(A984, [1]Orders!A:E, 3, FALSE)</f>
        <v>Sonakshi</v>
      </c>
      <c r="J984" t="str">
        <f>VLOOKUP(A984, [1]Orders!A:E, 4, FALSE)</f>
        <v>Jammu and Kashmir</v>
      </c>
      <c r="K984" t="str">
        <f>VLOOKUP(A984, [1]Orders!A:E, 5, FALSE)</f>
        <v>Kashmir</v>
      </c>
    </row>
    <row r="985" spans="1:11" x14ac:dyDescent="0.5">
      <c r="A985" t="s">
        <v>241</v>
      </c>
      <c r="B985">
        <v>214</v>
      </c>
      <c r="C985">
        <v>30</v>
      </c>
      <c r="D985">
        <v>3</v>
      </c>
      <c r="E985" t="s">
        <v>8</v>
      </c>
      <c r="F985" t="s">
        <v>73</v>
      </c>
      <c r="G985" t="s">
        <v>10</v>
      </c>
      <c r="H985" s="1">
        <f>VLOOKUP(A985, [1]Orders!A:B, 2, FALSE)</f>
        <v>43407</v>
      </c>
      <c r="I985" t="str">
        <f>VLOOKUP(A985, [1]Orders!A:E, 3, FALSE)</f>
        <v>Mrunal</v>
      </c>
      <c r="J985" t="str">
        <f>VLOOKUP(A985, [1]Orders!A:E, 4, FALSE)</f>
        <v>Maharashtra</v>
      </c>
      <c r="K985" t="str">
        <f>VLOOKUP(A985, [1]Orders!A:E, 5, FALSE)</f>
        <v>Mumbai</v>
      </c>
    </row>
    <row r="986" spans="1:11" x14ac:dyDescent="0.5">
      <c r="A986" t="s">
        <v>301</v>
      </c>
      <c r="B986">
        <v>141</v>
      </c>
      <c r="C986">
        <v>7</v>
      </c>
      <c r="D986">
        <v>7</v>
      </c>
      <c r="E986" t="s">
        <v>23</v>
      </c>
      <c r="F986" t="s">
        <v>26</v>
      </c>
      <c r="G986" t="s">
        <v>10</v>
      </c>
      <c r="H986" s="1">
        <f>VLOOKUP(A986, [1]Orders!A:B, 2, FALSE)</f>
        <v>43139</v>
      </c>
      <c r="I986" t="str">
        <f>VLOOKUP(A986, [1]Orders!A:E, 3, FALSE)</f>
        <v>Harsh</v>
      </c>
      <c r="J986" t="str">
        <f>VLOOKUP(A986, [1]Orders!A:E, 4, FALSE)</f>
        <v>Delhi</v>
      </c>
      <c r="K986" t="str">
        <f>VLOOKUP(A986, [1]Orders!A:E, 5, FALSE)</f>
        <v>Delhi</v>
      </c>
    </row>
    <row r="987" spans="1:11" x14ac:dyDescent="0.5">
      <c r="A987" t="s">
        <v>164</v>
      </c>
      <c r="B987">
        <v>201</v>
      </c>
      <c r="C987">
        <v>32</v>
      </c>
      <c r="D987">
        <v>4</v>
      </c>
      <c r="E987" t="s">
        <v>12</v>
      </c>
      <c r="F987" t="s">
        <v>131</v>
      </c>
      <c r="G987" t="s">
        <v>28</v>
      </c>
      <c r="H987" s="1">
        <f>VLOOKUP(A987, [1]Orders!A:B, 2, FALSE)</f>
        <v>43134</v>
      </c>
      <c r="I987" t="str">
        <f>VLOOKUP(A987, [1]Orders!A:E, 3, FALSE)</f>
        <v>Madhav</v>
      </c>
      <c r="J987" t="str">
        <f>VLOOKUP(A987, [1]Orders!A:E, 4, FALSE)</f>
        <v>Delhi</v>
      </c>
      <c r="K987" t="str">
        <f>VLOOKUP(A987, [1]Orders!A:E, 5, FALSE)</f>
        <v>Delhi</v>
      </c>
    </row>
    <row r="988" spans="1:11" x14ac:dyDescent="0.5">
      <c r="A988" t="s">
        <v>169</v>
      </c>
      <c r="B988">
        <v>54</v>
      </c>
      <c r="C988">
        <v>12</v>
      </c>
      <c r="D988">
        <v>4</v>
      </c>
      <c r="E988" t="s">
        <v>23</v>
      </c>
      <c r="F988" t="s">
        <v>142</v>
      </c>
      <c r="G988" t="s">
        <v>10</v>
      </c>
      <c r="H988" s="1">
        <f>VLOOKUP(A988, [1]Orders!A:B, 2, FALSE)</f>
        <v>43177</v>
      </c>
      <c r="I988" t="str">
        <f>VLOOKUP(A988, [1]Orders!A:E, 3, FALSE)</f>
        <v>Shruti</v>
      </c>
      <c r="J988" t="str">
        <f>VLOOKUP(A988, [1]Orders!A:E, 4, FALSE)</f>
        <v>Karnataka</v>
      </c>
      <c r="K988" t="str">
        <f>VLOOKUP(A988, [1]Orders!A:E, 5, FALSE)</f>
        <v>Bangalore</v>
      </c>
    </row>
    <row r="989" spans="1:11" x14ac:dyDescent="0.5">
      <c r="A989" t="s">
        <v>34</v>
      </c>
      <c r="B989">
        <v>83</v>
      </c>
      <c r="C989">
        <v>6</v>
      </c>
      <c r="D989">
        <v>6</v>
      </c>
      <c r="E989" t="s">
        <v>23</v>
      </c>
      <c r="F989" t="s">
        <v>142</v>
      </c>
      <c r="G989" t="s">
        <v>14</v>
      </c>
      <c r="H989" s="1">
        <f>VLOOKUP(A989, [1]Orders!A:B, 2, FALSE)</f>
        <v>43435</v>
      </c>
      <c r="I989" t="str">
        <f>VLOOKUP(A989, [1]Orders!A:E, 3, FALSE)</f>
        <v>Vishakha</v>
      </c>
      <c r="J989" t="str">
        <f>VLOOKUP(A989, [1]Orders!A:E, 4, FALSE)</f>
        <v>Uttar Pradesh</v>
      </c>
      <c r="K989" t="str">
        <f>VLOOKUP(A989, [1]Orders!A:E, 5, FALSE)</f>
        <v>Prayagraj</v>
      </c>
    </row>
    <row r="990" spans="1:11" x14ac:dyDescent="0.5">
      <c r="A990" t="s">
        <v>205</v>
      </c>
      <c r="B990">
        <v>54</v>
      </c>
      <c r="C990">
        <v>-3</v>
      </c>
      <c r="D990">
        <v>3</v>
      </c>
      <c r="E990" t="s">
        <v>23</v>
      </c>
      <c r="F990" t="s">
        <v>26</v>
      </c>
      <c r="G990" t="s">
        <v>10</v>
      </c>
      <c r="H990" s="1">
        <f>VLOOKUP(A990, [1]Orders!A:B, 2, FALSE)</f>
        <v>43230</v>
      </c>
      <c r="I990" t="str">
        <f>VLOOKUP(A990, [1]Orders!A:E, 3, FALSE)</f>
        <v>Sabah</v>
      </c>
      <c r="J990" t="str">
        <f>VLOOKUP(A990, [1]Orders!A:E, 4, FALSE)</f>
        <v>Maharashtra</v>
      </c>
      <c r="K990" t="str">
        <f>VLOOKUP(A990, [1]Orders!A:E, 5, FALSE)</f>
        <v>Mumbai</v>
      </c>
    </row>
    <row r="991" spans="1:11" x14ac:dyDescent="0.5">
      <c r="A991" t="s">
        <v>115</v>
      </c>
      <c r="B991">
        <v>53</v>
      </c>
      <c r="C991">
        <v>5</v>
      </c>
      <c r="D991">
        <v>3</v>
      </c>
      <c r="E991" t="s">
        <v>23</v>
      </c>
      <c r="F991" t="s">
        <v>81</v>
      </c>
      <c r="G991" t="s">
        <v>10</v>
      </c>
      <c r="H991" s="1">
        <f>VLOOKUP(A991, [1]Orders!A:B, 2, FALSE)</f>
        <v>43441</v>
      </c>
      <c r="I991" t="str">
        <f>VLOOKUP(A991, [1]Orders!A:E, 3, FALSE)</f>
        <v>Abhishek</v>
      </c>
      <c r="J991" t="str">
        <f>VLOOKUP(A991, [1]Orders!A:E, 4, FALSE)</f>
        <v>Rajasthan</v>
      </c>
      <c r="K991" t="str">
        <f>VLOOKUP(A991, [1]Orders!A:E, 5, FALSE)</f>
        <v>Udaipur</v>
      </c>
    </row>
    <row r="992" spans="1:11" x14ac:dyDescent="0.5">
      <c r="A992" t="s">
        <v>246</v>
      </c>
      <c r="B992">
        <v>258</v>
      </c>
      <c r="C992">
        <v>-27</v>
      </c>
      <c r="D992">
        <v>2</v>
      </c>
      <c r="E992" t="s">
        <v>8</v>
      </c>
      <c r="F992" t="s">
        <v>21</v>
      </c>
      <c r="G992" t="s">
        <v>82</v>
      </c>
      <c r="H992" s="1">
        <f>VLOOKUP(A992, [1]Orders!A:B, 2, FALSE)</f>
        <v>43240</v>
      </c>
      <c r="I992" t="str">
        <f>VLOOKUP(A992, [1]Orders!A:E, 3, FALSE)</f>
        <v>Pratyusmita</v>
      </c>
      <c r="J992" t="str">
        <f>VLOOKUP(A992, [1]Orders!A:E, 4, FALSE)</f>
        <v>Bihar</v>
      </c>
      <c r="K992" t="str">
        <f>VLOOKUP(A992, [1]Orders!A:E, 5, FALSE)</f>
        <v>Patna</v>
      </c>
    </row>
    <row r="993" spans="1:11" x14ac:dyDescent="0.5">
      <c r="A993" t="s">
        <v>455</v>
      </c>
      <c r="B993">
        <v>199</v>
      </c>
      <c r="C993">
        <v>8</v>
      </c>
      <c r="D993">
        <v>2</v>
      </c>
      <c r="E993" t="s">
        <v>23</v>
      </c>
      <c r="F993" t="s">
        <v>26</v>
      </c>
      <c r="G993" t="s">
        <v>10</v>
      </c>
      <c r="H993" s="1">
        <f>VLOOKUP(A993, [1]Orders!A:B, 2, FALSE)</f>
        <v>43144</v>
      </c>
      <c r="I993" t="str">
        <f>VLOOKUP(A993, [1]Orders!A:E, 3, FALSE)</f>
        <v>Pearl</v>
      </c>
      <c r="J993" t="str">
        <f>VLOOKUP(A993, [1]Orders!A:E, 4, FALSE)</f>
        <v>Maharashtra</v>
      </c>
      <c r="K993" t="str">
        <f>VLOOKUP(A993, [1]Orders!A:E, 5, FALSE)</f>
        <v>Pune</v>
      </c>
    </row>
    <row r="994" spans="1:11" x14ac:dyDescent="0.5">
      <c r="A994" t="s">
        <v>300</v>
      </c>
      <c r="B994">
        <v>82</v>
      </c>
      <c r="C994">
        <v>-27</v>
      </c>
      <c r="D994">
        <v>3</v>
      </c>
      <c r="E994" t="s">
        <v>23</v>
      </c>
      <c r="F994" t="s">
        <v>32</v>
      </c>
      <c r="G994" t="s">
        <v>14</v>
      </c>
      <c r="H994" s="1">
        <f>VLOOKUP(A994, [1]Orders!A:B, 2, FALSE)</f>
        <v>43127</v>
      </c>
      <c r="I994" t="str">
        <f>VLOOKUP(A994, [1]Orders!A:E, 3, FALSE)</f>
        <v>Shivangi</v>
      </c>
      <c r="J994" t="str">
        <f>VLOOKUP(A994, [1]Orders!A:E, 4, FALSE)</f>
        <v>Madhya Pradesh</v>
      </c>
      <c r="K994" t="str">
        <f>VLOOKUP(A994, [1]Orders!A:E, 5, FALSE)</f>
        <v>Indore</v>
      </c>
    </row>
    <row r="995" spans="1:11" x14ac:dyDescent="0.5">
      <c r="A995" t="s">
        <v>273</v>
      </c>
      <c r="B995">
        <v>139</v>
      </c>
      <c r="C995">
        <v>36</v>
      </c>
      <c r="D995">
        <v>3</v>
      </c>
      <c r="E995" t="s">
        <v>23</v>
      </c>
      <c r="F995" t="s">
        <v>57</v>
      </c>
      <c r="G995" t="s">
        <v>10</v>
      </c>
      <c r="H995" s="1">
        <f>VLOOKUP(A995, [1]Orders!A:B, 2, FALSE)</f>
        <v>43169</v>
      </c>
      <c r="I995" t="str">
        <f>VLOOKUP(A995, [1]Orders!A:E, 3, FALSE)</f>
        <v>Mayank</v>
      </c>
      <c r="J995" t="str">
        <f>VLOOKUP(A995, [1]Orders!A:E, 4, FALSE)</f>
        <v>Maharashtra</v>
      </c>
      <c r="K995" t="str">
        <f>VLOOKUP(A995, [1]Orders!A:E, 5, FALSE)</f>
        <v>Mumbai</v>
      </c>
    </row>
    <row r="996" spans="1:11" x14ac:dyDescent="0.5">
      <c r="A996" t="s">
        <v>104</v>
      </c>
      <c r="B996">
        <v>53</v>
      </c>
      <c r="C996">
        <v>15</v>
      </c>
      <c r="D996">
        <v>2</v>
      </c>
      <c r="E996" t="s">
        <v>23</v>
      </c>
      <c r="F996" t="s">
        <v>57</v>
      </c>
      <c r="G996" t="s">
        <v>10</v>
      </c>
      <c r="H996" s="1">
        <f>VLOOKUP(A996, [1]Orders!A:B, 2, FALSE)</f>
        <v>43333</v>
      </c>
      <c r="I996" t="str">
        <f>VLOOKUP(A996, [1]Orders!A:E, 3, FALSE)</f>
        <v>Vishakha</v>
      </c>
      <c r="J996" t="str">
        <f>VLOOKUP(A996, [1]Orders!A:E, 4, FALSE)</f>
        <v>Madhya Pradesh</v>
      </c>
      <c r="K996" t="str">
        <f>VLOOKUP(A996, [1]Orders!A:E, 5, FALSE)</f>
        <v>Indore</v>
      </c>
    </row>
    <row r="997" spans="1:11" x14ac:dyDescent="0.5">
      <c r="A997" t="s">
        <v>336</v>
      </c>
      <c r="B997">
        <v>53</v>
      </c>
      <c r="C997">
        <v>1</v>
      </c>
      <c r="D997">
        <v>4</v>
      </c>
      <c r="E997" t="s">
        <v>23</v>
      </c>
      <c r="F997" t="s">
        <v>57</v>
      </c>
      <c r="G997" t="s">
        <v>10</v>
      </c>
      <c r="H997" s="1">
        <f>VLOOKUP(A997, [1]Orders!A:B, 2, FALSE)</f>
        <v>43212</v>
      </c>
      <c r="I997" t="str">
        <f>VLOOKUP(A997, [1]Orders!A:E, 3, FALSE)</f>
        <v>Atharv</v>
      </c>
      <c r="J997" t="str">
        <f>VLOOKUP(A997, [1]Orders!A:E, 4, FALSE)</f>
        <v>West Bengal</v>
      </c>
      <c r="K997" t="str">
        <f>VLOOKUP(A997, [1]Orders!A:E, 5, FALSE)</f>
        <v>Kolkata</v>
      </c>
    </row>
    <row r="998" spans="1:11" x14ac:dyDescent="0.5">
      <c r="A998" t="s">
        <v>456</v>
      </c>
      <c r="B998">
        <v>101</v>
      </c>
      <c r="C998">
        <v>38</v>
      </c>
      <c r="D998">
        <v>2</v>
      </c>
      <c r="E998" t="s">
        <v>12</v>
      </c>
      <c r="F998" t="s">
        <v>131</v>
      </c>
      <c r="G998" t="s">
        <v>10</v>
      </c>
      <c r="H998" s="1">
        <f>VLOOKUP(A998, [1]Orders!A:B, 2, FALSE)</f>
        <v>43393</v>
      </c>
      <c r="I998" t="str">
        <f>VLOOKUP(A998, [1]Orders!A:E, 3, FALSE)</f>
        <v>Shyam</v>
      </c>
      <c r="J998" t="str">
        <f>VLOOKUP(A998, [1]Orders!A:E, 4, FALSE)</f>
        <v>Madhya Pradesh</v>
      </c>
      <c r="K998" t="str">
        <f>VLOOKUP(A998, [1]Orders!A:E, 5, FALSE)</f>
        <v>Indore</v>
      </c>
    </row>
    <row r="999" spans="1:11" x14ac:dyDescent="0.5">
      <c r="A999" t="s">
        <v>54</v>
      </c>
      <c r="B999">
        <v>262</v>
      </c>
      <c r="C999">
        <v>215</v>
      </c>
      <c r="D999">
        <v>2</v>
      </c>
      <c r="E999" t="s">
        <v>8</v>
      </c>
      <c r="F999" t="s">
        <v>18</v>
      </c>
      <c r="G999" t="s">
        <v>82</v>
      </c>
      <c r="H999" s="1">
        <f>VLOOKUP(A999, [1]Orders!A:B, 2, FALSE)</f>
        <v>43330</v>
      </c>
      <c r="I999" t="str">
        <f>VLOOKUP(A999, [1]Orders!A:E, 3, FALSE)</f>
        <v>Akshay</v>
      </c>
      <c r="J999" t="str">
        <f>VLOOKUP(A999, [1]Orders!A:E, 4, FALSE)</f>
        <v>Bihar</v>
      </c>
      <c r="K999" t="str">
        <f>VLOOKUP(A999, [1]Orders!A:E, 5, FALSE)</f>
        <v>Patna</v>
      </c>
    </row>
    <row r="1000" spans="1:11" x14ac:dyDescent="0.5">
      <c r="A1000" t="s">
        <v>112</v>
      </c>
      <c r="B1000">
        <v>82</v>
      </c>
      <c r="C1000">
        <v>-39</v>
      </c>
      <c r="D1000">
        <v>5</v>
      </c>
      <c r="E1000" t="s">
        <v>23</v>
      </c>
      <c r="F1000" t="s">
        <v>81</v>
      </c>
      <c r="G1000" t="s">
        <v>14</v>
      </c>
      <c r="H1000" s="1">
        <f>VLOOKUP(A1000, [1]Orders!A:B, 2, FALSE)</f>
        <v>43269</v>
      </c>
      <c r="I1000" t="str">
        <f>VLOOKUP(A1000, [1]Orders!A:E, 3, FALSE)</f>
        <v>Parna</v>
      </c>
      <c r="J1000" t="str">
        <f>VLOOKUP(A1000, [1]Orders!A:E, 4, FALSE)</f>
        <v>Madhya Pradesh</v>
      </c>
      <c r="K1000" t="str">
        <f>VLOOKUP(A1000, [1]Orders!A:E, 5, FALSE)</f>
        <v>Bhopal</v>
      </c>
    </row>
    <row r="1001" spans="1:11" x14ac:dyDescent="0.5">
      <c r="A1001" t="s">
        <v>359</v>
      </c>
      <c r="B1001">
        <v>154</v>
      </c>
      <c r="C1001">
        <v>39</v>
      </c>
      <c r="D1001">
        <v>3</v>
      </c>
      <c r="E1001" t="s">
        <v>23</v>
      </c>
      <c r="F1001" t="s">
        <v>30</v>
      </c>
      <c r="G1001" t="s">
        <v>10</v>
      </c>
      <c r="H1001" s="1">
        <f>VLOOKUP(A1001, [1]Orders!A:B, 2, FALSE)</f>
        <v>43216</v>
      </c>
      <c r="I1001" t="str">
        <f>VLOOKUP(A1001, [1]Orders!A:E, 3, FALSE)</f>
        <v>Parth</v>
      </c>
      <c r="J1001" t="str">
        <f>VLOOKUP(A1001, [1]Orders!A:E, 4, FALSE)</f>
        <v>Maharashtra</v>
      </c>
      <c r="K1001" t="str">
        <f>VLOOKUP(A1001, [1]Orders!A:E, 5, FALSE)</f>
        <v>Pune</v>
      </c>
    </row>
    <row r="1002" spans="1:11" x14ac:dyDescent="0.5">
      <c r="A1002" t="s">
        <v>457</v>
      </c>
      <c r="B1002">
        <v>52</v>
      </c>
      <c r="C1002">
        <v>18</v>
      </c>
      <c r="D1002">
        <v>2</v>
      </c>
      <c r="E1002" t="s">
        <v>23</v>
      </c>
      <c r="F1002" t="s">
        <v>57</v>
      </c>
      <c r="G1002" t="s">
        <v>10</v>
      </c>
      <c r="H1002" s="1">
        <f>VLOOKUP(A1002, [1]Orders!A:B, 2, FALSE)</f>
        <v>43460</v>
      </c>
      <c r="I1002" t="str">
        <f>VLOOKUP(A1002, [1]Orders!A:E, 3, FALSE)</f>
        <v>Akshata</v>
      </c>
      <c r="J1002" t="str">
        <f>VLOOKUP(A1002, [1]Orders!A:E, 4, FALSE)</f>
        <v>Gujarat</v>
      </c>
      <c r="K1002" t="str">
        <f>VLOOKUP(A1002, [1]Orders!A:E, 5, FALSE)</f>
        <v>Surat</v>
      </c>
    </row>
    <row r="1003" spans="1:11" x14ac:dyDescent="0.5">
      <c r="A1003" t="s">
        <v>385</v>
      </c>
      <c r="B1003">
        <v>1599</v>
      </c>
      <c r="C1003">
        <v>37</v>
      </c>
      <c r="D1003">
        <v>6</v>
      </c>
      <c r="E1003" t="s">
        <v>8</v>
      </c>
      <c r="F1003" t="s">
        <v>9</v>
      </c>
      <c r="G1003" t="s">
        <v>28</v>
      </c>
      <c r="H1003" s="1">
        <f>VLOOKUP(A1003, [1]Orders!A:B, 2, FALSE)</f>
        <v>43457</v>
      </c>
      <c r="I1003" t="str">
        <f>VLOOKUP(A1003, [1]Orders!A:E, 3, FALSE)</f>
        <v>Neha</v>
      </c>
      <c r="J1003" t="str">
        <f>VLOOKUP(A1003, [1]Orders!A:E, 4, FALSE)</f>
        <v>Rajasthan</v>
      </c>
      <c r="K1003" t="str">
        <f>VLOOKUP(A1003, [1]Orders!A:E, 5, FALSE)</f>
        <v>Udaipur</v>
      </c>
    </row>
    <row r="1004" spans="1:11" x14ac:dyDescent="0.5">
      <c r="A1004" t="s">
        <v>255</v>
      </c>
      <c r="B1004">
        <v>338</v>
      </c>
      <c r="C1004">
        <v>41</v>
      </c>
      <c r="D1004">
        <v>7</v>
      </c>
      <c r="E1004" t="s">
        <v>23</v>
      </c>
      <c r="F1004" t="s">
        <v>30</v>
      </c>
      <c r="G1004" t="s">
        <v>28</v>
      </c>
      <c r="H1004" s="1">
        <f>VLOOKUP(A1004, [1]Orders!A:B, 2, FALSE)</f>
        <v>43132</v>
      </c>
      <c r="I1004" t="str">
        <f>VLOOKUP(A1004, [1]Orders!A:E, 3, FALSE)</f>
        <v>Anjali</v>
      </c>
      <c r="J1004" t="str">
        <f>VLOOKUP(A1004, [1]Orders!A:E, 4, FALSE)</f>
        <v>Delhi</v>
      </c>
      <c r="K1004" t="str">
        <f>VLOOKUP(A1004, [1]Orders!A:E, 5, FALSE)</f>
        <v>Delhi</v>
      </c>
    </row>
    <row r="1005" spans="1:11" x14ac:dyDescent="0.5">
      <c r="A1005" t="s">
        <v>292</v>
      </c>
      <c r="B1005">
        <v>51</v>
      </c>
      <c r="C1005">
        <v>-49</v>
      </c>
      <c r="D1005">
        <v>2</v>
      </c>
      <c r="E1005" t="s">
        <v>8</v>
      </c>
      <c r="F1005" t="s">
        <v>9</v>
      </c>
      <c r="G1005" t="s">
        <v>10</v>
      </c>
      <c r="H1005" s="1">
        <f>VLOOKUP(A1005, [1]Orders!A:B, 2, FALSE)</f>
        <v>43136</v>
      </c>
      <c r="I1005" t="str">
        <f>VLOOKUP(A1005, [1]Orders!A:E, 3, FALSE)</f>
        <v>Diwakar</v>
      </c>
      <c r="J1005" t="str">
        <f>VLOOKUP(A1005, [1]Orders!A:E, 4, FALSE)</f>
        <v>Delhi</v>
      </c>
      <c r="K1005" t="str">
        <f>VLOOKUP(A1005, [1]Orders!A:E, 5, FALSE)</f>
        <v>Delhi</v>
      </c>
    </row>
    <row r="1006" spans="1:11" x14ac:dyDescent="0.5">
      <c r="A1006" t="s">
        <v>290</v>
      </c>
      <c r="B1006">
        <v>224</v>
      </c>
      <c r="C1006">
        <v>-81</v>
      </c>
      <c r="D1006">
        <v>3</v>
      </c>
      <c r="E1006" t="s">
        <v>12</v>
      </c>
      <c r="F1006" t="s">
        <v>13</v>
      </c>
      <c r="G1006" t="s">
        <v>10</v>
      </c>
      <c r="H1006" s="1">
        <f>VLOOKUP(A1006, [1]Orders!A:B, 2, FALSE)</f>
        <v>43237</v>
      </c>
      <c r="I1006" t="str">
        <f>VLOOKUP(A1006, [1]Orders!A:E, 3, FALSE)</f>
        <v>Subhashree</v>
      </c>
      <c r="J1006" t="str">
        <f>VLOOKUP(A1006, [1]Orders!A:E, 4, FALSE)</f>
        <v>Jammu and Kashmir</v>
      </c>
      <c r="K1006" t="str">
        <f>VLOOKUP(A1006, [1]Orders!A:E, 5, FALSE)</f>
        <v>Kashmir</v>
      </c>
    </row>
    <row r="1007" spans="1:11" x14ac:dyDescent="0.5">
      <c r="A1007" t="s">
        <v>458</v>
      </c>
      <c r="B1007">
        <v>207</v>
      </c>
      <c r="C1007">
        <v>37</v>
      </c>
      <c r="D1007">
        <v>4</v>
      </c>
      <c r="E1007" t="s">
        <v>23</v>
      </c>
      <c r="F1007" t="s">
        <v>30</v>
      </c>
      <c r="G1007" t="s">
        <v>10</v>
      </c>
      <c r="H1007" s="1">
        <f>VLOOKUP(A1007, [1]Orders!A:B, 2, FALSE)</f>
        <v>43189</v>
      </c>
      <c r="I1007" t="str">
        <f>VLOOKUP(A1007, [1]Orders!A:E, 3, FALSE)</f>
        <v>Bhishm</v>
      </c>
      <c r="J1007" t="str">
        <f>VLOOKUP(A1007, [1]Orders!A:E, 4, FALSE)</f>
        <v>Maharashtra</v>
      </c>
      <c r="K1007" t="str">
        <f>VLOOKUP(A1007, [1]Orders!A:E, 5, FALSE)</f>
        <v>Mumbai</v>
      </c>
    </row>
    <row r="1008" spans="1:11" x14ac:dyDescent="0.5">
      <c r="A1008" t="s">
        <v>459</v>
      </c>
      <c r="B1008">
        <v>51</v>
      </c>
      <c r="C1008">
        <v>14</v>
      </c>
      <c r="D1008">
        <v>2</v>
      </c>
      <c r="E1008" t="s">
        <v>23</v>
      </c>
      <c r="F1008" t="s">
        <v>57</v>
      </c>
      <c r="G1008" t="s">
        <v>10</v>
      </c>
      <c r="H1008" s="1">
        <f>VLOOKUP(A1008, [1]Orders!A:B, 2, FALSE)</f>
        <v>43420</v>
      </c>
      <c r="I1008" t="str">
        <f>VLOOKUP(A1008, [1]Orders!A:E, 3, FALSE)</f>
        <v>Komal</v>
      </c>
      <c r="J1008" t="str">
        <f>VLOOKUP(A1008, [1]Orders!A:E, 4, FALSE)</f>
        <v>Himachal Pradesh</v>
      </c>
      <c r="K1008" t="str">
        <f>VLOOKUP(A1008, [1]Orders!A:E, 5, FALSE)</f>
        <v>Simla</v>
      </c>
    </row>
    <row r="1009" spans="1:11" x14ac:dyDescent="0.5">
      <c r="A1009" t="s">
        <v>128</v>
      </c>
      <c r="B1009">
        <v>82</v>
      </c>
      <c r="C1009">
        <v>8</v>
      </c>
      <c r="D1009">
        <v>3</v>
      </c>
      <c r="E1009" t="s">
        <v>8</v>
      </c>
      <c r="F1009" t="s">
        <v>73</v>
      </c>
      <c r="G1009" t="s">
        <v>14</v>
      </c>
      <c r="H1009" s="1">
        <f>VLOOKUP(A1009, [1]Orders!A:B, 2, FALSE)</f>
        <v>43188</v>
      </c>
      <c r="I1009" t="str">
        <f>VLOOKUP(A1009, [1]Orders!A:E, 3, FALSE)</f>
        <v>Pinky</v>
      </c>
      <c r="J1009" t="str">
        <f>VLOOKUP(A1009, [1]Orders!A:E, 4, FALSE)</f>
        <v>Jammu and Kashmir</v>
      </c>
      <c r="K1009" t="str">
        <f>VLOOKUP(A1009, [1]Orders!A:E, 5, FALSE)</f>
        <v>Kashmir</v>
      </c>
    </row>
    <row r="1010" spans="1:11" x14ac:dyDescent="0.5">
      <c r="A1010" t="s">
        <v>137</v>
      </c>
      <c r="B1010">
        <v>50</v>
      </c>
      <c r="C1010">
        <v>-17</v>
      </c>
      <c r="D1010">
        <v>2</v>
      </c>
      <c r="E1010" t="s">
        <v>23</v>
      </c>
      <c r="F1010" t="s">
        <v>57</v>
      </c>
      <c r="G1010" t="s">
        <v>10</v>
      </c>
      <c r="H1010" s="1">
        <f>VLOOKUP(A1010, [1]Orders!A:B, 2, FALSE)</f>
        <v>43174</v>
      </c>
      <c r="I1010" t="str">
        <f>VLOOKUP(A1010, [1]Orders!A:E, 3, FALSE)</f>
        <v>Tushina</v>
      </c>
      <c r="J1010" t="str">
        <f>VLOOKUP(A1010, [1]Orders!A:E, 4, FALSE)</f>
        <v>Goa</v>
      </c>
      <c r="K1010" t="str">
        <f>VLOOKUP(A1010, [1]Orders!A:E, 5, FALSE)</f>
        <v>Goa</v>
      </c>
    </row>
    <row r="1011" spans="1:11" x14ac:dyDescent="0.5">
      <c r="A1011" t="s">
        <v>37</v>
      </c>
      <c r="B1011">
        <v>263</v>
      </c>
      <c r="C1011">
        <v>-31</v>
      </c>
      <c r="D1011">
        <v>9</v>
      </c>
      <c r="E1011" t="s">
        <v>8</v>
      </c>
      <c r="F1011" t="s">
        <v>9</v>
      </c>
      <c r="G1011" t="s">
        <v>82</v>
      </c>
      <c r="H1011" s="1">
        <f>VLOOKUP(A1011, [1]Orders!A:B, 2, FALSE)</f>
        <v>43337</v>
      </c>
      <c r="I1011" t="str">
        <f>VLOOKUP(A1011, [1]Orders!A:E, 3, FALSE)</f>
        <v>Madhav</v>
      </c>
      <c r="J1011" t="str">
        <f>VLOOKUP(A1011, [1]Orders!A:E, 4, FALSE)</f>
        <v>Uttar Pradesh</v>
      </c>
      <c r="K1011" t="str">
        <f>VLOOKUP(A1011, [1]Orders!A:E, 5, FALSE)</f>
        <v>Mathura</v>
      </c>
    </row>
    <row r="1012" spans="1:11" x14ac:dyDescent="0.5">
      <c r="A1012" t="s">
        <v>241</v>
      </c>
      <c r="B1012">
        <v>50</v>
      </c>
      <c r="C1012">
        <v>7</v>
      </c>
      <c r="D1012">
        <v>6</v>
      </c>
      <c r="E1012" t="s">
        <v>23</v>
      </c>
      <c r="F1012" t="s">
        <v>43</v>
      </c>
      <c r="G1012" t="s">
        <v>10</v>
      </c>
      <c r="H1012" s="1">
        <f>VLOOKUP(A1012, [1]Orders!A:B, 2, FALSE)</f>
        <v>43407</v>
      </c>
      <c r="I1012" t="str">
        <f>VLOOKUP(A1012, [1]Orders!A:E, 3, FALSE)</f>
        <v>Mrunal</v>
      </c>
      <c r="J1012" t="str">
        <f>VLOOKUP(A1012, [1]Orders!A:E, 4, FALSE)</f>
        <v>Maharashtra</v>
      </c>
      <c r="K1012" t="str">
        <f>VLOOKUP(A1012, [1]Orders!A:E, 5, FALSE)</f>
        <v>Mumbai</v>
      </c>
    </row>
    <row r="1013" spans="1:11" x14ac:dyDescent="0.5">
      <c r="A1013" t="s">
        <v>400</v>
      </c>
      <c r="B1013">
        <v>245</v>
      </c>
      <c r="C1013">
        <v>-3</v>
      </c>
      <c r="D1013">
        <v>4</v>
      </c>
      <c r="E1013" t="s">
        <v>8</v>
      </c>
      <c r="F1013" t="s">
        <v>21</v>
      </c>
      <c r="G1013" t="s">
        <v>28</v>
      </c>
      <c r="H1013" s="1">
        <f>VLOOKUP(A1013, [1]Orders!A:B, 2, FALSE)</f>
        <v>43259</v>
      </c>
      <c r="I1013" t="str">
        <f>VLOOKUP(A1013, [1]Orders!A:E, 3, FALSE)</f>
        <v>Shreya</v>
      </c>
      <c r="J1013" t="str">
        <f>VLOOKUP(A1013, [1]Orders!A:E, 4, FALSE)</f>
        <v xml:space="preserve">Kerala </v>
      </c>
      <c r="K1013" t="str">
        <f>VLOOKUP(A1013, [1]Orders!A:E, 5, FALSE)</f>
        <v>Thiruvananthapuram</v>
      </c>
    </row>
    <row r="1014" spans="1:11" x14ac:dyDescent="0.5">
      <c r="A1014" t="s">
        <v>157</v>
      </c>
      <c r="B1014">
        <v>82</v>
      </c>
      <c r="C1014">
        <v>24</v>
      </c>
      <c r="D1014">
        <v>6</v>
      </c>
      <c r="E1014" t="s">
        <v>23</v>
      </c>
      <c r="F1014" t="s">
        <v>30</v>
      </c>
      <c r="G1014" t="s">
        <v>14</v>
      </c>
      <c r="H1014" s="1">
        <f>VLOOKUP(A1014, [1]Orders!A:B, 2, FALSE)</f>
        <v>43118</v>
      </c>
      <c r="I1014" t="str">
        <f>VLOOKUP(A1014, [1]Orders!A:E, 3, FALSE)</f>
        <v>Muskan</v>
      </c>
      <c r="J1014" t="str">
        <f>VLOOKUP(A1014, [1]Orders!A:E, 4, FALSE)</f>
        <v>Madhya Pradesh</v>
      </c>
      <c r="K1014" t="str">
        <f>VLOOKUP(A1014, [1]Orders!A:E, 5, FALSE)</f>
        <v>Indore</v>
      </c>
    </row>
    <row r="1015" spans="1:11" x14ac:dyDescent="0.5">
      <c r="A1015" t="s">
        <v>144</v>
      </c>
      <c r="B1015">
        <v>229</v>
      </c>
      <c r="C1015">
        <v>-41</v>
      </c>
      <c r="D1015">
        <v>8</v>
      </c>
      <c r="E1015" t="s">
        <v>8</v>
      </c>
      <c r="F1015" t="s">
        <v>73</v>
      </c>
      <c r="G1015" t="s">
        <v>10</v>
      </c>
      <c r="H1015" s="1">
        <f>VLOOKUP(A1015, [1]Orders!A:B, 2, FALSE)</f>
        <v>43363</v>
      </c>
      <c r="I1015" t="str">
        <f>VLOOKUP(A1015, [1]Orders!A:E, 3, FALSE)</f>
        <v>Asish</v>
      </c>
      <c r="J1015" t="str">
        <f>VLOOKUP(A1015, [1]Orders!A:E, 4, FALSE)</f>
        <v>Jammu and Kashmir</v>
      </c>
      <c r="K1015" t="str">
        <f>VLOOKUP(A1015, [1]Orders!A:E, 5, FALSE)</f>
        <v>Kashmir</v>
      </c>
    </row>
    <row r="1016" spans="1:11" x14ac:dyDescent="0.5">
      <c r="A1016" t="s">
        <v>179</v>
      </c>
      <c r="B1016">
        <v>50</v>
      </c>
      <c r="C1016">
        <v>14</v>
      </c>
      <c r="D1016">
        <v>1</v>
      </c>
      <c r="E1016" t="s">
        <v>8</v>
      </c>
      <c r="F1016" t="s">
        <v>9</v>
      </c>
      <c r="G1016" t="s">
        <v>10</v>
      </c>
      <c r="H1016" s="1">
        <f>VLOOKUP(A1016, [1]Orders!A:B, 2, FALSE)</f>
        <v>43113</v>
      </c>
      <c r="I1016" t="str">
        <f>VLOOKUP(A1016, [1]Orders!A:E, 3, FALSE)</f>
        <v>Jesal</v>
      </c>
      <c r="J1016" t="str">
        <f>VLOOKUP(A1016, [1]Orders!A:E, 4, FALSE)</f>
        <v>West Bengal</v>
      </c>
      <c r="K1016" t="str">
        <f>VLOOKUP(A1016, [1]Orders!A:E, 5, FALSE)</f>
        <v>Kolkata</v>
      </c>
    </row>
    <row r="1017" spans="1:11" x14ac:dyDescent="0.5">
      <c r="A1017" t="s">
        <v>211</v>
      </c>
      <c r="B1017">
        <v>220</v>
      </c>
      <c r="C1017">
        <v>40</v>
      </c>
      <c r="D1017">
        <v>2</v>
      </c>
      <c r="E1017" t="s">
        <v>8</v>
      </c>
      <c r="F1017" t="s">
        <v>73</v>
      </c>
      <c r="G1017" t="s">
        <v>10</v>
      </c>
      <c r="H1017" s="1">
        <f>VLOOKUP(A1017, [1]Orders!A:B, 2, FALSE)</f>
        <v>43169</v>
      </c>
      <c r="I1017" t="str">
        <f>VLOOKUP(A1017, [1]Orders!A:E, 3, FALSE)</f>
        <v>Sonal</v>
      </c>
      <c r="J1017" t="str">
        <f>VLOOKUP(A1017, [1]Orders!A:E, 4, FALSE)</f>
        <v>Bihar</v>
      </c>
      <c r="K1017" t="str">
        <f>VLOOKUP(A1017, [1]Orders!A:E, 5, FALSE)</f>
        <v>Patna</v>
      </c>
    </row>
    <row r="1018" spans="1:11" x14ac:dyDescent="0.5">
      <c r="A1018" t="s">
        <v>29</v>
      </c>
      <c r="B1018">
        <v>263</v>
      </c>
      <c r="C1018">
        <v>-63</v>
      </c>
      <c r="D1018">
        <v>2</v>
      </c>
      <c r="E1018" t="s">
        <v>8</v>
      </c>
      <c r="F1018" t="s">
        <v>9</v>
      </c>
      <c r="G1018" t="s">
        <v>82</v>
      </c>
      <c r="H1018" s="1">
        <f>VLOOKUP(A1018, [1]Orders!A:B, 2, FALSE)</f>
        <v>43219</v>
      </c>
      <c r="I1018" t="str">
        <f>VLOOKUP(A1018, [1]Orders!A:E, 3, FALSE)</f>
        <v>Kirti</v>
      </c>
      <c r="J1018" t="str">
        <f>VLOOKUP(A1018, [1]Orders!A:E, 4, FALSE)</f>
        <v>Jammu and Kashmir</v>
      </c>
      <c r="K1018" t="str">
        <f>VLOOKUP(A1018, [1]Orders!A:E, 5, FALSE)</f>
        <v>Kashmir</v>
      </c>
    </row>
    <row r="1019" spans="1:11" x14ac:dyDescent="0.5">
      <c r="A1019" t="s">
        <v>17</v>
      </c>
      <c r="B1019">
        <v>81</v>
      </c>
      <c r="C1019">
        <v>-41</v>
      </c>
      <c r="D1019">
        <v>5</v>
      </c>
      <c r="E1019" t="s">
        <v>23</v>
      </c>
      <c r="F1019" t="s">
        <v>63</v>
      </c>
      <c r="G1019" t="s">
        <v>14</v>
      </c>
      <c r="H1019" s="1">
        <f>VLOOKUP(A1019, [1]Orders!A:B, 2, FALSE)</f>
        <v>43186</v>
      </c>
      <c r="I1019" t="str">
        <f>VLOOKUP(A1019, [1]Orders!A:E, 3, FALSE)</f>
        <v>Sarita</v>
      </c>
      <c r="J1019" t="str">
        <f>VLOOKUP(A1019, [1]Orders!A:E, 4, FALSE)</f>
        <v>Maharashtra</v>
      </c>
      <c r="K1019" t="str">
        <f>VLOOKUP(A1019, [1]Orders!A:E, 5, FALSE)</f>
        <v>Pune</v>
      </c>
    </row>
    <row r="1020" spans="1:11" x14ac:dyDescent="0.5">
      <c r="A1020" t="s">
        <v>460</v>
      </c>
      <c r="B1020">
        <v>50</v>
      </c>
      <c r="C1020">
        <v>-17</v>
      </c>
      <c r="D1020">
        <v>2</v>
      </c>
      <c r="E1020" t="s">
        <v>23</v>
      </c>
      <c r="F1020" t="s">
        <v>57</v>
      </c>
      <c r="G1020" t="s">
        <v>10</v>
      </c>
      <c r="H1020" s="1">
        <f>VLOOKUP(A1020, [1]Orders!A:B, 2, FALSE)</f>
        <v>43351</v>
      </c>
      <c r="I1020" t="str">
        <f>VLOOKUP(A1020, [1]Orders!A:E, 3, FALSE)</f>
        <v>Duhita</v>
      </c>
      <c r="J1020" t="str">
        <f>VLOOKUP(A1020, [1]Orders!A:E, 4, FALSE)</f>
        <v>Haryana</v>
      </c>
      <c r="K1020" t="str">
        <f>VLOOKUP(A1020, [1]Orders!A:E, 5, FALSE)</f>
        <v>Chandigarh</v>
      </c>
    </row>
    <row r="1021" spans="1:11" x14ac:dyDescent="0.5">
      <c r="A1021" t="s">
        <v>17</v>
      </c>
      <c r="B1021">
        <v>49</v>
      </c>
      <c r="C1021">
        <v>5</v>
      </c>
      <c r="D1021">
        <v>4</v>
      </c>
      <c r="E1021" t="s">
        <v>23</v>
      </c>
      <c r="F1021" t="s">
        <v>30</v>
      </c>
      <c r="G1021" t="s">
        <v>10</v>
      </c>
      <c r="H1021" s="1">
        <f>VLOOKUP(A1021, [1]Orders!A:B, 2, FALSE)</f>
        <v>43186</v>
      </c>
      <c r="I1021" t="str">
        <f>VLOOKUP(A1021, [1]Orders!A:E, 3, FALSE)</f>
        <v>Sarita</v>
      </c>
      <c r="J1021" t="str">
        <f>VLOOKUP(A1021, [1]Orders!A:E, 4, FALSE)</f>
        <v>Maharashtra</v>
      </c>
      <c r="K1021" t="str">
        <f>VLOOKUP(A1021, [1]Orders!A:E, 5, FALSE)</f>
        <v>Pune</v>
      </c>
    </row>
    <row r="1022" spans="1:11" x14ac:dyDescent="0.5">
      <c r="A1022" t="s">
        <v>31</v>
      </c>
      <c r="B1022">
        <v>237</v>
      </c>
      <c r="C1022">
        <v>47</v>
      </c>
      <c r="D1022">
        <v>9</v>
      </c>
      <c r="E1022" t="s">
        <v>23</v>
      </c>
      <c r="F1022" t="s">
        <v>81</v>
      </c>
      <c r="G1022" t="s">
        <v>28</v>
      </c>
      <c r="H1022" s="1">
        <f>VLOOKUP(A1022, [1]Orders!A:B, 2, FALSE)</f>
        <v>43410</v>
      </c>
      <c r="I1022" t="str">
        <f>VLOOKUP(A1022, [1]Orders!A:E, 3, FALSE)</f>
        <v>Kushal</v>
      </c>
      <c r="J1022" t="str">
        <f>VLOOKUP(A1022, [1]Orders!A:E, 4, FALSE)</f>
        <v>Nagaland</v>
      </c>
      <c r="K1022" t="str">
        <f>VLOOKUP(A1022, [1]Orders!A:E, 5, FALSE)</f>
        <v>Kohima</v>
      </c>
    </row>
    <row r="1023" spans="1:11" x14ac:dyDescent="0.5">
      <c r="A1023" t="s">
        <v>461</v>
      </c>
      <c r="B1023">
        <v>264</v>
      </c>
      <c r="C1023">
        <v>-30</v>
      </c>
      <c r="D1023">
        <v>3</v>
      </c>
      <c r="E1023" t="s">
        <v>12</v>
      </c>
      <c r="F1023" t="s">
        <v>131</v>
      </c>
      <c r="G1023" t="s">
        <v>82</v>
      </c>
      <c r="H1023" s="1">
        <f>VLOOKUP(A1023, [1]Orders!A:B, 2, FALSE)</f>
        <v>43261</v>
      </c>
      <c r="I1023" t="str">
        <f>VLOOKUP(A1023, [1]Orders!A:E, 3, FALSE)</f>
        <v>Sheetal</v>
      </c>
      <c r="J1023" t="str">
        <f>VLOOKUP(A1023, [1]Orders!A:E, 4, FALSE)</f>
        <v>Madhya Pradesh</v>
      </c>
      <c r="K1023" t="str">
        <f>VLOOKUP(A1023, [1]Orders!A:E, 5, FALSE)</f>
        <v>Indore</v>
      </c>
    </row>
    <row r="1024" spans="1:11" x14ac:dyDescent="0.5">
      <c r="A1024" t="s">
        <v>119</v>
      </c>
      <c r="B1024">
        <v>49</v>
      </c>
      <c r="C1024">
        <v>3</v>
      </c>
      <c r="D1024">
        <v>1</v>
      </c>
      <c r="E1024" t="s">
        <v>23</v>
      </c>
      <c r="F1024" t="s">
        <v>142</v>
      </c>
      <c r="G1024" t="s">
        <v>10</v>
      </c>
      <c r="H1024" s="1">
        <f>VLOOKUP(A1024, [1]Orders!A:B, 2, FALSE)</f>
        <v>43227</v>
      </c>
      <c r="I1024" t="str">
        <f>VLOOKUP(A1024, [1]Orders!A:E, 3, FALSE)</f>
        <v>Anurag</v>
      </c>
      <c r="J1024" t="str">
        <f>VLOOKUP(A1024, [1]Orders!A:E, 4, FALSE)</f>
        <v>Madhya Pradesh</v>
      </c>
      <c r="K1024" t="str">
        <f>VLOOKUP(A1024, [1]Orders!A:E, 5, FALSE)</f>
        <v>Indore</v>
      </c>
    </row>
    <row r="1025" spans="1:11" x14ac:dyDescent="0.5">
      <c r="A1025" t="s">
        <v>307</v>
      </c>
      <c r="B1025">
        <v>63</v>
      </c>
      <c r="C1025">
        <v>-24</v>
      </c>
      <c r="D1025">
        <v>6</v>
      </c>
      <c r="E1025" t="s">
        <v>23</v>
      </c>
      <c r="F1025" t="s">
        <v>32</v>
      </c>
      <c r="G1025" t="s">
        <v>10</v>
      </c>
      <c r="H1025" s="1">
        <f>VLOOKUP(A1025, [1]Orders!A:B, 2, FALSE)</f>
        <v>43367</v>
      </c>
      <c r="I1025" t="str">
        <f>VLOOKUP(A1025, [1]Orders!A:E, 3, FALSE)</f>
        <v>Siddharth</v>
      </c>
      <c r="J1025" t="str">
        <f>VLOOKUP(A1025, [1]Orders!A:E, 4, FALSE)</f>
        <v>Madhya Pradesh</v>
      </c>
      <c r="K1025" t="str">
        <f>VLOOKUP(A1025, [1]Orders!A:E, 5, FALSE)</f>
        <v>Indore</v>
      </c>
    </row>
    <row r="1026" spans="1:11" x14ac:dyDescent="0.5">
      <c r="A1026" t="s">
        <v>152</v>
      </c>
      <c r="B1026">
        <v>81</v>
      </c>
      <c r="C1026">
        <v>-51</v>
      </c>
      <c r="D1026">
        <v>7</v>
      </c>
      <c r="E1026" t="s">
        <v>23</v>
      </c>
      <c r="F1026" t="s">
        <v>57</v>
      </c>
      <c r="G1026" t="s">
        <v>14</v>
      </c>
      <c r="H1026" s="1">
        <f>VLOOKUP(A1026, [1]Orders!A:B, 2, FALSE)</f>
        <v>43282</v>
      </c>
      <c r="I1026" t="str">
        <f>VLOOKUP(A1026, [1]Orders!A:E, 3, FALSE)</f>
        <v>Kishwar</v>
      </c>
      <c r="J1026" t="str">
        <f>VLOOKUP(A1026, [1]Orders!A:E, 4, FALSE)</f>
        <v>Madhya Pradesh</v>
      </c>
      <c r="K1026" t="str">
        <f>VLOOKUP(A1026, [1]Orders!A:E, 5, FALSE)</f>
        <v>Indore</v>
      </c>
    </row>
    <row r="1027" spans="1:11" x14ac:dyDescent="0.5">
      <c r="A1027" t="s">
        <v>162</v>
      </c>
      <c r="B1027">
        <v>264</v>
      </c>
      <c r="C1027">
        <v>71</v>
      </c>
      <c r="D1027">
        <v>10</v>
      </c>
      <c r="E1027" t="s">
        <v>12</v>
      </c>
      <c r="F1027" t="s">
        <v>131</v>
      </c>
      <c r="G1027" t="s">
        <v>82</v>
      </c>
      <c r="H1027" s="1">
        <f>VLOOKUP(A1027, [1]Orders!A:B, 2, FALSE)</f>
        <v>43407</v>
      </c>
      <c r="I1027" t="str">
        <f>VLOOKUP(A1027, [1]Orders!A:E, 3, FALSE)</f>
        <v>Aniket</v>
      </c>
      <c r="J1027" t="str">
        <f>VLOOKUP(A1027, [1]Orders!A:E, 4, FALSE)</f>
        <v>Haryana</v>
      </c>
      <c r="K1027" t="str">
        <f>VLOOKUP(A1027, [1]Orders!A:E, 5, FALSE)</f>
        <v>Chandigarh</v>
      </c>
    </row>
    <row r="1028" spans="1:11" x14ac:dyDescent="0.5">
      <c r="A1028" t="s">
        <v>328</v>
      </c>
      <c r="B1028">
        <v>48</v>
      </c>
      <c r="C1028">
        <v>11</v>
      </c>
      <c r="D1028">
        <v>2</v>
      </c>
      <c r="E1028" t="s">
        <v>23</v>
      </c>
      <c r="F1028" t="s">
        <v>142</v>
      </c>
      <c r="G1028" t="s">
        <v>10</v>
      </c>
      <c r="H1028" s="1">
        <f>VLOOKUP(A1028, [1]Orders!A:B, 2, FALSE)</f>
        <v>43114</v>
      </c>
      <c r="I1028" t="str">
        <f>VLOOKUP(A1028, [1]Orders!A:E, 3, FALSE)</f>
        <v>Trupti</v>
      </c>
      <c r="J1028" t="str">
        <f>VLOOKUP(A1028, [1]Orders!A:E, 4, FALSE)</f>
        <v>Gujarat</v>
      </c>
      <c r="K1028" t="str">
        <f>VLOOKUP(A1028, [1]Orders!A:E, 5, FALSE)</f>
        <v>Ahmedabad</v>
      </c>
    </row>
    <row r="1029" spans="1:11" x14ac:dyDescent="0.5">
      <c r="A1029" t="s">
        <v>321</v>
      </c>
      <c r="B1029">
        <v>48</v>
      </c>
      <c r="C1029">
        <v>15</v>
      </c>
      <c r="D1029">
        <v>1</v>
      </c>
      <c r="E1029" t="s">
        <v>23</v>
      </c>
      <c r="F1029" t="s">
        <v>30</v>
      </c>
      <c r="G1029" t="s">
        <v>10</v>
      </c>
      <c r="H1029" s="1">
        <f>VLOOKUP(A1029, [1]Orders!A:B, 2, FALSE)</f>
        <v>43135</v>
      </c>
      <c r="I1029" t="str">
        <f>VLOOKUP(A1029, [1]Orders!A:E, 3, FALSE)</f>
        <v>Yogesh</v>
      </c>
      <c r="J1029" t="str">
        <f>VLOOKUP(A1029, [1]Orders!A:E, 4, FALSE)</f>
        <v>Maharashtra</v>
      </c>
      <c r="K1029" t="str">
        <f>VLOOKUP(A1029, [1]Orders!A:E, 5, FALSE)</f>
        <v>Pune</v>
      </c>
    </row>
    <row r="1030" spans="1:11" x14ac:dyDescent="0.5">
      <c r="A1030" t="s">
        <v>135</v>
      </c>
      <c r="B1030">
        <v>245</v>
      </c>
      <c r="C1030">
        <v>-78</v>
      </c>
      <c r="D1030">
        <v>2</v>
      </c>
      <c r="E1030" t="s">
        <v>8</v>
      </c>
      <c r="F1030" t="s">
        <v>18</v>
      </c>
      <c r="G1030" t="s">
        <v>28</v>
      </c>
      <c r="H1030" s="1">
        <f>VLOOKUP(A1030, [1]Orders!A:B, 2, FALSE)</f>
        <v>43226</v>
      </c>
      <c r="I1030" t="str">
        <f>VLOOKUP(A1030, [1]Orders!A:E, 3, FALSE)</f>
        <v>Chirag</v>
      </c>
      <c r="J1030" t="str">
        <f>VLOOKUP(A1030, [1]Orders!A:E, 4, FALSE)</f>
        <v>Maharashtra</v>
      </c>
      <c r="K1030" t="str">
        <f>VLOOKUP(A1030, [1]Orders!A:E, 5, FALSE)</f>
        <v>Mumbai</v>
      </c>
    </row>
    <row r="1031" spans="1:11" x14ac:dyDescent="0.5">
      <c r="A1031" t="s">
        <v>59</v>
      </c>
      <c r="B1031">
        <v>146</v>
      </c>
      <c r="C1031">
        <v>42</v>
      </c>
      <c r="D1031">
        <v>5</v>
      </c>
      <c r="E1031" t="s">
        <v>23</v>
      </c>
      <c r="F1031" t="s">
        <v>30</v>
      </c>
      <c r="G1031" t="s">
        <v>28</v>
      </c>
      <c r="H1031" s="1">
        <f>VLOOKUP(A1031, [1]Orders!A:B, 2, FALSE)</f>
        <v>43431</v>
      </c>
      <c r="I1031" t="str">
        <f>VLOOKUP(A1031, [1]Orders!A:E, 3, FALSE)</f>
        <v>Saptadeep</v>
      </c>
      <c r="J1031" t="str">
        <f>VLOOKUP(A1031, [1]Orders!A:E, 4, FALSE)</f>
        <v>Gujarat</v>
      </c>
      <c r="K1031" t="str">
        <f>VLOOKUP(A1031, [1]Orders!A:E, 5, FALSE)</f>
        <v>Surat</v>
      </c>
    </row>
    <row r="1032" spans="1:11" x14ac:dyDescent="0.5">
      <c r="A1032" t="s">
        <v>125</v>
      </c>
      <c r="B1032">
        <v>245</v>
      </c>
      <c r="C1032">
        <v>10</v>
      </c>
      <c r="D1032">
        <v>2</v>
      </c>
      <c r="E1032" t="s">
        <v>12</v>
      </c>
      <c r="F1032" t="s">
        <v>16</v>
      </c>
      <c r="G1032" t="s">
        <v>10</v>
      </c>
      <c r="H1032" s="1">
        <f>VLOOKUP(A1032, [1]Orders!A:B, 2, FALSE)</f>
        <v>43111</v>
      </c>
      <c r="I1032" t="str">
        <f>VLOOKUP(A1032, [1]Orders!A:E, 3, FALSE)</f>
        <v>Mhatre</v>
      </c>
      <c r="J1032" t="str">
        <f>VLOOKUP(A1032, [1]Orders!A:E, 4, FALSE)</f>
        <v>Madhya Pradesh</v>
      </c>
      <c r="K1032" t="str">
        <f>VLOOKUP(A1032, [1]Orders!A:E, 5, FALSE)</f>
        <v>Indore</v>
      </c>
    </row>
    <row r="1033" spans="1:11" x14ac:dyDescent="0.5">
      <c r="A1033" t="s">
        <v>264</v>
      </c>
      <c r="B1033">
        <v>245</v>
      </c>
      <c r="C1033">
        <v>91</v>
      </c>
      <c r="D1033">
        <v>2</v>
      </c>
      <c r="E1033" t="s">
        <v>12</v>
      </c>
      <c r="F1033" t="s">
        <v>16</v>
      </c>
      <c r="G1033" t="s">
        <v>28</v>
      </c>
      <c r="H1033" s="1">
        <f>VLOOKUP(A1033, [1]Orders!A:B, 2, FALSE)</f>
        <v>43128</v>
      </c>
      <c r="I1033" t="str">
        <f>VLOOKUP(A1033, [1]Orders!A:E, 3, FALSE)</f>
        <v>Amruta</v>
      </c>
      <c r="J1033" t="str">
        <f>VLOOKUP(A1033, [1]Orders!A:E, 4, FALSE)</f>
        <v>Delhi</v>
      </c>
      <c r="K1033" t="str">
        <f>VLOOKUP(A1033, [1]Orders!A:E, 5, FALSE)</f>
        <v>Delhi</v>
      </c>
    </row>
    <row r="1034" spans="1:11" x14ac:dyDescent="0.5">
      <c r="A1034" t="s">
        <v>395</v>
      </c>
      <c r="B1034">
        <v>80</v>
      </c>
      <c r="C1034">
        <v>3</v>
      </c>
      <c r="D1034">
        <v>3</v>
      </c>
      <c r="E1034" t="s">
        <v>23</v>
      </c>
      <c r="F1034" t="s">
        <v>57</v>
      </c>
      <c r="G1034" t="s">
        <v>14</v>
      </c>
      <c r="H1034" s="1">
        <f>VLOOKUP(A1034, [1]Orders!A:B, 2, FALSE)</f>
        <v>43419</v>
      </c>
      <c r="I1034" t="str">
        <f>VLOOKUP(A1034, [1]Orders!A:E, 3, FALSE)</f>
        <v>Amol</v>
      </c>
      <c r="J1034" t="str">
        <f>VLOOKUP(A1034, [1]Orders!A:E, 4, FALSE)</f>
        <v>Bihar</v>
      </c>
      <c r="K1034" t="str">
        <f>VLOOKUP(A1034, [1]Orders!A:E, 5, FALSE)</f>
        <v>Patna</v>
      </c>
    </row>
    <row r="1035" spans="1:11" x14ac:dyDescent="0.5">
      <c r="A1035" t="s">
        <v>196</v>
      </c>
      <c r="B1035">
        <v>269</v>
      </c>
      <c r="C1035">
        <v>33</v>
      </c>
      <c r="D1035">
        <v>5</v>
      </c>
      <c r="E1035" t="s">
        <v>12</v>
      </c>
      <c r="F1035" t="s">
        <v>13</v>
      </c>
      <c r="G1035" t="s">
        <v>82</v>
      </c>
      <c r="H1035" s="1">
        <f>VLOOKUP(A1035, [1]Orders!A:B, 2, FALSE)</f>
        <v>43428</v>
      </c>
      <c r="I1035" t="str">
        <f>VLOOKUP(A1035, [1]Orders!A:E, 3, FALSE)</f>
        <v>Dashyam</v>
      </c>
      <c r="J1035" t="str">
        <f>VLOOKUP(A1035, [1]Orders!A:E, 4, FALSE)</f>
        <v>Gujarat</v>
      </c>
      <c r="K1035" t="str">
        <f>VLOOKUP(A1035, [1]Orders!A:E, 5, FALSE)</f>
        <v>Surat</v>
      </c>
    </row>
    <row r="1036" spans="1:11" x14ac:dyDescent="0.5">
      <c r="A1036" t="s">
        <v>462</v>
      </c>
      <c r="B1036">
        <v>80</v>
      </c>
      <c r="C1036">
        <v>22</v>
      </c>
      <c r="D1036">
        <v>3</v>
      </c>
      <c r="E1036" t="s">
        <v>23</v>
      </c>
      <c r="F1036" t="s">
        <v>57</v>
      </c>
      <c r="G1036" t="s">
        <v>14</v>
      </c>
      <c r="H1036" s="1">
        <f>VLOOKUP(A1036, [1]Orders!A:B, 2, FALSE)</f>
        <v>43186</v>
      </c>
      <c r="I1036" t="str">
        <f>VLOOKUP(A1036, [1]Orders!A:E, 3, FALSE)</f>
        <v>Sagar</v>
      </c>
      <c r="J1036" t="str">
        <f>VLOOKUP(A1036, [1]Orders!A:E, 4, FALSE)</f>
        <v>Nagaland</v>
      </c>
      <c r="K1036" t="str">
        <f>VLOOKUP(A1036, [1]Orders!A:E, 5, FALSE)</f>
        <v>Kohima</v>
      </c>
    </row>
    <row r="1037" spans="1:11" x14ac:dyDescent="0.5">
      <c r="A1037" t="s">
        <v>230</v>
      </c>
      <c r="B1037">
        <v>284</v>
      </c>
      <c r="C1037">
        <v>44</v>
      </c>
      <c r="D1037">
        <v>6</v>
      </c>
      <c r="E1037" t="s">
        <v>23</v>
      </c>
      <c r="F1037" t="s">
        <v>30</v>
      </c>
      <c r="G1037" t="s">
        <v>10</v>
      </c>
      <c r="H1037" s="1">
        <f>VLOOKUP(A1037, [1]Orders!A:B, 2, FALSE)</f>
        <v>43165</v>
      </c>
      <c r="I1037" t="str">
        <f>VLOOKUP(A1037, [1]Orders!A:E, 3, FALSE)</f>
        <v>Paridhi</v>
      </c>
      <c r="J1037" t="str">
        <f>VLOOKUP(A1037, [1]Orders!A:E, 4, FALSE)</f>
        <v>Rajasthan</v>
      </c>
      <c r="K1037" t="str">
        <f>VLOOKUP(A1037, [1]Orders!A:E, 5, FALSE)</f>
        <v>Jaipur</v>
      </c>
    </row>
    <row r="1038" spans="1:11" x14ac:dyDescent="0.5">
      <c r="A1038" t="s">
        <v>463</v>
      </c>
      <c r="B1038">
        <v>313</v>
      </c>
      <c r="C1038">
        <v>44</v>
      </c>
      <c r="D1038">
        <v>3</v>
      </c>
      <c r="E1038" t="s">
        <v>8</v>
      </c>
      <c r="F1038" t="s">
        <v>9</v>
      </c>
      <c r="G1038" t="s">
        <v>10</v>
      </c>
      <c r="H1038" s="1">
        <f>VLOOKUP(A1038, [1]Orders!A:B, 2, FALSE)</f>
        <v>43179</v>
      </c>
      <c r="I1038" t="str">
        <f>VLOOKUP(A1038, [1]Orders!A:E, 3, FALSE)</f>
        <v>Sweta</v>
      </c>
      <c r="J1038" t="str">
        <f>VLOOKUP(A1038, [1]Orders!A:E, 4, FALSE)</f>
        <v>Maharashtra</v>
      </c>
      <c r="K1038" t="str">
        <f>VLOOKUP(A1038, [1]Orders!A:E, 5, FALSE)</f>
        <v>Mumbai</v>
      </c>
    </row>
    <row r="1039" spans="1:11" x14ac:dyDescent="0.5">
      <c r="A1039" t="s">
        <v>464</v>
      </c>
      <c r="B1039">
        <v>80</v>
      </c>
      <c r="C1039">
        <v>-26</v>
      </c>
      <c r="D1039">
        <v>9</v>
      </c>
      <c r="E1039" t="s">
        <v>23</v>
      </c>
      <c r="F1039" t="s">
        <v>43</v>
      </c>
      <c r="G1039" t="s">
        <v>14</v>
      </c>
      <c r="H1039" s="1">
        <f>VLOOKUP(A1039, [1]Orders!A:B, 2, FALSE)</f>
        <v>43454</v>
      </c>
      <c r="I1039" t="str">
        <f>VLOOKUP(A1039, [1]Orders!A:E, 3, FALSE)</f>
        <v>Utkarsh</v>
      </c>
      <c r="J1039" t="str">
        <f>VLOOKUP(A1039, [1]Orders!A:E, 4, FALSE)</f>
        <v>Gujarat</v>
      </c>
      <c r="K1039" t="str">
        <f>VLOOKUP(A1039, [1]Orders!A:E, 5, FALSE)</f>
        <v>Surat</v>
      </c>
    </row>
    <row r="1040" spans="1:11" x14ac:dyDescent="0.5">
      <c r="A1040" t="s">
        <v>465</v>
      </c>
      <c r="B1040">
        <v>48</v>
      </c>
      <c r="C1040">
        <v>-8</v>
      </c>
      <c r="D1040">
        <v>8</v>
      </c>
      <c r="E1040" t="s">
        <v>23</v>
      </c>
      <c r="F1040" t="s">
        <v>57</v>
      </c>
      <c r="G1040" t="s">
        <v>10</v>
      </c>
      <c r="H1040" s="1">
        <f>VLOOKUP(A1040, [1]Orders!A:B, 2, FALSE)</f>
        <v>43298</v>
      </c>
      <c r="I1040" t="str">
        <f>VLOOKUP(A1040, [1]Orders!A:E, 3, FALSE)</f>
        <v>Inderpreet</v>
      </c>
      <c r="J1040" t="str">
        <f>VLOOKUP(A1040, [1]Orders!A:E, 4, FALSE)</f>
        <v>Himachal Pradesh</v>
      </c>
      <c r="K1040" t="str">
        <f>VLOOKUP(A1040, [1]Orders!A:E, 5, FALSE)</f>
        <v>Simla</v>
      </c>
    </row>
    <row r="1041" spans="1:11" x14ac:dyDescent="0.5">
      <c r="A1041" t="s">
        <v>466</v>
      </c>
      <c r="B1041">
        <v>87</v>
      </c>
      <c r="C1041">
        <v>16</v>
      </c>
      <c r="D1041">
        <v>2</v>
      </c>
      <c r="E1041" t="s">
        <v>23</v>
      </c>
      <c r="F1041" t="s">
        <v>26</v>
      </c>
      <c r="G1041" t="s">
        <v>28</v>
      </c>
      <c r="H1041" s="1">
        <f>VLOOKUP(A1041, [1]Orders!A:B, 2, FALSE)</f>
        <v>43322</v>
      </c>
      <c r="I1041" t="str">
        <f>VLOOKUP(A1041, [1]Orders!A:E, 3, FALSE)</f>
        <v>Shivam</v>
      </c>
      <c r="J1041" t="str">
        <f>VLOOKUP(A1041, [1]Orders!A:E, 4, FALSE)</f>
        <v>Maharashtra</v>
      </c>
      <c r="K1041" t="str">
        <f>VLOOKUP(A1041, [1]Orders!A:E, 5, FALSE)</f>
        <v>Pune</v>
      </c>
    </row>
    <row r="1042" spans="1:11" x14ac:dyDescent="0.5">
      <c r="A1042" t="s">
        <v>288</v>
      </c>
      <c r="B1042">
        <v>47</v>
      </c>
      <c r="C1042">
        <v>-114</v>
      </c>
      <c r="D1042">
        <v>5</v>
      </c>
      <c r="E1042" t="s">
        <v>12</v>
      </c>
      <c r="F1042" t="s">
        <v>131</v>
      </c>
      <c r="G1042" t="s">
        <v>10</v>
      </c>
      <c r="H1042" s="1">
        <f>VLOOKUP(A1042, [1]Orders!A:B, 2, FALSE)</f>
        <v>43329</v>
      </c>
      <c r="I1042" t="str">
        <f>VLOOKUP(A1042, [1]Orders!A:E, 3, FALSE)</f>
        <v>Shivam</v>
      </c>
      <c r="J1042" t="str">
        <f>VLOOKUP(A1042, [1]Orders!A:E, 4, FALSE)</f>
        <v>Uttar Pradesh</v>
      </c>
      <c r="K1042" t="str">
        <f>VLOOKUP(A1042, [1]Orders!A:E, 5, FALSE)</f>
        <v>Lucknow</v>
      </c>
    </row>
    <row r="1043" spans="1:11" x14ac:dyDescent="0.5">
      <c r="A1043" t="s">
        <v>394</v>
      </c>
      <c r="B1043">
        <v>140</v>
      </c>
      <c r="C1043">
        <v>28</v>
      </c>
      <c r="D1043">
        <v>2</v>
      </c>
      <c r="E1043" t="s">
        <v>8</v>
      </c>
      <c r="F1043" t="s">
        <v>21</v>
      </c>
      <c r="G1043" t="s">
        <v>10</v>
      </c>
      <c r="H1043" s="1">
        <f>VLOOKUP(A1043, [1]Orders!A:B, 2, FALSE)</f>
        <v>43117</v>
      </c>
      <c r="I1043" t="str">
        <f>VLOOKUP(A1043, [1]Orders!A:E, 3, FALSE)</f>
        <v>Shreya</v>
      </c>
      <c r="J1043" t="str">
        <f>VLOOKUP(A1043, [1]Orders!A:E, 4, FALSE)</f>
        <v>Maharashtra</v>
      </c>
      <c r="K1043" t="str">
        <f>VLOOKUP(A1043, [1]Orders!A:E, 5, FALSE)</f>
        <v>Mumbai</v>
      </c>
    </row>
    <row r="1044" spans="1:11" x14ac:dyDescent="0.5">
      <c r="A1044" t="s">
        <v>173</v>
      </c>
      <c r="B1044">
        <v>47</v>
      </c>
      <c r="C1044">
        <v>1</v>
      </c>
      <c r="D1044">
        <v>2</v>
      </c>
      <c r="E1044" t="s">
        <v>23</v>
      </c>
      <c r="F1044" t="s">
        <v>57</v>
      </c>
      <c r="G1044" t="s">
        <v>10</v>
      </c>
      <c r="H1044" s="1">
        <f>VLOOKUP(A1044, [1]Orders!A:B, 2, FALSE)</f>
        <v>43135</v>
      </c>
      <c r="I1044" t="str">
        <f>VLOOKUP(A1044, [1]Orders!A:E, 3, FALSE)</f>
        <v>Prashant</v>
      </c>
      <c r="J1044" t="str">
        <f>VLOOKUP(A1044, [1]Orders!A:E, 4, FALSE)</f>
        <v>Delhi</v>
      </c>
      <c r="K1044" t="str">
        <f>VLOOKUP(A1044, [1]Orders!A:E, 5, FALSE)</f>
        <v>Delhi</v>
      </c>
    </row>
    <row r="1045" spans="1:11" x14ac:dyDescent="0.5">
      <c r="A1045" t="s">
        <v>191</v>
      </c>
      <c r="B1045">
        <v>79</v>
      </c>
      <c r="C1045">
        <v>-2</v>
      </c>
      <c r="D1045">
        <v>2</v>
      </c>
      <c r="E1045" t="s">
        <v>12</v>
      </c>
      <c r="F1045" t="s">
        <v>131</v>
      </c>
      <c r="G1045" t="s">
        <v>14</v>
      </c>
      <c r="H1045" s="1">
        <f>VLOOKUP(A1045, [1]Orders!A:B, 2, FALSE)</f>
        <v>43439</v>
      </c>
      <c r="I1045" t="str">
        <f>VLOOKUP(A1045, [1]Orders!A:E, 3, FALSE)</f>
        <v>Aman</v>
      </c>
      <c r="J1045" t="str">
        <f>VLOOKUP(A1045, [1]Orders!A:E, 4, FALSE)</f>
        <v>Maharashtra</v>
      </c>
      <c r="K1045" t="str">
        <f>VLOOKUP(A1045, [1]Orders!A:E, 5, FALSE)</f>
        <v>Mumbai</v>
      </c>
    </row>
    <row r="1046" spans="1:11" x14ac:dyDescent="0.5">
      <c r="A1046" t="s">
        <v>163</v>
      </c>
      <c r="B1046">
        <v>78</v>
      </c>
      <c r="C1046">
        <v>-64</v>
      </c>
      <c r="D1046">
        <v>7</v>
      </c>
      <c r="E1046" t="s">
        <v>23</v>
      </c>
      <c r="F1046" t="s">
        <v>57</v>
      </c>
      <c r="G1046" t="s">
        <v>14</v>
      </c>
      <c r="H1046" s="1">
        <f>VLOOKUP(A1046, [1]Orders!A:B, 2, FALSE)</f>
        <v>43367</v>
      </c>
      <c r="I1046" t="str">
        <f>VLOOKUP(A1046, [1]Orders!A:E, 3, FALSE)</f>
        <v>Sukrith</v>
      </c>
      <c r="J1046" t="str">
        <f>VLOOKUP(A1046, [1]Orders!A:E, 4, FALSE)</f>
        <v>Maharashtra</v>
      </c>
      <c r="K1046" t="str">
        <f>VLOOKUP(A1046, [1]Orders!A:E, 5, FALSE)</f>
        <v>Mumbai</v>
      </c>
    </row>
    <row r="1047" spans="1:11" x14ac:dyDescent="0.5">
      <c r="A1047" t="s">
        <v>208</v>
      </c>
      <c r="B1047">
        <v>47</v>
      </c>
      <c r="C1047">
        <v>-3</v>
      </c>
      <c r="D1047">
        <v>2</v>
      </c>
      <c r="E1047" t="s">
        <v>23</v>
      </c>
      <c r="F1047" t="s">
        <v>57</v>
      </c>
      <c r="G1047" t="s">
        <v>10</v>
      </c>
      <c r="H1047" s="1">
        <f>VLOOKUP(A1047, [1]Orders!A:B, 2, FALSE)</f>
        <v>43374</v>
      </c>
      <c r="I1047" t="str">
        <f>VLOOKUP(A1047, [1]Orders!A:E, 3, FALSE)</f>
        <v>Shishu</v>
      </c>
      <c r="J1047" t="str">
        <f>VLOOKUP(A1047, [1]Orders!A:E, 4, FALSE)</f>
        <v>Andhra Pradesh</v>
      </c>
      <c r="K1047" t="str">
        <f>VLOOKUP(A1047, [1]Orders!A:E, 5, FALSE)</f>
        <v>Hyderabad</v>
      </c>
    </row>
    <row r="1048" spans="1:11" x14ac:dyDescent="0.5">
      <c r="A1048" t="s">
        <v>329</v>
      </c>
      <c r="B1048">
        <v>185</v>
      </c>
      <c r="C1048">
        <v>48</v>
      </c>
      <c r="D1048">
        <v>4</v>
      </c>
      <c r="E1048" t="s">
        <v>23</v>
      </c>
      <c r="F1048" t="s">
        <v>57</v>
      </c>
      <c r="G1048" t="s">
        <v>28</v>
      </c>
      <c r="H1048" s="1">
        <f>VLOOKUP(A1048, [1]Orders!A:B, 2, FALSE)</f>
        <v>43160</v>
      </c>
      <c r="I1048" t="str">
        <f>VLOOKUP(A1048, [1]Orders!A:E, 3, FALSE)</f>
        <v>Amit</v>
      </c>
      <c r="J1048" t="str">
        <f>VLOOKUP(A1048, [1]Orders!A:E, 4, FALSE)</f>
        <v>Sikkim</v>
      </c>
      <c r="K1048" t="str">
        <f>VLOOKUP(A1048, [1]Orders!A:E, 5, FALSE)</f>
        <v>Gangtok</v>
      </c>
    </row>
    <row r="1049" spans="1:11" x14ac:dyDescent="0.5">
      <c r="A1049" t="s">
        <v>204</v>
      </c>
      <c r="B1049">
        <v>77</v>
      </c>
      <c r="C1049">
        <v>36</v>
      </c>
      <c r="D1049">
        <v>2</v>
      </c>
      <c r="E1049" t="s">
        <v>23</v>
      </c>
      <c r="F1049" t="s">
        <v>142</v>
      </c>
      <c r="G1049" t="s">
        <v>14</v>
      </c>
      <c r="H1049" s="1">
        <f>VLOOKUP(A1049, [1]Orders!A:B, 2, FALSE)</f>
        <v>43151</v>
      </c>
      <c r="I1049" t="str">
        <f>VLOOKUP(A1049, [1]Orders!A:E, 3, FALSE)</f>
        <v>Manju</v>
      </c>
      <c r="J1049" t="str">
        <f>VLOOKUP(A1049, [1]Orders!A:E, 4, FALSE)</f>
        <v>Andhra Pradesh</v>
      </c>
      <c r="K1049" t="str">
        <f>VLOOKUP(A1049, [1]Orders!A:E, 5, FALSE)</f>
        <v>Hyderabad</v>
      </c>
    </row>
    <row r="1050" spans="1:11" x14ac:dyDescent="0.5">
      <c r="A1050" t="s">
        <v>467</v>
      </c>
      <c r="B1050">
        <v>259</v>
      </c>
      <c r="C1050">
        <v>47</v>
      </c>
      <c r="D1050">
        <v>5</v>
      </c>
      <c r="E1050" t="s">
        <v>23</v>
      </c>
      <c r="F1050" t="s">
        <v>30</v>
      </c>
      <c r="G1050" t="s">
        <v>28</v>
      </c>
      <c r="H1050" s="1">
        <f>VLOOKUP(A1050, [1]Orders!A:B, 2, FALSE)</f>
        <v>43383</v>
      </c>
      <c r="I1050" t="str">
        <f>VLOOKUP(A1050, [1]Orders!A:E, 3, FALSE)</f>
        <v>Kshitij</v>
      </c>
      <c r="J1050" t="str">
        <f>VLOOKUP(A1050, [1]Orders!A:E, 4, FALSE)</f>
        <v>Madhya Pradesh</v>
      </c>
      <c r="K1050" t="str">
        <f>VLOOKUP(A1050, [1]Orders!A:E, 5, FALSE)</f>
        <v>Indore</v>
      </c>
    </row>
    <row r="1051" spans="1:11" x14ac:dyDescent="0.5">
      <c r="A1051" t="s">
        <v>468</v>
      </c>
      <c r="B1051">
        <v>75</v>
      </c>
      <c r="C1051">
        <v>0</v>
      </c>
      <c r="D1051">
        <v>7</v>
      </c>
      <c r="E1051" t="s">
        <v>23</v>
      </c>
      <c r="F1051" t="s">
        <v>26</v>
      </c>
      <c r="G1051" t="s">
        <v>14</v>
      </c>
      <c r="H1051" s="1">
        <f>VLOOKUP(A1051, [1]Orders!A:B, 2, FALSE)</f>
        <v>43195</v>
      </c>
      <c r="I1051" t="str">
        <f>VLOOKUP(A1051, [1]Orders!A:E, 3, FALSE)</f>
        <v>Kasheen</v>
      </c>
      <c r="J1051" t="str">
        <f>VLOOKUP(A1051, [1]Orders!A:E, 4, FALSE)</f>
        <v>West Bengal</v>
      </c>
      <c r="K1051" t="str">
        <f>VLOOKUP(A1051, [1]Orders!A:E, 5, FALSE)</f>
        <v>Kolkata</v>
      </c>
    </row>
    <row r="1052" spans="1:11" x14ac:dyDescent="0.5">
      <c r="A1052" t="s">
        <v>469</v>
      </c>
      <c r="B1052">
        <v>75</v>
      </c>
      <c r="C1052">
        <v>0</v>
      </c>
      <c r="D1052">
        <v>3</v>
      </c>
      <c r="E1052" t="s">
        <v>23</v>
      </c>
      <c r="F1052" t="s">
        <v>142</v>
      </c>
      <c r="G1052" t="s">
        <v>14</v>
      </c>
      <c r="H1052" s="1">
        <f>VLOOKUP(A1052, [1]Orders!A:B, 2, FALSE)</f>
        <v>43278</v>
      </c>
      <c r="I1052" t="str">
        <f>VLOOKUP(A1052, [1]Orders!A:E, 3, FALSE)</f>
        <v>Shaily</v>
      </c>
      <c r="J1052" t="str">
        <f>VLOOKUP(A1052, [1]Orders!A:E, 4, FALSE)</f>
        <v>Maharashtra</v>
      </c>
      <c r="K1052" t="str">
        <f>VLOOKUP(A1052, [1]Orders!A:E, 5, FALSE)</f>
        <v>Mumbai</v>
      </c>
    </row>
    <row r="1053" spans="1:11" x14ac:dyDescent="0.5">
      <c r="A1053" t="s">
        <v>193</v>
      </c>
      <c r="B1053">
        <v>46</v>
      </c>
      <c r="C1053">
        <v>0</v>
      </c>
      <c r="D1053">
        <v>4</v>
      </c>
      <c r="E1053" t="s">
        <v>23</v>
      </c>
      <c r="F1053" t="s">
        <v>63</v>
      </c>
      <c r="G1053" t="s">
        <v>10</v>
      </c>
      <c r="H1053" s="1">
        <f>VLOOKUP(A1053, [1]Orders!A:B, 2, FALSE)</f>
        <v>43106</v>
      </c>
      <c r="I1053" t="str">
        <f>VLOOKUP(A1053, [1]Orders!A:E, 3, FALSE)</f>
        <v>Vivek</v>
      </c>
      <c r="J1053" t="str">
        <f>VLOOKUP(A1053, [1]Orders!A:E, 4, FALSE)</f>
        <v>Goa</v>
      </c>
      <c r="K1053" t="str">
        <f>VLOOKUP(A1053, [1]Orders!A:E, 5, FALSE)</f>
        <v>Goa</v>
      </c>
    </row>
    <row r="1054" spans="1:11" x14ac:dyDescent="0.5">
      <c r="A1054" t="s">
        <v>194</v>
      </c>
      <c r="B1054">
        <v>46</v>
      </c>
      <c r="C1054">
        <v>13</v>
      </c>
      <c r="D1054">
        <v>3</v>
      </c>
      <c r="E1054" t="s">
        <v>23</v>
      </c>
      <c r="F1054" t="s">
        <v>30</v>
      </c>
      <c r="G1054" t="s">
        <v>10</v>
      </c>
      <c r="H1054" s="1">
        <f>VLOOKUP(A1054, [1]Orders!A:B, 2, FALSE)</f>
        <v>43185</v>
      </c>
      <c r="I1054" t="str">
        <f>VLOOKUP(A1054, [1]Orders!A:E, 3, FALSE)</f>
        <v>Vandana</v>
      </c>
      <c r="J1054" t="str">
        <f>VLOOKUP(A1054, [1]Orders!A:E, 4, FALSE)</f>
        <v>Himachal Pradesh</v>
      </c>
      <c r="K1054" t="str">
        <f>VLOOKUP(A1054, [1]Orders!A:E, 5, FALSE)</f>
        <v>Simla</v>
      </c>
    </row>
    <row r="1055" spans="1:11" x14ac:dyDescent="0.5">
      <c r="A1055" t="s">
        <v>15</v>
      </c>
      <c r="B1055">
        <v>200</v>
      </c>
      <c r="C1055">
        <v>13</v>
      </c>
      <c r="D1055">
        <v>5</v>
      </c>
      <c r="E1055" t="s">
        <v>8</v>
      </c>
      <c r="F1055" t="s">
        <v>21</v>
      </c>
      <c r="G1055" t="s">
        <v>10</v>
      </c>
      <c r="H1055" s="1">
        <f>VLOOKUP(A1055, [1]Orders!A:B, 2, FALSE)</f>
        <v>43116</v>
      </c>
      <c r="I1055" t="str">
        <f>VLOOKUP(A1055, [1]Orders!A:E, 3, FALSE)</f>
        <v>Shiva</v>
      </c>
      <c r="J1055" t="str">
        <f>VLOOKUP(A1055, [1]Orders!A:E, 4, FALSE)</f>
        <v>Maharashtra</v>
      </c>
      <c r="K1055" t="str">
        <f>VLOOKUP(A1055, [1]Orders!A:E, 5, FALSE)</f>
        <v>Pune</v>
      </c>
    </row>
    <row r="1056" spans="1:11" x14ac:dyDescent="0.5">
      <c r="A1056" t="s">
        <v>470</v>
      </c>
      <c r="B1056">
        <v>46</v>
      </c>
      <c r="C1056">
        <v>-14</v>
      </c>
      <c r="D1056">
        <v>1</v>
      </c>
      <c r="E1056" t="s">
        <v>8</v>
      </c>
      <c r="F1056" t="s">
        <v>21</v>
      </c>
      <c r="G1056" t="s">
        <v>10</v>
      </c>
      <c r="H1056" s="1">
        <f>VLOOKUP(A1056, [1]Orders!A:B, 2, FALSE)</f>
        <v>43213</v>
      </c>
      <c r="I1056" t="str">
        <f>VLOOKUP(A1056, [1]Orders!A:E, 3, FALSE)</f>
        <v>Bhishm</v>
      </c>
      <c r="J1056" t="str">
        <f>VLOOKUP(A1056, [1]Orders!A:E, 4, FALSE)</f>
        <v>Maharashtra</v>
      </c>
      <c r="K1056" t="str">
        <f>VLOOKUP(A1056, [1]Orders!A:E, 5, FALSE)</f>
        <v>Mumbai</v>
      </c>
    </row>
    <row r="1057" spans="1:11" x14ac:dyDescent="0.5">
      <c r="A1057" t="s">
        <v>471</v>
      </c>
      <c r="B1057">
        <v>126</v>
      </c>
      <c r="C1057">
        <v>52</v>
      </c>
      <c r="D1057">
        <v>4</v>
      </c>
      <c r="E1057" t="s">
        <v>23</v>
      </c>
      <c r="F1057" t="s">
        <v>30</v>
      </c>
      <c r="G1057" t="s">
        <v>28</v>
      </c>
      <c r="H1057" s="1">
        <f>VLOOKUP(A1057, [1]Orders!A:B, 2, FALSE)</f>
        <v>43383</v>
      </c>
      <c r="I1057" t="str">
        <f>VLOOKUP(A1057, [1]Orders!A:E, 3, FALSE)</f>
        <v>Utsav</v>
      </c>
      <c r="J1057" t="str">
        <f>VLOOKUP(A1057, [1]Orders!A:E, 4, FALSE)</f>
        <v>Maharashtra</v>
      </c>
      <c r="K1057" t="str">
        <f>VLOOKUP(A1057, [1]Orders!A:E, 5, FALSE)</f>
        <v>Mumbai</v>
      </c>
    </row>
    <row r="1058" spans="1:11" x14ac:dyDescent="0.5">
      <c r="A1058" t="s">
        <v>269</v>
      </c>
      <c r="B1058">
        <v>74</v>
      </c>
      <c r="C1058">
        <v>29</v>
      </c>
      <c r="D1058">
        <v>3</v>
      </c>
      <c r="E1058" t="s">
        <v>23</v>
      </c>
      <c r="F1058" t="s">
        <v>57</v>
      </c>
      <c r="G1058" t="s">
        <v>14</v>
      </c>
      <c r="H1058" s="1">
        <f>VLOOKUP(A1058, [1]Orders!A:B, 2, FALSE)</f>
        <v>43414</v>
      </c>
      <c r="I1058" t="str">
        <f>VLOOKUP(A1058, [1]Orders!A:E, 3, FALSE)</f>
        <v>Abhijeet</v>
      </c>
      <c r="J1058" t="str">
        <f>VLOOKUP(A1058, [1]Orders!A:E, 4, FALSE)</f>
        <v>Maharashtra</v>
      </c>
      <c r="K1058" t="str">
        <f>VLOOKUP(A1058, [1]Orders!A:E, 5, FALSE)</f>
        <v>Mumbai</v>
      </c>
    </row>
    <row r="1059" spans="1:11" x14ac:dyDescent="0.5">
      <c r="A1059" t="s">
        <v>236</v>
      </c>
      <c r="B1059">
        <v>45</v>
      </c>
      <c r="C1059">
        <v>13</v>
      </c>
      <c r="D1059">
        <v>4</v>
      </c>
      <c r="E1059" t="s">
        <v>23</v>
      </c>
      <c r="F1059" t="s">
        <v>43</v>
      </c>
      <c r="G1059" t="s">
        <v>10</v>
      </c>
      <c r="H1059" s="1">
        <f>VLOOKUP(A1059, [1]Orders!A:B, 2, FALSE)</f>
        <v>43214</v>
      </c>
      <c r="I1059" t="str">
        <f>VLOOKUP(A1059, [1]Orders!A:E, 3, FALSE)</f>
        <v>Pooja</v>
      </c>
      <c r="J1059" t="str">
        <f>VLOOKUP(A1059, [1]Orders!A:E, 4, FALSE)</f>
        <v>Bihar</v>
      </c>
      <c r="K1059" t="str">
        <f>VLOOKUP(A1059, [1]Orders!A:E, 5, FALSE)</f>
        <v>Patna</v>
      </c>
    </row>
    <row r="1060" spans="1:11" x14ac:dyDescent="0.5">
      <c r="A1060" t="s">
        <v>212</v>
      </c>
      <c r="B1060">
        <v>74</v>
      </c>
      <c r="C1060">
        <v>9</v>
      </c>
      <c r="D1060">
        <v>3</v>
      </c>
      <c r="E1060" t="s">
        <v>23</v>
      </c>
      <c r="F1060" t="s">
        <v>142</v>
      </c>
      <c r="G1060" t="s">
        <v>28</v>
      </c>
      <c r="H1060" s="1">
        <f>VLOOKUP(A1060, [1]Orders!A:B, 2, FALSE)</f>
        <v>43145</v>
      </c>
      <c r="I1060" t="str">
        <f>VLOOKUP(A1060, [1]Orders!A:E, 3, FALSE)</f>
        <v>Hazel</v>
      </c>
      <c r="J1060" t="str">
        <f>VLOOKUP(A1060, [1]Orders!A:E, 4, FALSE)</f>
        <v>Karnataka</v>
      </c>
      <c r="K1060" t="str">
        <f>VLOOKUP(A1060, [1]Orders!A:E, 5, FALSE)</f>
        <v>Bangalore</v>
      </c>
    </row>
    <row r="1061" spans="1:11" x14ac:dyDescent="0.5">
      <c r="A1061" t="s">
        <v>292</v>
      </c>
      <c r="B1061">
        <v>129</v>
      </c>
      <c r="C1061">
        <v>11</v>
      </c>
      <c r="D1061">
        <v>2</v>
      </c>
      <c r="E1061" t="s">
        <v>8</v>
      </c>
      <c r="F1061" t="s">
        <v>21</v>
      </c>
      <c r="G1061" t="s">
        <v>28</v>
      </c>
      <c r="H1061" s="1">
        <f>VLOOKUP(A1061, [1]Orders!A:B, 2, FALSE)</f>
        <v>43136</v>
      </c>
      <c r="I1061" t="str">
        <f>VLOOKUP(A1061, [1]Orders!A:E, 3, FALSE)</f>
        <v>Diwakar</v>
      </c>
      <c r="J1061" t="str">
        <f>VLOOKUP(A1061, [1]Orders!A:E, 4, FALSE)</f>
        <v>Delhi</v>
      </c>
      <c r="K1061" t="str">
        <f>VLOOKUP(A1061, [1]Orders!A:E, 5, FALSE)</f>
        <v>Delhi</v>
      </c>
    </row>
    <row r="1062" spans="1:11" x14ac:dyDescent="0.5">
      <c r="A1062" t="s">
        <v>329</v>
      </c>
      <c r="B1062">
        <v>122</v>
      </c>
      <c r="C1062">
        <v>50</v>
      </c>
      <c r="D1062">
        <v>7</v>
      </c>
      <c r="E1062" t="s">
        <v>23</v>
      </c>
      <c r="F1062" t="s">
        <v>57</v>
      </c>
      <c r="G1062" t="s">
        <v>28</v>
      </c>
      <c r="H1062" s="1">
        <f>VLOOKUP(A1062, [1]Orders!A:B, 2, FALSE)</f>
        <v>43160</v>
      </c>
      <c r="I1062" t="str">
        <f>VLOOKUP(A1062, [1]Orders!A:E, 3, FALSE)</f>
        <v>Amit</v>
      </c>
      <c r="J1062" t="str">
        <f>VLOOKUP(A1062, [1]Orders!A:E, 4, FALSE)</f>
        <v>Sikkim</v>
      </c>
      <c r="K1062" t="str">
        <f>VLOOKUP(A1062, [1]Orders!A:E, 5, FALSE)</f>
        <v>Gangtok</v>
      </c>
    </row>
    <row r="1063" spans="1:11" x14ac:dyDescent="0.5">
      <c r="A1063" t="s">
        <v>224</v>
      </c>
      <c r="B1063">
        <v>74</v>
      </c>
      <c r="C1063">
        <v>-51</v>
      </c>
      <c r="D1063">
        <v>3</v>
      </c>
      <c r="E1063" t="s">
        <v>23</v>
      </c>
      <c r="F1063" t="s">
        <v>57</v>
      </c>
      <c r="G1063" t="s">
        <v>28</v>
      </c>
      <c r="H1063" s="1">
        <f>VLOOKUP(A1063, [1]Orders!A:B, 2, FALSE)</f>
        <v>43319</v>
      </c>
      <c r="I1063" t="str">
        <f>VLOOKUP(A1063, [1]Orders!A:E, 3, FALSE)</f>
        <v>Aman</v>
      </c>
      <c r="J1063" t="str">
        <f>VLOOKUP(A1063, [1]Orders!A:E, 4, FALSE)</f>
        <v>Nagaland</v>
      </c>
      <c r="K1063" t="str">
        <f>VLOOKUP(A1063, [1]Orders!A:E, 5, FALSE)</f>
        <v>Kohima</v>
      </c>
    </row>
    <row r="1064" spans="1:11" x14ac:dyDescent="0.5">
      <c r="A1064" t="s">
        <v>261</v>
      </c>
      <c r="B1064">
        <v>278</v>
      </c>
      <c r="C1064">
        <v>39</v>
      </c>
      <c r="D1064">
        <v>5</v>
      </c>
      <c r="E1064" t="s">
        <v>12</v>
      </c>
      <c r="F1064" t="s">
        <v>13</v>
      </c>
      <c r="G1064" t="s">
        <v>82</v>
      </c>
      <c r="H1064" s="1">
        <f>VLOOKUP(A1064, [1]Orders!A:B, 2, FALSE)</f>
        <v>43144</v>
      </c>
      <c r="I1064" t="str">
        <f>VLOOKUP(A1064, [1]Orders!A:E, 3, FALSE)</f>
        <v>Divsha</v>
      </c>
      <c r="J1064" t="str">
        <f>VLOOKUP(A1064, [1]Orders!A:E, 4, FALSE)</f>
        <v>Rajasthan</v>
      </c>
      <c r="K1064" t="str">
        <f>VLOOKUP(A1064, [1]Orders!A:E, 5, FALSE)</f>
        <v>Jaipur</v>
      </c>
    </row>
    <row r="1065" spans="1:11" x14ac:dyDescent="0.5">
      <c r="A1065" t="s">
        <v>472</v>
      </c>
      <c r="B1065">
        <v>282</v>
      </c>
      <c r="C1065">
        <v>14</v>
      </c>
      <c r="D1065">
        <v>4</v>
      </c>
      <c r="E1065" t="s">
        <v>23</v>
      </c>
      <c r="F1065" t="s">
        <v>24</v>
      </c>
      <c r="G1065" t="s">
        <v>82</v>
      </c>
      <c r="H1065" s="1">
        <f>VLOOKUP(A1065, [1]Orders!A:B, 2, FALSE)</f>
        <v>43428</v>
      </c>
      <c r="I1065" t="str">
        <f>VLOOKUP(A1065, [1]Orders!A:E, 3, FALSE)</f>
        <v>Bhosale</v>
      </c>
      <c r="J1065" t="str">
        <f>VLOOKUP(A1065, [1]Orders!A:E, 4, FALSE)</f>
        <v>Punjab</v>
      </c>
      <c r="K1065" t="str">
        <f>VLOOKUP(A1065, [1]Orders!A:E, 5, FALSE)</f>
        <v>Amritsar</v>
      </c>
    </row>
    <row r="1066" spans="1:11" x14ac:dyDescent="0.5">
      <c r="A1066" t="s">
        <v>166</v>
      </c>
      <c r="B1066">
        <v>45</v>
      </c>
      <c r="C1066">
        <v>0</v>
      </c>
      <c r="D1066">
        <v>2</v>
      </c>
      <c r="E1066" t="s">
        <v>23</v>
      </c>
      <c r="F1066" t="s">
        <v>81</v>
      </c>
      <c r="G1066" t="s">
        <v>10</v>
      </c>
      <c r="H1066" s="1">
        <f>VLOOKUP(A1066, [1]Orders!A:B, 2, FALSE)</f>
        <v>43358</v>
      </c>
      <c r="I1066" t="str">
        <f>VLOOKUP(A1066, [1]Orders!A:E, 3, FALSE)</f>
        <v>Ayush</v>
      </c>
      <c r="J1066" t="str">
        <f>VLOOKUP(A1066, [1]Orders!A:E, 4, FALSE)</f>
        <v>West Bengal</v>
      </c>
      <c r="K1066" t="str">
        <f>VLOOKUP(A1066, [1]Orders!A:E, 5, FALSE)</f>
        <v>Kolkata</v>
      </c>
    </row>
    <row r="1067" spans="1:11" x14ac:dyDescent="0.5">
      <c r="A1067" t="s">
        <v>79</v>
      </c>
      <c r="B1067">
        <v>45</v>
      </c>
      <c r="C1067">
        <v>6</v>
      </c>
      <c r="D1067">
        <v>3</v>
      </c>
      <c r="E1067" t="s">
        <v>23</v>
      </c>
      <c r="F1067" t="s">
        <v>142</v>
      </c>
      <c r="G1067" t="s">
        <v>10</v>
      </c>
      <c r="H1067" s="1">
        <f>VLOOKUP(A1067, [1]Orders!A:B, 2, FALSE)</f>
        <v>43383</v>
      </c>
      <c r="I1067" t="str">
        <f>VLOOKUP(A1067, [1]Orders!A:E, 3, FALSE)</f>
        <v>Nripraj</v>
      </c>
      <c r="J1067" t="str">
        <f>VLOOKUP(A1067, [1]Orders!A:E, 4, FALSE)</f>
        <v>Punjab</v>
      </c>
      <c r="K1067" t="str">
        <f>VLOOKUP(A1067, [1]Orders!A:E, 5, FALSE)</f>
        <v>Chandigarh</v>
      </c>
    </row>
    <row r="1068" spans="1:11" x14ac:dyDescent="0.5">
      <c r="A1068" t="s">
        <v>424</v>
      </c>
      <c r="B1068">
        <v>45</v>
      </c>
      <c r="C1068">
        <v>16</v>
      </c>
      <c r="D1068">
        <v>3</v>
      </c>
      <c r="E1068" t="s">
        <v>23</v>
      </c>
      <c r="F1068" t="s">
        <v>57</v>
      </c>
      <c r="G1068" t="s">
        <v>10</v>
      </c>
      <c r="H1068" s="1">
        <f>VLOOKUP(A1068, [1]Orders!A:B, 2, FALSE)</f>
        <v>43402</v>
      </c>
      <c r="I1068" t="str">
        <f>VLOOKUP(A1068, [1]Orders!A:E, 3, FALSE)</f>
        <v>Krishna</v>
      </c>
      <c r="J1068" t="str">
        <f>VLOOKUP(A1068, [1]Orders!A:E, 4, FALSE)</f>
        <v>Madhya Pradesh</v>
      </c>
      <c r="K1068" t="str">
        <f>VLOOKUP(A1068, [1]Orders!A:E, 5, FALSE)</f>
        <v>Indore</v>
      </c>
    </row>
    <row r="1069" spans="1:11" x14ac:dyDescent="0.5">
      <c r="A1069" t="s">
        <v>473</v>
      </c>
      <c r="B1069">
        <v>73</v>
      </c>
      <c r="C1069">
        <v>-36</v>
      </c>
      <c r="D1069">
        <v>3</v>
      </c>
      <c r="E1069" t="s">
        <v>12</v>
      </c>
      <c r="F1069" t="s">
        <v>13</v>
      </c>
      <c r="G1069" t="s">
        <v>28</v>
      </c>
      <c r="H1069" s="1">
        <f>VLOOKUP(A1069, [1]Orders!A:B, 2, FALSE)</f>
        <v>43104</v>
      </c>
      <c r="I1069" t="str">
        <f>VLOOKUP(A1069, [1]Orders!A:E, 3, FALSE)</f>
        <v>Sidharth</v>
      </c>
      <c r="J1069" t="str">
        <f>VLOOKUP(A1069, [1]Orders!A:E, 4, FALSE)</f>
        <v>Maharashtra</v>
      </c>
      <c r="K1069" t="str">
        <f>VLOOKUP(A1069, [1]Orders!A:E, 5, FALSE)</f>
        <v>Mumbai</v>
      </c>
    </row>
    <row r="1070" spans="1:11" x14ac:dyDescent="0.5">
      <c r="A1070" t="s">
        <v>113</v>
      </c>
      <c r="B1070">
        <v>45</v>
      </c>
      <c r="C1070">
        <v>12</v>
      </c>
      <c r="D1070">
        <v>4</v>
      </c>
      <c r="E1070" t="s">
        <v>23</v>
      </c>
      <c r="F1070" t="s">
        <v>30</v>
      </c>
      <c r="G1070" t="s">
        <v>10</v>
      </c>
      <c r="H1070" s="1">
        <f>VLOOKUP(A1070, [1]Orders!A:B, 2, FALSE)</f>
        <v>43411</v>
      </c>
      <c r="I1070" t="str">
        <f>VLOOKUP(A1070, [1]Orders!A:E, 3, FALSE)</f>
        <v>Soumyabrata</v>
      </c>
      <c r="J1070" t="str">
        <f>VLOOKUP(A1070, [1]Orders!A:E, 4, FALSE)</f>
        <v>Andhra Pradesh</v>
      </c>
      <c r="K1070" t="str">
        <f>VLOOKUP(A1070, [1]Orders!A:E, 5, FALSE)</f>
        <v>Hyderabad</v>
      </c>
    </row>
    <row r="1071" spans="1:11" x14ac:dyDescent="0.5">
      <c r="A1071" t="s">
        <v>344</v>
      </c>
      <c r="B1071">
        <v>72</v>
      </c>
      <c r="C1071">
        <v>-6</v>
      </c>
      <c r="D1071">
        <v>3</v>
      </c>
      <c r="E1071" t="s">
        <v>23</v>
      </c>
      <c r="F1071" t="s">
        <v>26</v>
      </c>
      <c r="G1071" t="s">
        <v>28</v>
      </c>
      <c r="H1071" s="1">
        <f>VLOOKUP(A1071, [1]Orders!A:B, 2, FALSE)</f>
        <v>43314</v>
      </c>
      <c r="I1071" t="str">
        <f>VLOOKUP(A1071, [1]Orders!A:E, 3, FALSE)</f>
        <v>Ayush</v>
      </c>
      <c r="J1071" t="str">
        <f>VLOOKUP(A1071, [1]Orders!A:E, 4, FALSE)</f>
        <v>Punjab</v>
      </c>
      <c r="K1071" t="str">
        <f>VLOOKUP(A1071, [1]Orders!A:E, 5, FALSE)</f>
        <v>Chandigarh</v>
      </c>
    </row>
    <row r="1072" spans="1:11" x14ac:dyDescent="0.5">
      <c r="A1072" t="s">
        <v>403</v>
      </c>
      <c r="B1072">
        <v>71</v>
      </c>
      <c r="C1072">
        <v>-44</v>
      </c>
      <c r="D1072">
        <v>5</v>
      </c>
      <c r="E1072" t="s">
        <v>8</v>
      </c>
      <c r="F1072" t="s">
        <v>73</v>
      </c>
      <c r="G1072" t="s">
        <v>28</v>
      </c>
      <c r="H1072" s="1">
        <f>VLOOKUP(A1072, [1]Orders!A:B, 2, FALSE)</f>
        <v>43459</v>
      </c>
      <c r="I1072" t="str">
        <f>VLOOKUP(A1072, [1]Orders!A:E, 3, FALSE)</f>
        <v>Sandra</v>
      </c>
      <c r="J1072" t="str">
        <f>VLOOKUP(A1072, [1]Orders!A:E, 4, FALSE)</f>
        <v>Punjab</v>
      </c>
      <c r="K1072" t="str">
        <f>VLOOKUP(A1072, [1]Orders!A:E, 5, FALSE)</f>
        <v>Amritsar</v>
      </c>
    </row>
    <row r="1073" spans="1:11" x14ac:dyDescent="0.5">
      <c r="A1073" t="s">
        <v>461</v>
      </c>
      <c r="B1073">
        <v>45</v>
      </c>
      <c r="C1073">
        <v>-2</v>
      </c>
      <c r="D1073">
        <v>4</v>
      </c>
      <c r="E1073" t="s">
        <v>23</v>
      </c>
      <c r="F1073" t="s">
        <v>142</v>
      </c>
      <c r="G1073" t="s">
        <v>10</v>
      </c>
      <c r="H1073" s="1">
        <f>VLOOKUP(A1073, [1]Orders!A:B, 2, FALSE)</f>
        <v>43261</v>
      </c>
      <c r="I1073" t="str">
        <f>VLOOKUP(A1073, [1]Orders!A:E, 3, FALSE)</f>
        <v>Sheetal</v>
      </c>
      <c r="J1073" t="str">
        <f>VLOOKUP(A1073, [1]Orders!A:E, 4, FALSE)</f>
        <v>Madhya Pradesh</v>
      </c>
      <c r="K1073" t="str">
        <f>VLOOKUP(A1073, [1]Orders!A:E, 5, FALSE)</f>
        <v>Indore</v>
      </c>
    </row>
    <row r="1074" spans="1:11" x14ac:dyDescent="0.5">
      <c r="A1074" t="s">
        <v>173</v>
      </c>
      <c r="B1074">
        <v>286</v>
      </c>
      <c r="C1074">
        <v>140</v>
      </c>
      <c r="D1074">
        <v>6</v>
      </c>
      <c r="E1074" t="s">
        <v>23</v>
      </c>
      <c r="F1074" t="s">
        <v>142</v>
      </c>
      <c r="G1074" t="s">
        <v>82</v>
      </c>
      <c r="H1074" s="1">
        <f>VLOOKUP(A1074, [1]Orders!A:B, 2, FALSE)</f>
        <v>43135</v>
      </c>
      <c r="I1074" t="str">
        <f>VLOOKUP(A1074, [1]Orders!A:E, 3, FALSE)</f>
        <v>Prashant</v>
      </c>
      <c r="J1074" t="str">
        <f>VLOOKUP(A1074, [1]Orders!A:E, 4, FALSE)</f>
        <v>Delhi</v>
      </c>
      <c r="K1074" t="str">
        <f>VLOOKUP(A1074, [1]Orders!A:E, 5, FALSE)</f>
        <v>Delhi</v>
      </c>
    </row>
    <row r="1075" spans="1:11" x14ac:dyDescent="0.5">
      <c r="A1075" t="s">
        <v>474</v>
      </c>
      <c r="B1075">
        <v>294</v>
      </c>
      <c r="C1075">
        <v>138</v>
      </c>
      <c r="D1075">
        <v>2</v>
      </c>
      <c r="E1075" t="s">
        <v>8</v>
      </c>
      <c r="F1075" t="s">
        <v>18</v>
      </c>
      <c r="G1075" t="s">
        <v>82</v>
      </c>
      <c r="H1075" s="1">
        <f>VLOOKUP(A1075, [1]Orders!A:B, 2, FALSE)</f>
        <v>43239</v>
      </c>
      <c r="I1075" t="str">
        <f>VLOOKUP(A1075, [1]Orders!A:E, 3, FALSE)</f>
        <v>Pournamasi</v>
      </c>
      <c r="J1075" t="str">
        <f>VLOOKUP(A1075, [1]Orders!A:E, 4, FALSE)</f>
        <v>Madhya Pradesh</v>
      </c>
      <c r="K1075" t="str">
        <f>VLOOKUP(A1075, [1]Orders!A:E, 5, FALSE)</f>
        <v>Indore</v>
      </c>
    </row>
    <row r="1076" spans="1:11" x14ac:dyDescent="0.5">
      <c r="A1076" t="s">
        <v>159</v>
      </c>
      <c r="B1076">
        <v>223</v>
      </c>
      <c r="C1076">
        <v>4</v>
      </c>
      <c r="D1076">
        <v>3</v>
      </c>
      <c r="E1076" t="s">
        <v>8</v>
      </c>
      <c r="F1076" t="s">
        <v>21</v>
      </c>
      <c r="G1076" t="s">
        <v>10</v>
      </c>
      <c r="H1076" s="1">
        <f>VLOOKUP(A1076, [1]Orders!A:B, 2, FALSE)</f>
        <v>43436</v>
      </c>
      <c r="I1076" t="str">
        <f>VLOOKUP(A1076, [1]Orders!A:E, 3, FALSE)</f>
        <v>Rohan</v>
      </c>
      <c r="J1076" t="str">
        <f>VLOOKUP(A1076, [1]Orders!A:E, 4, FALSE)</f>
        <v>Punjab</v>
      </c>
      <c r="K1076" t="str">
        <f>VLOOKUP(A1076, [1]Orders!A:E, 5, FALSE)</f>
        <v>Amritsar</v>
      </c>
    </row>
    <row r="1077" spans="1:11" x14ac:dyDescent="0.5">
      <c r="A1077" t="s">
        <v>475</v>
      </c>
      <c r="B1077">
        <v>20</v>
      </c>
      <c r="C1077">
        <v>-2</v>
      </c>
      <c r="D1077">
        <v>1</v>
      </c>
      <c r="E1077" t="s">
        <v>8</v>
      </c>
      <c r="F1077" t="s">
        <v>73</v>
      </c>
      <c r="G1077" t="s">
        <v>28</v>
      </c>
      <c r="H1077" s="1">
        <f>VLOOKUP(A1077, [1]Orders!A:B, 2, FALSE)</f>
        <v>43253</v>
      </c>
      <c r="I1077" t="str">
        <f>VLOOKUP(A1077, [1]Orders!A:E, 3, FALSE)</f>
        <v>Ekta</v>
      </c>
      <c r="J1077" t="str">
        <f>VLOOKUP(A1077, [1]Orders!A:E, 4, FALSE)</f>
        <v>West Bengal</v>
      </c>
      <c r="K1077" t="str">
        <f>VLOOKUP(A1077, [1]Orders!A:E, 5, FALSE)</f>
        <v>Kolkata</v>
      </c>
    </row>
    <row r="1078" spans="1:11" x14ac:dyDescent="0.5">
      <c r="A1078" t="s">
        <v>275</v>
      </c>
      <c r="B1078">
        <v>302</v>
      </c>
      <c r="C1078">
        <v>75</v>
      </c>
      <c r="D1078">
        <v>6</v>
      </c>
      <c r="E1078" t="s">
        <v>12</v>
      </c>
      <c r="F1078" t="s">
        <v>131</v>
      </c>
      <c r="G1078" t="s">
        <v>82</v>
      </c>
      <c r="H1078" s="1">
        <f>VLOOKUP(A1078, [1]Orders!A:B, 2, FALSE)</f>
        <v>43162</v>
      </c>
      <c r="I1078" t="str">
        <f>VLOOKUP(A1078, [1]Orders!A:E, 3, FALSE)</f>
        <v>Nidhi</v>
      </c>
      <c r="J1078" t="str">
        <f>VLOOKUP(A1078, [1]Orders!A:E, 4, FALSE)</f>
        <v>Nagaland</v>
      </c>
      <c r="K1078" t="str">
        <f>VLOOKUP(A1078, [1]Orders!A:E, 5, FALSE)</f>
        <v>Kohima</v>
      </c>
    </row>
    <row r="1079" spans="1:11" x14ac:dyDescent="0.5">
      <c r="A1079" t="s">
        <v>301</v>
      </c>
      <c r="B1079">
        <v>113</v>
      </c>
      <c r="C1079">
        <v>28</v>
      </c>
      <c r="D1079">
        <v>2</v>
      </c>
      <c r="E1079" t="s">
        <v>23</v>
      </c>
      <c r="F1079" t="s">
        <v>26</v>
      </c>
      <c r="G1079" t="s">
        <v>28</v>
      </c>
      <c r="H1079" s="1">
        <f>VLOOKUP(A1079, [1]Orders!A:B, 2, FALSE)</f>
        <v>43139</v>
      </c>
      <c r="I1079" t="str">
        <f>VLOOKUP(A1079, [1]Orders!A:E, 3, FALSE)</f>
        <v>Harsh</v>
      </c>
      <c r="J1079" t="str">
        <f>VLOOKUP(A1079, [1]Orders!A:E, 4, FALSE)</f>
        <v>Delhi</v>
      </c>
      <c r="K1079" t="str">
        <f>VLOOKUP(A1079, [1]Orders!A:E, 5, FALSE)</f>
        <v>Delhi</v>
      </c>
    </row>
    <row r="1080" spans="1:11" x14ac:dyDescent="0.5">
      <c r="A1080" t="s">
        <v>132</v>
      </c>
      <c r="B1080">
        <v>44</v>
      </c>
      <c r="C1080">
        <v>2</v>
      </c>
      <c r="D1080">
        <v>3</v>
      </c>
      <c r="E1080" t="s">
        <v>23</v>
      </c>
      <c r="F1080" t="s">
        <v>30</v>
      </c>
      <c r="G1080" t="s">
        <v>10</v>
      </c>
      <c r="H1080" s="1">
        <f>VLOOKUP(A1080, [1]Orders!A:B, 2, FALSE)</f>
        <v>43114</v>
      </c>
      <c r="I1080" t="str">
        <f>VLOOKUP(A1080, [1]Orders!A:E, 3, FALSE)</f>
        <v>Krutika</v>
      </c>
      <c r="J1080" t="str">
        <f>VLOOKUP(A1080, [1]Orders!A:E, 4, FALSE)</f>
        <v>Andhra Pradesh</v>
      </c>
      <c r="K1080" t="str">
        <f>VLOOKUP(A1080, [1]Orders!A:E, 5, FALSE)</f>
        <v>Hyderabad</v>
      </c>
    </row>
    <row r="1081" spans="1:11" x14ac:dyDescent="0.5">
      <c r="A1081" t="s">
        <v>476</v>
      </c>
      <c r="B1081">
        <v>305</v>
      </c>
      <c r="C1081">
        <v>-270</v>
      </c>
      <c r="D1081">
        <v>5</v>
      </c>
      <c r="E1081" t="s">
        <v>8</v>
      </c>
      <c r="F1081" t="s">
        <v>9</v>
      </c>
      <c r="G1081" t="s">
        <v>82</v>
      </c>
      <c r="H1081" s="1">
        <f>VLOOKUP(A1081, [1]Orders!A:B, 2, FALSE)</f>
        <v>43207</v>
      </c>
      <c r="I1081" t="str">
        <f>VLOOKUP(A1081, [1]Orders!A:E, 3, FALSE)</f>
        <v>Sagar</v>
      </c>
      <c r="J1081" t="str">
        <f>VLOOKUP(A1081, [1]Orders!A:E, 4, FALSE)</f>
        <v>Nagaland</v>
      </c>
      <c r="K1081" t="str">
        <f>VLOOKUP(A1081, [1]Orders!A:E, 5, FALSE)</f>
        <v>Kohima</v>
      </c>
    </row>
    <row r="1082" spans="1:11" x14ac:dyDescent="0.5">
      <c r="A1082" t="s">
        <v>469</v>
      </c>
      <c r="B1082">
        <v>306</v>
      </c>
      <c r="C1082">
        <v>-147</v>
      </c>
      <c r="D1082">
        <v>3</v>
      </c>
      <c r="E1082" t="s">
        <v>23</v>
      </c>
      <c r="F1082" t="s">
        <v>26</v>
      </c>
      <c r="G1082" t="s">
        <v>82</v>
      </c>
      <c r="H1082" s="1">
        <f>VLOOKUP(A1082, [1]Orders!A:B, 2, FALSE)</f>
        <v>43278</v>
      </c>
      <c r="I1082" t="str">
        <f>VLOOKUP(A1082, [1]Orders!A:E, 3, FALSE)</f>
        <v>Shaily</v>
      </c>
      <c r="J1082" t="str">
        <f>VLOOKUP(A1082, [1]Orders!A:E, 4, FALSE)</f>
        <v>Maharashtra</v>
      </c>
      <c r="K1082" t="str">
        <f>VLOOKUP(A1082, [1]Orders!A:E, 5, FALSE)</f>
        <v>Mumbai</v>
      </c>
    </row>
    <row r="1083" spans="1:11" x14ac:dyDescent="0.5">
      <c r="A1083" t="s">
        <v>272</v>
      </c>
      <c r="B1083">
        <v>70</v>
      </c>
      <c r="C1083">
        <v>-64</v>
      </c>
      <c r="D1083">
        <v>5</v>
      </c>
      <c r="E1083" t="s">
        <v>23</v>
      </c>
      <c r="F1083" t="s">
        <v>57</v>
      </c>
      <c r="G1083" t="s">
        <v>28</v>
      </c>
      <c r="H1083" s="1">
        <f>VLOOKUP(A1083, [1]Orders!A:B, 2, FALSE)</f>
        <v>43374</v>
      </c>
      <c r="I1083" t="str">
        <f>VLOOKUP(A1083, [1]Orders!A:E, 3, FALSE)</f>
        <v>Divyansh</v>
      </c>
      <c r="J1083" t="str">
        <f>VLOOKUP(A1083, [1]Orders!A:E, 4, FALSE)</f>
        <v>Gujarat</v>
      </c>
      <c r="K1083" t="str">
        <f>VLOOKUP(A1083, [1]Orders!A:E, 5, FALSE)</f>
        <v>Ahmedabad</v>
      </c>
    </row>
    <row r="1084" spans="1:11" x14ac:dyDescent="0.5">
      <c r="A1084" t="s">
        <v>281</v>
      </c>
      <c r="B1084">
        <v>44</v>
      </c>
      <c r="C1084">
        <v>11</v>
      </c>
      <c r="D1084">
        <v>4</v>
      </c>
      <c r="E1084" t="s">
        <v>23</v>
      </c>
      <c r="F1084" t="s">
        <v>57</v>
      </c>
      <c r="G1084" t="s">
        <v>10</v>
      </c>
      <c r="H1084" s="1">
        <f>VLOOKUP(A1084, [1]Orders!A:B, 2, FALSE)</f>
        <v>43131</v>
      </c>
      <c r="I1084" t="str">
        <f>VLOOKUP(A1084, [1]Orders!A:E, 3, FALSE)</f>
        <v>Ginny</v>
      </c>
      <c r="J1084" t="str">
        <f>VLOOKUP(A1084, [1]Orders!A:E, 4, FALSE)</f>
        <v>Madhya Pradesh</v>
      </c>
      <c r="K1084" t="str">
        <f>VLOOKUP(A1084, [1]Orders!A:E, 5, FALSE)</f>
        <v>Indore</v>
      </c>
    </row>
    <row r="1085" spans="1:11" x14ac:dyDescent="0.5">
      <c r="A1085" t="s">
        <v>133</v>
      </c>
      <c r="B1085">
        <v>44</v>
      </c>
      <c r="C1085">
        <v>14</v>
      </c>
      <c r="D1085">
        <v>3</v>
      </c>
      <c r="E1085" t="s">
        <v>23</v>
      </c>
      <c r="F1085" t="s">
        <v>30</v>
      </c>
      <c r="G1085" t="s">
        <v>10</v>
      </c>
      <c r="H1085" s="1">
        <f>VLOOKUP(A1085, [1]Orders!A:B, 2, FALSE)</f>
        <v>43113</v>
      </c>
      <c r="I1085" t="str">
        <f>VLOOKUP(A1085, [1]Orders!A:E, 3, FALSE)</f>
        <v>Priyanka</v>
      </c>
      <c r="J1085" t="str">
        <f>VLOOKUP(A1085, [1]Orders!A:E, 4, FALSE)</f>
        <v>Madhya Pradesh</v>
      </c>
      <c r="K1085" t="str">
        <f>VLOOKUP(A1085, [1]Orders!A:E, 5, FALSE)</f>
        <v>Indore</v>
      </c>
    </row>
    <row r="1086" spans="1:11" x14ac:dyDescent="0.5">
      <c r="A1086" t="s">
        <v>54</v>
      </c>
      <c r="B1086">
        <v>319</v>
      </c>
      <c r="C1086">
        <v>312</v>
      </c>
      <c r="D1086">
        <v>5</v>
      </c>
      <c r="E1086" t="s">
        <v>23</v>
      </c>
      <c r="F1086" t="s">
        <v>26</v>
      </c>
      <c r="G1086" t="s">
        <v>82</v>
      </c>
      <c r="H1086" s="1">
        <f>VLOOKUP(A1086, [1]Orders!A:B, 2, FALSE)</f>
        <v>43330</v>
      </c>
      <c r="I1086" t="str">
        <f>VLOOKUP(A1086, [1]Orders!A:E, 3, FALSE)</f>
        <v>Akshay</v>
      </c>
      <c r="J1086" t="str">
        <f>VLOOKUP(A1086, [1]Orders!A:E, 4, FALSE)</f>
        <v>Bihar</v>
      </c>
      <c r="K1086" t="str">
        <f>VLOOKUP(A1086, [1]Orders!A:E, 5, FALSE)</f>
        <v>Patna</v>
      </c>
    </row>
    <row r="1087" spans="1:11" x14ac:dyDescent="0.5">
      <c r="A1087" t="s">
        <v>249</v>
      </c>
      <c r="B1087">
        <v>287</v>
      </c>
      <c r="C1087">
        <v>-280</v>
      </c>
      <c r="D1087">
        <v>12</v>
      </c>
      <c r="E1087" t="s">
        <v>12</v>
      </c>
      <c r="F1087" t="s">
        <v>13</v>
      </c>
      <c r="G1087" t="s">
        <v>28</v>
      </c>
      <c r="H1087" s="1">
        <f>VLOOKUP(A1087, [1]Orders!A:B, 2, FALSE)</f>
        <v>43345</v>
      </c>
      <c r="I1087" t="str">
        <f>VLOOKUP(A1087, [1]Orders!A:E, 3, FALSE)</f>
        <v>Sakshi</v>
      </c>
      <c r="J1087" t="str">
        <f>VLOOKUP(A1087, [1]Orders!A:E, 4, FALSE)</f>
        <v>Madhya Pradesh</v>
      </c>
      <c r="K1087" t="str">
        <f>VLOOKUP(A1087, [1]Orders!A:E, 5, FALSE)</f>
        <v>Indore</v>
      </c>
    </row>
    <row r="1088" spans="1:11" x14ac:dyDescent="0.5">
      <c r="A1088" t="s">
        <v>328</v>
      </c>
      <c r="B1088">
        <v>44</v>
      </c>
      <c r="C1088">
        <v>10</v>
      </c>
      <c r="D1088">
        <v>3</v>
      </c>
      <c r="E1088" t="s">
        <v>23</v>
      </c>
      <c r="F1088" t="s">
        <v>57</v>
      </c>
      <c r="G1088" t="s">
        <v>10</v>
      </c>
      <c r="H1088" s="1">
        <f>VLOOKUP(A1088, [1]Orders!A:B, 2, FALSE)</f>
        <v>43114</v>
      </c>
      <c r="I1088" t="str">
        <f>VLOOKUP(A1088, [1]Orders!A:E, 3, FALSE)</f>
        <v>Trupti</v>
      </c>
      <c r="J1088" t="str">
        <f>VLOOKUP(A1088, [1]Orders!A:E, 4, FALSE)</f>
        <v>Gujarat</v>
      </c>
      <c r="K1088" t="str">
        <f>VLOOKUP(A1088, [1]Orders!A:E, 5, FALSE)</f>
        <v>Ahmedabad</v>
      </c>
    </row>
    <row r="1089" spans="1:11" x14ac:dyDescent="0.5">
      <c r="A1089" t="s">
        <v>143</v>
      </c>
      <c r="B1089">
        <v>288</v>
      </c>
      <c r="C1089">
        <v>-180</v>
      </c>
      <c r="D1089">
        <v>4</v>
      </c>
      <c r="E1089" t="s">
        <v>12</v>
      </c>
      <c r="F1089" t="s">
        <v>13</v>
      </c>
      <c r="G1089" t="s">
        <v>10</v>
      </c>
      <c r="H1089" s="1">
        <f>VLOOKUP(A1089, [1]Orders!A:B, 2, FALSE)</f>
        <v>43233</v>
      </c>
      <c r="I1089" t="str">
        <f>VLOOKUP(A1089, [1]Orders!A:E, 3, FALSE)</f>
        <v>Tulika</v>
      </c>
      <c r="J1089" t="str">
        <f>VLOOKUP(A1089, [1]Orders!A:E, 4, FALSE)</f>
        <v>Madhya Pradesh</v>
      </c>
      <c r="K1089" t="str">
        <f>VLOOKUP(A1089, [1]Orders!A:E, 5, FALSE)</f>
        <v>Bhopal</v>
      </c>
    </row>
    <row r="1090" spans="1:11" x14ac:dyDescent="0.5">
      <c r="A1090" t="s">
        <v>80</v>
      </c>
      <c r="B1090">
        <v>49</v>
      </c>
      <c r="C1090">
        <v>-31</v>
      </c>
      <c r="D1090">
        <v>2</v>
      </c>
      <c r="E1090" t="s">
        <v>23</v>
      </c>
      <c r="F1090" t="s">
        <v>57</v>
      </c>
      <c r="G1090" t="s">
        <v>10</v>
      </c>
      <c r="H1090" s="1">
        <f>VLOOKUP(A1090, [1]Orders!A:B, 2, FALSE)</f>
        <v>43374</v>
      </c>
      <c r="I1090" t="str">
        <f>VLOOKUP(A1090, [1]Orders!A:E, 3, FALSE)</f>
        <v>Aryan</v>
      </c>
      <c r="J1090" t="str">
        <f>VLOOKUP(A1090, [1]Orders!A:E, 4, FALSE)</f>
        <v>Madhya Pradesh</v>
      </c>
      <c r="K1090" t="str">
        <f>VLOOKUP(A1090, [1]Orders!A:E, 5, FALSE)</f>
        <v>Bhopal</v>
      </c>
    </row>
    <row r="1091" spans="1:11" x14ac:dyDescent="0.5">
      <c r="A1091" t="s">
        <v>192</v>
      </c>
      <c r="B1091">
        <v>43</v>
      </c>
      <c r="C1091">
        <v>-10</v>
      </c>
      <c r="D1091">
        <v>4</v>
      </c>
      <c r="E1091" t="s">
        <v>23</v>
      </c>
      <c r="F1091" t="s">
        <v>43</v>
      </c>
      <c r="G1091" t="s">
        <v>10</v>
      </c>
      <c r="H1091" s="1">
        <f>VLOOKUP(A1091, [1]Orders!A:B, 2, FALSE)</f>
        <v>43137</v>
      </c>
      <c r="I1091" t="str">
        <f>VLOOKUP(A1091, [1]Orders!A:E, 3, FALSE)</f>
        <v>Shubham</v>
      </c>
      <c r="J1091" t="str">
        <f>VLOOKUP(A1091, [1]Orders!A:E, 4, FALSE)</f>
        <v>Delhi</v>
      </c>
      <c r="K1091" t="str">
        <f>VLOOKUP(A1091, [1]Orders!A:E, 5, FALSE)</f>
        <v>Delhi</v>
      </c>
    </row>
    <row r="1092" spans="1:11" x14ac:dyDescent="0.5">
      <c r="A1092" t="s">
        <v>185</v>
      </c>
      <c r="B1092">
        <v>43</v>
      </c>
      <c r="C1092">
        <v>5</v>
      </c>
      <c r="D1092">
        <v>3</v>
      </c>
      <c r="E1092" t="s">
        <v>23</v>
      </c>
      <c r="F1092" t="s">
        <v>57</v>
      </c>
      <c r="G1092" t="s">
        <v>10</v>
      </c>
      <c r="H1092" s="1">
        <f>VLOOKUP(A1092, [1]Orders!A:B, 2, FALSE)</f>
        <v>43440</v>
      </c>
      <c r="I1092" t="str">
        <f>VLOOKUP(A1092, [1]Orders!A:E, 3, FALSE)</f>
        <v>Rohan</v>
      </c>
      <c r="J1092" t="str">
        <f>VLOOKUP(A1092, [1]Orders!A:E, 4, FALSE)</f>
        <v>Madhya Pradesh</v>
      </c>
      <c r="K1092" t="str">
        <f>VLOOKUP(A1092, [1]Orders!A:E, 5, FALSE)</f>
        <v>Indore</v>
      </c>
    </row>
    <row r="1093" spans="1:11" x14ac:dyDescent="0.5">
      <c r="A1093" t="s">
        <v>7</v>
      </c>
      <c r="B1093">
        <v>68</v>
      </c>
      <c r="C1093">
        <v>-27</v>
      </c>
      <c r="D1093">
        <v>3</v>
      </c>
      <c r="E1093" t="s">
        <v>8</v>
      </c>
      <c r="F1093" t="s">
        <v>73</v>
      </c>
      <c r="G1093" t="s">
        <v>28</v>
      </c>
      <c r="H1093" s="1">
        <f>VLOOKUP(A1093, [1]Orders!A:B, 2, FALSE)</f>
        <v>43255</v>
      </c>
      <c r="I1093" t="str">
        <f>VLOOKUP(A1093, [1]Orders!A:E, 3, FALSE)</f>
        <v>Bhawna</v>
      </c>
      <c r="J1093" t="str">
        <f>VLOOKUP(A1093, [1]Orders!A:E, 4, FALSE)</f>
        <v>Madhya Pradesh</v>
      </c>
      <c r="K1093" t="str">
        <f>VLOOKUP(A1093, [1]Orders!A:E, 5, FALSE)</f>
        <v>Indore</v>
      </c>
    </row>
    <row r="1094" spans="1:11" x14ac:dyDescent="0.5">
      <c r="A1094" t="s">
        <v>113</v>
      </c>
      <c r="B1094">
        <v>320</v>
      </c>
      <c r="C1094">
        <v>144</v>
      </c>
      <c r="D1094">
        <v>1</v>
      </c>
      <c r="E1094" t="s">
        <v>8</v>
      </c>
      <c r="F1094" t="s">
        <v>18</v>
      </c>
      <c r="G1094" t="s">
        <v>82</v>
      </c>
      <c r="H1094" s="1">
        <f>VLOOKUP(A1094, [1]Orders!A:B, 2, FALSE)</f>
        <v>43411</v>
      </c>
      <c r="I1094" t="str">
        <f>VLOOKUP(A1094, [1]Orders!A:E, 3, FALSE)</f>
        <v>Soumyabrata</v>
      </c>
      <c r="J1094" t="str">
        <f>VLOOKUP(A1094, [1]Orders!A:E, 4, FALSE)</f>
        <v>Andhra Pradesh</v>
      </c>
      <c r="K1094" t="str">
        <f>VLOOKUP(A1094, [1]Orders!A:E, 5, FALSE)</f>
        <v>Hyderabad</v>
      </c>
    </row>
    <row r="1095" spans="1:11" x14ac:dyDescent="0.5">
      <c r="A1095" t="s">
        <v>129</v>
      </c>
      <c r="B1095">
        <v>67</v>
      </c>
      <c r="C1095">
        <v>2</v>
      </c>
      <c r="D1095">
        <v>4</v>
      </c>
      <c r="E1095" t="s">
        <v>23</v>
      </c>
      <c r="F1095" t="s">
        <v>81</v>
      </c>
      <c r="G1095" t="s">
        <v>28</v>
      </c>
      <c r="H1095" s="1">
        <f>VLOOKUP(A1095, [1]Orders!A:B, 2, FALSE)</f>
        <v>43175</v>
      </c>
      <c r="I1095" t="str">
        <f>VLOOKUP(A1095, [1]Orders!A:E, 3, FALSE)</f>
        <v>Tulika</v>
      </c>
      <c r="J1095" t="str">
        <f>VLOOKUP(A1095, [1]Orders!A:E, 4, FALSE)</f>
        <v>Madhya Pradesh</v>
      </c>
      <c r="K1095" t="str">
        <f>VLOOKUP(A1095, [1]Orders!A:E, 5, FALSE)</f>
        <v>Bhopal</v>
      </c>
    </row>
    <row r="1096" spans="1:11" x14ac:dyDescent="0.5">
      <c r="A1096" t="s">
        <v>346</v>
      </c>
      <c r="B1096">
        <v>66</v>
      </c>
      <c r="C1096">
        <v>-12</v>
      </c>
      <c r="D1096">
        <v>5</v>
      </c>
      <c r="E1096" t="s">
        <v>23</v>
      </c>
      <c r="F1096" t="s">
        <v>57</v>
      </c>
      <c r="G1096" t="s">
        <v>28</v>
      </c>
      <c r="H1096" s="1">
        <f>VLOOKUP(A1096, [1]Orders!A:B, 2, FALSE)</f>
        <v>43191</v>
      </c>
      <c r="I1096" t="str">
        <f>VLOOKUP(A1096, [1]Orders!A:E, 3, FALSE)</f>
        <v>Bharat</v>
      </c>
      <c r="J1096" t="str">
        <f>VLOOKUP(A1096, [1]Orders!A:E, 4, FALSE)</f>
        <v>Gujarat</v>
      </c>
      <c r="K1096" t="str">
        <f>VLOOKUP(A1096, [1]Orders!A:E, 5, FALSE)</f>
        <v>Ahmedabad</v>
      </c>
    </row>
    <row r="1097" spans="1:11" x14ac:dyDescent="0.5">
      <c r="A1097" t="s">
        <v>379</v>
      </c>
      <c r="B1097">
        <v>321</v>
      </c>
      <c r="C1097">
        <v>26</v>
      </c>
      <c r="D1097">
        <v>3</v>
      </c>
      <c r="E1097" t="s">
        <v>8</v>
      </c>
      <c r="F1097" t="s">
        <v>18</v>
      </c>
      <c r="G1097" t="s">
        <v>82</v>
      </c>
      <c r="H1097" s="1">
        <f>VLOOKUP(A1097, [1]Orders!A:B, 2, FALSE)</f>
        <v>43378</v>
      </c>
      <c r="I1097" t="str">
        <f>VLOOKUP(A1097, [1]Orders!A:E, 3, FALSE)</f>
        <v>Sudheer</v>
      </c>
      <c r="J1097" t="str">
        <f>VLOOKUP(A1097, [1]Orders!A:E, 4, FALSE)</f>
        <v>Karnataka</v>
      </c>
      <c r="K1097" t="str">
        <f>VLOOKUP(A1097, [1]Orders!A:E, 5, FALSE)</f>
        <v>Bangalore</v>
      </c>
    </row>
    <row r="1098" spans="1:11" x14ac:dyDescent="0.5">
      <c r="A1098" t="s">
        <v>262</v>
      </c>
      <c r="B1098">
        <v>43</v>
      </c>
      <c r="C1098">
        <v>-5</v>
      </c>
      <c r="D1098">
        <v>2</v>
      </c>
      <c r="E1098" t="s">
        <v>23</v>
      </c>
      <c r="F1098" t="s">
        <v>26</v>
      </c>
      <c r="G1098" t="s">
        <v>10</v>
      </c>
      <c r="H1098" s="1">
        <f>VLOOKUP(A1098, [1]Orders!A:B, 2, FALSE)</f>
        <v>43326</v>
      </c>
      <c r="I1098" t="str">
        <f>VLOOKUP(A1098, [1]Orders!A:E, 3, FALSE)</f>
        <v>Nishant</v>
      </c>
      <c r="J1098" t="str">
        <f>VLOOKUP(A1098, [1]Orders!A:E, 4, FALSE)</f>
        <v>Maharashtra</v>
      </c>
      <c r="K1098" t="str">
        <f>VLOOKUP(A1098, [1]Orders!A:E, 5, FALSE)</f>
        <v>Mumbai</v>
      </c>
    </row>
    <row r="1099" spans="1:11" x14ac:dyDescent="0.5">
      <c r="A1099" t="s">
        <v>229</v>
      </c>
      <c r="B1099">
        <v>114</v>
      </c>
      <c r="C1099">
        <v>-39</v>
      </c>
      <c r="D1099">
        <v>5</v>
      </c>
      <c r="E1099" t="s">
        <v>23</v>
      </c>
      <c r="F1099" t="s">
        <v>32</v>
      </c>
      <c r="G1099" t="s">
        <v>10</v>
      </c>
      <c r="H1099" s="1">
        <f>VLOOKUP(A1099, [1]Orders!A:B, 2, FALSE)</f>
        <v>43214</v>
      </c>
      <c r="I1099" t="str">
        <f>VLOOKUP(A1099, [1]Orders!A:E, 3, FALSE)</f>
        <v>Sahil</v>
      </c>
      <c r="J1099" t="str">
        <f>VLOOKUP(A1099, [1]Orders!A:E, 4, FALSE)</f>
        <v>Punjab</v>
      </c>
      <c r="K1099" t="str">
        <f>VLOOKUP(A1099, [1]Orders!A:E, 5, FALSE)</f>
        <v>Chandigarh</v>
      </c>
    </row>
    <row r="1100" spans="1:11" x14ac:dyDescent="0.5">
      <c r="A1100" t="s">
        <v>178</v>
      </c>
      <c r="B1100">
        <v>43</v>
      </c>
      <c r="C1100">
        <v>17</v>
      </c>
      <c r="D1100">
        <v>1</v>
      </c>
      <c r="E1100" t="s">
        <v>23</v>
      </c>
      <c r="F1100" t="s">
        <v>26</v>
      </c>
      <c r="G1100" t="s">
        <v>10</v>
      </c>
      <c r="H1100" s="1">
        <f>VLOOKUP(A1100, [1]Orders!A:B, 2, FALSE)</f>
        <v>43442</v>
      </c>
      <c r="I1100" t="str">
        <f>VLOOKUP(A1100, [1]Orders!A:E, 3, FALSE)</f>
        <v>Aishwarya</v>
      </c>
      <c r="J1100" t="str">
        <f>VLOOKUP(A1100, [1]Orders!A:E, 4, FALSE)</f>
        <v>Uttar Pradesh</v>
      </c>
      <c r="K1100" t="str">
        <f>VLOOKUP(A1100, [1]Orders!A:E, 5, FALSE)</f>
        <v>Prayagraj</v>
      </c>
    </row>
    <row r="1101" spans="1:11" x14ac:dyDescent="0.5">
      <c r="A1101" t="s">
        <v>262</v>
      </c>
      <c r="B1101">
        <v>43</v>
      </c>
      <c r="C1101">
        <v>21</v>
      </c>
      <c r="D1101">
        <v>3</v>
      </c>
      <c r="E1101" t="s">
        <v>23</v>
      </c>
      <c r="F1101" t="s">
        <v>142</v>
      </c>
      <c r="G1101" t="s">
        <v>10</v>
      </c>
      <c r="H1101" s="1">
        <f>VLOOKUP(A1101, [1]Orders!A:B, 2, FALSE)</f>
        <v>43326</v>
      </c>
      <c r="I1101" t="str">
        <f>VLOOKUP(A1101, [1]Orders!A:E, 3, FALSE)</f>
        <v>Nishant</v>
      </c>
      <c r="J1101" t="str">
        <f>VLOOKUP(A1101, [1]Orders!A:E, 4, FALSE)</f>
        <v>Maharashtra</v>
      </c>
      <c r="K1101" t="str">
        <f>VLOOKUP(A1101, [1]Orders!A:E, 5, FALSE)</f>
        <v>Mumbai</v>
      </c>
    </row>
    <row r="1102" spans="1:11" x14ac:dyDescent="0.5">
      <c r="A1102" t="s">
        <v>200</v>
      </c>
      <c r="B1102">
        <v>637</v>
      </c>
      <c r="C1102">
        <v>50</v>
      </c>
      <c r="D1102">
        <v>5</v>
      </c>
      <c r="E1102" t="s">
        <v>23</v>
      </c>
      <c r="F1102" t="s">
        <v>26</v>
      </c>
      <c r="G1102" t="s">
        <v>10</v>
      </c>
      <c r="H1102" s="1">
        <f>VLOOKUP(A1102, [1]Orders!A:B, 2, FALSE)</f>
        <v>43181</v>
      </c>
      <c r="I1102" t="str">
        <f>VLOOKUP(A1102, [1]Orders!A:E, 3, FALSE)</f>
        <v>Aarushi</v>
      </c>
      <c r="J1102" t="str">
        <f>VLOOKUP(A1102, [1]Orders!A:E, 4, FALSE)</f>
        <v>Tamil Nadu</v>
      </c>
      <c r="K1102" t="str">
        <f>VLOOKUP(A1102, [1]Orders!A:E, 5, FALSE)</f>
        <v>Chennai</v>
      </c>
    </row>
    <row r="1103" spans="1:11" x14ac:dyDescent="0.5">
      <c r="A1103" t="s">
        <v>31</v>
      </c>
      <c r="B1103">
        <v>300</v>
      </c>
      <c r="C1103">
        <v>42</v>
      </c>
      <c r="D1103">
        <v>2</v>
      </c>
      <c r="E1103" t="s">
        <v>8</v>
      </c>
      <c r="F1103" t="s">
        <v>18</v>
      </c>
      <c r="G1103" t="s">
        <v>10</v>
      </c>
      <c r="H1103" s="1">
        <f>VLOOKUP(A1103, [1]Orders!A:B, 2, FALSE)</f>
        <v>43410</v>
      </c>
      <c r="I1103" t="str">
        <f>VLOOKUP(A1103, [1]Orders!A:E, 3, FALSE)</f>
        <v>Kushal</v>
      </c>
      <c r="J1103" t="str">
        <f>VLOOKUP(A1103, [1]Orders!A:E, 4, FALSE)</f>
        <v>Nagaland</v>
      </c>
      <c r="K1103" t="str">
        <f>VLOOKUP(A1103, [1]Orders!A:E, 5, FALSE)</f>
        <v>Kohima</v>
      </c>
    </row>
    <row r="1104" spans="1:11" x14ac:dyDescent="0.5">
      <c r="A1104" t="s">
        <v>477</v>
      </c>
      <c r="B1104">
        <v>341</v>
      </c>
      <c r="C1104">
        <v>44</v>
      </c>
      <c r="D1104">
        <v>7</v>
      </c>
      <c r="E1104" t="s">
        <v>12</v>
      </c>
      <c r="F1104" t="s">
        <v>131</v>
      </c>
      <c r="G1104" t="s">
        <v>28</v>
      </c>
      <c r="H1104" s="1">
        <f>VLOOKUP(A1104, [1]Orders!A:B, 2, FALSE)</f>
        <v>43154</v>
      </c>
      <c r="I1104" t="str">
        <f>VLOOKUP(A1104, [1]Orders!A:E, 3, FALSE)</f>
        <v>Bhishm</v>
      </c>
      <c r="J1104" t="str">
        <f>VLOOKUP(A1104, [1]Orders!A:E, 4, FALSE)</f>
        <v>Maharashtra</v>
      </c>
      <c r="K1104" t="str">
        <f>VLOOKUP(A1104, [1]Orders!A:E, 5, FALSE)</f>
        <v>Mumbai</v>
      </c>
    </row>
    <row r="1105" spans="1:11" x14ac:dyDescent="0.5">
      <c r="A1105" t="s">
        <v>120</v>
      </c>
      <c r="B1105">
        <v>102</v>
      </c>
      <c r="C1105">
        <v>0</v>
      </c>
      <c r="D1105">
        <v>3</v>
      </c>
      <c r="E1105" t="s">
        <v>8</v>
      </c>
      <c r="F1105" t="s">
        <v>21</v>
      </c>
      <c r="G1105" t="s">
        <v>10</v>
      </c>
      <c r="H1105" s="1">
        <f>VLOOKUP(A1105, [1]Orders!A:B, 2, FALSE)</f>
        <v>43280</v>
      </c>
      <c r="I1105" t="str">
        <f>VLOOKUP(A1105, [1]Orders!A:E, 3, FALSE)</f>
        <v>Riya</v>
      </c>
      <c r="J1105" t="str">
        <f>VLOOKUP(A1105, [1]Orders!A:E, 4, FALSE)</f>
        <v>Maharashtra</v>
      </c>
      <c r="K1105" t="str">
        <f>VLOOKUP(A1105, [1]Orders!A:E, 5, FALSE)</f>
        <v>Mumbai</v>
      </c>
    </row>
    <row r="1106" spans="1:11" x14ac:dyDescent="0.5">
      <c r="A1106" t="s">
        <v>37</v>
      </c>
      <c r="B1106">
        <v>328</v>
      </c>
      <c r="C1106">
        <v>-15</v>
      </c>
      <c r="D1106">
        <v>3</v>
      </c>
      <c r="E1106" t="s">
        <v>8</v>
      </c>
      <c r="F1106" t="s">
        <v>9</v>
      </c>
      <c r="G1106" t="s">
        <v>82</v>
      </c>
      <c r="H1106" s="1">
        <f>VLOOKUP(A1106, [1]Orders!A:B, 2, FALSE)</f>
        <v>43337</v>
      </c>
      <c r="I1106" t="str">
        <f>VLOOKUP(A1106, [1]Orders!A:E, 3, FALSE)</f>
        <v>Madhav</v>
      </c>
      <c r="J1106" t="str">
        <f>VLOOKUP(A1106, [1]Orders!A:E, 4, FALSE)</f>
        <v>Uttar Pradesh</v>
      </c>
      <c r="K1106" t="str">
        <f>VLOOKUP(A1106, [1]Orders!A:E, 5, FALSE)</f>
        <v>Mathura</v>
      </c>
    </row>
    <row r="1107" spans="1:11" x14ac:dyDescent="0.5">
      <c r="A1107" t="s">
        <v>478</v>
      </c>
      <c r="B1107">
        <v>341</v>
      </c>
      <c r="C1107">
        <v>160</v>
      </c>
      <c r="D1107">
        <v>7</v>
      </c>
      <c r="E1107" t="s">
        <v>23</v>
      </c>
      <c r="F1107" t="s">
        <v>57</v>
      </c>
      <c r="G1107" t="s">
        <v>82</v>
      </c>
      <c r="H1107" s="1">
        <f>VLOOKUP(A1107, [1]Orders!A:B, 2, FALSE)</f>
        <v>43127</v>
      </c>
      <c r="I1107" t="str">
        <f>VLOOKUP(A1107, [1]Orders!A:E, 3, FALSE)</f>
        <v>Parin</v>
      </c>
      <c r="J1107" t="str">
        <f>VLOOKUP(A1107, [1]Orders!A:E, 4, FALSE)</f>
        <v>Maharashtra</v>
      </c>
      <c r="K1107" t="str">
        <f>VLOOKUP(A1107, [1]Orders!A:E, 5, FALSE)</f>
        <v>Mumbai</v>
      </c>
    </row>
    <row r="1108" spans="1:11" x14ac:dyDescent="0.5">
      <c r="A1108" t="s">
        <v>479</v>
      </c>
      <c r="B1108">
        <v>62</v>
      </c>
      <c r="C1108">
        <v>11</v>
      </c>
      <c r="D1108">
        <v>7</v>
      </c>
      <c r="E1108" t="s">
        <v>23</v>
      </c>
      <c r="F1108" t="s">
        <v>30</v>
      </c>
      <c r="G1108" t="s">
        <v>28</v>
      </c>
      <c r="H1108" s="1">
        <f>VLOOKUP(A1108, [1]Orders!A:B, 2, FALSE)</f>
        <v>43181</v>
      </c>
      <c r="I1108" t="str">
        <f>VLOOKUP(A1108, [1]Orders!A:E, 3, FALSE)</f>
        <v>Divsha</v>
      </c>
      <c r="J1108" t="str">
        <f>VLOOKUP(A1108, [1]Orders!A:E, 4, FALSE)</f>
        <v>Rajasthan</v>
      </c>
      <c r="K1108" t="str">
        <f>VLOOKUP(A1108, [1]Orders!A:E, 5, FALSE)</f>
        <v>Jaipur</v>
      </c>
    </row>
    <row r="1109" spans="1:11" x14ac:dyDescent="0.5">
      <c r="A1109" t="s">
        <v>264</v>
      </c>
      <c r="B1109">
        <v>42</v>
      </c>
      <c r="C1109">
        <v>13</v>
      </c>
      <c r="D1109">
        <v>3</v>
      </c>
      <c r="E1109" t="s">
        <v>23</v>
      </c>
      <c r="F1109" t="s">
        <v>63</v>
      </c>
      <c r="G1109" t="s">
        <v>10</v>
      </c>
      <c r="H1109" s="1">
        <f>VLOOKUP(A1109, [1]Orders!A:B, 2, FALSE)</f>
        <v>43128</v>
      </c>
      <c r="I1109" t="str">
        <f>VLOOKUP(A1109, [1]Orders!A:E, 3, FALSE)</f>
        <v>Amruta</v>
      </c>
      <c r="J1109" t="str">
        <f>VLOOKUP(A1109, [1]Orders!A:E, 4, FALSE)</f>
        <v>Delhi</v>
      </c>
      <c r="K1109" t="str">
        <f>VLOOKUP(A1109, [1]Orders!A:E, 5, FALSE)</f>
        <v>Delhi</v>
      </c>
    </row>
    <row r="1110" spans="1:11" x14ac:dyDescent="0.5">
      <c r="A1110" t="s">
        <v>329</v>
      </c>
      <c r="B1110">
        <v>62</v>
      </c>
      <c r="C1110">
        <v>28</v>
      </c>
      <c r="D1110">
        <v>5</v>
      </c>
      <c r="E1110" t="s">
        <v>23</v>
      </c>
      <c r="F1110" t="s">
        <v>30</v>
      </c>
      <c r="G1110" t="s">
        <v>28</v>
      </c>
      <c r="H1110" s="1">
        <f>VLOOKUP(A1110, [1]Orders!A:B, 2, FALSE)</f>
        <v>43160</v>
      </c>
      <c r="I1110" t="str">
        <f>VLOOKUP(A1110, [1]Orders!A:E, 3, FALSE)</f>
        <v>Amit</v>
      </c>
      <c r="J1110" t="str">
        <f>VLOOKUP(A1110, [1]Orders!A:E, 4, FALSE)</f>
        <v>Sikkim</v>
      </c>
      <c r="K1110" t="str">
        <f>VLOOKUP(A1110, [1]Orders!A:E, 5, FALSE)</f>
        <v>Gangtok</v>
      </c>
    </row>
    <row r="1111" spans="1:11" x14ac:dyDescent="0.5">
      <c r="A1111" t="s">
        <v>191</v>
      </c>
      <c r="B1111">
        <v>42</v>
      </c>
      <c r="C1111">
        <v>7</v>
      </c>
      <c r="D1111">
        <v>2</v>
      </c>
      <c r="E1111" t="s">
        <v>23</v>
      </c>
      <c r="F1111" t="s">
        <v>32</v>
      </c>
      <c r="G1111" t="s">
        <v>10</v>
      </c>
      <c r="H1111" s="1">
        <f>VLOOKUP(A1111, [1]Orders!A:B, 2, FALSE)</f>
        <v>43439</v>
      </c>
      <c r="I1111" t="str">
        <f>VLOOKUP(A1111, [1]Orders!A:E, 3, FALSE)</f>
        <v>Aman</v>
      </c>
      <c r="J1111" t="str">
        <f>VLOOKUP(A1111, [1]Orders!A:E, 4, FALSE)</f>
        <v>Maharashtra</v>
      </c>
      <c r="K1111" t="str">
        <f>VLOOKUP(A1111, [1]Orders!A:E, 5, FALSE)</f>
        <v>Mumbai</v>
      </c>
    </row>
    <row r="1112" spans="1:11" x14ac:dyDescent="0.5">
      <c r="A1112" t="s">
        <v>480</v>
      </c>
      <c r="B1112">
        <v>42</v>
      </c>
      <c r="C1112">
        <v>-3</v>
      </c>
      <c r="D1112">
        <v>1</v>
      </c>
      <c r="E1112" t="s">
        <v>8</v>
      </c>
      <c r="F1112" t="s">
        <v>9</v>
      </c>
      <c r="G1112" t="s">
        <v>10</v>
      </c>
      <c r="H1112" s="1">
        <f>VLOOKUP(A1112, [1]Orders!A:B, 2, FALSE)</f>
        <v>43366</v>
      </c>
      <c r="I1112" t="str">
        <f>VLOOKUP(A1112, [1]Orders!A:E, 3, FALSE)</f>
        <v>Sajal</v>
      </c>
      <c r="J1112" t="str">
        <f>VLOOKUP(A1112, [1]Orders!A:E, 4, FALSE)</f>
        <v>Bihar</v>
      </c>
      <c r="K1112" t="str">
        <f>VLOOKUP(A1112, [1]Orders!A:E, 5, FALSE)</f>
        <v>Patna</v>
      </c>
    </row>
    <row r="1113" spans="1:11" x14ac:dyDescent="0.5">
      <c r="A1113" t="s">
        <v>420</v>
      </c>
      <c r="B1113">
        <v>313</v>
      </c>
      <c r="C1113">
        <v>-13</v>
      </c>
      <c r="D1113">
        <v>5</v>
      </c>
      <c r="E1113" t="s">
        <v>12</v>
      </c>
      <c r="F1113" t="s">
        <v>16</v>
      </c>
      <c r="G1113" t="s">
        <v>28</v>
      </c>
      <c r="H1113" s="1">
        <f>VLOOKUP(A1113, [1]Orders!A:B, 2, FALSE)</f>
        <v>43365</v>
      </c>
      <c r="I1113" t="str">
        <f>VLOOKUP(A1113, [1]Orders!A:E, 3, FALSE)</f>
        <v>Akshay</v>
      </c>
      <c r="J1113" t="str">
        <f>VLOOKUP(A1113, [1]Orders!A:E, 4, FALSE)</f>
        <v>Uttar Pradesh</v>
      </c>
      <c r="K1113" t="str">
        <f>VLOOKUP(A1113, [1]Orders!A:E, 5, FALSE)</f>
        <v>Lucknow</v>
      </c>
    </row>
    <row r="1114" spans="1:11" x14ac:dyDescent="0.5">
      <c r="A1114" t="s">
        <v>106</v>
      </c>
      <c r="B1114">
        <v>109</v>
      </c>
      <c r="C1114">
        <v>52</v>
      </c>
      <c r="D1114">
        <v>2</v>
      </c>
      <c r="E1114" t="s">
        <v>23</v>
      </c>
      <c r="F1114" t="s">
        <v>57</v>
      </c>
      <c r="G1114" t="s">
        <v>28</v>
      </c>
      <c r="H1114" s="1">
        <f>VLOOKUP(A1114, [1]Orders!A:B, 2, FALSE)</f>
        <v>43173</v>
      </c>
      <c r="I1114" t="str">
        <f>VLOOKUP(A1114, [1]Orders!A:E, 3, FALSE)</f>
        <v>Anurag</v>
      </c>
      <c r="J1114" t="str">
        <f>VLOOKUP(A1114, [1]Orders!A:E, 4, FALSE)</f>
        <v>Madhya Pradesh</v>
      </c>
      <c r="K1114" t="str">
        <f>VLOOKUP(A1114, [1]Orders!A:E, 5, FALSE)</f>
        <v>Indore</v>
      </c>
    </row>
    <row r="1115" spans="1:11" x14ac:dyDescent="0.5">
      <c r="A1115" t="s">
        <v>35</v>
      </c>
      <c r="B1115">
        <v>226</v>
      </c>
      <c r="C1115">
        <v>58</v>
      </c>
      <c r="D1115">
        <v>3</v>
      </c>
      <c r="E1115" t="s">
        <v>8</v>
      </c>
      <c r="F1115" t="s">
        <v>73</v>
      </c>
      <c r="G1115" t="s">
        <v>10</v>
      </c>
      <c r="H1115" s="1">
        <f>VLOOKUP(A1115, [1]Orders!A:B, 2, FALSE)</f>
        <v>43461</v>
      </c>
      <c r="I1115" t="str">
        <f>VLOOKUP(A1115, [1]Orders!A:E, 3, FALSE)</f>
        <v>Gopal</v>
      </c>
      <c r="J1115" t="str">
        <f>VLOOKUP(A1115, [1]Orders!A:E, 4, FALSE)</f>
        <v>Maharashtra</v>
      </c>
      <c r="K1115" t="str">
        <f>VLOOKUP(A1115, [1]Orders!A:E, 5, FALSE)</f>
        <v>Mumbai</v>
      </c>
    </row>
    <row r="1116" spans="1:11" x14ac:dyDescent="0.5">
      <c r="A1116" t="s">
        <v>84</v>
      </c>
      <c r="B1116">
        <v>62</v>
      </c>
      <c r="C1116">
        <v>-1</v>
      </c>
      <c r="D1116">
        <v>1</v>
      </c>
      <c r="E1116" t="s">
        <v>8</v>
      </c>
      <c r="F1116" t="s">
        <v>21</v>
      </c>
      <c r="G1116" t="s">
        <v>28</v>
      </c>
      <c r="H1116" s="1">
        <f>VLOOKUP(A1116, [1]Orders!A:B, 2, FALSE)</f>
        <v>43422</v>
      </c>
      <c r="I1116" t="str">
        <f>VLOOKUP(A1116, [1]Orders!A:E, 3, FALSE)</f>
        <v>Vikash</v>
      </c>
      <c r="J1116" t="str">
        <f>VLOOKUP(A1116, [1]Orders!A:E, 4, FALSE)</f>
        <v>Goa</v>
      </c>
      <c r="K1116" t="str">
        <f>VLOOKUP(A1116, [1]Orders!A:E, 5, FALSE)</f>
        <v>Goa</v>
      </c>
    </row>
    <row r="1117" spans="1:11" x14ac:dyDescent="0.5">
      <c r="A1117" t="s">
        <v>97</v>
      </c>
      <c r="B1117">
        <v>61</v>
      </c>
      <c r="C1117">
        <v>-25</v>
      </c>
      <c r="D1117">
        <v>4</v>
      </c>
      <c r="E1117" t="s">
        <v>8</v>
      </c>
      <c r="F1117" t="s">
        <v>73</v>
      </c>
      <c r="G1117" t="s">
        <v>28</v>
      </c>
      <c r="H1117" s="1">
        <f>VLOOKUP(A1117, [1]Orders!A:B, 2, FALSE)</f>
        <v>43353</v>
      </c>
      <c r="I1117" t="str">
        <f>VLOOKUP(A1117, [1]Orders!A:E, 3, FALSE)</f>
        <v>Aditi</v>
      </c>
      <c r="J1117" t="str">
        <f>VLOOKUP(A1117, [1]Orders!A:E, 4, FALSE)</f>
        <v>Madhya Pradesh</v>
      </c>
      <c r="K1117" t="str">
        <f>VLOOKUP(A1117, [1]Orders!A:E, 5, FALSE)</f>
        <v>Indore</v>
      </c>
    </row>
    <row r="1118" spans="1:11" x14ac:dyDescent="0.5">
      <c r="A1118" t="s">
        <v>292</v>
      </c>
      <c r="B1118">
        <v>222</v>
      </c>
      <c r="C1118">
        <v>74</v>
      </c>
      <c r="D1118">
        <v>5</v>
      </c>
      <c r="E1118" t="s">
        <v>23</v>
      </c>
      <c r="F1118" t="s">
        <v>30</v>
      </c>
      <c r="G1118" t="s">
        <v>10</v>
      </c>
      <c r="H1118" s="1">
        <f>VLOOKUP(A1118, [1]Orders!A:B, 2, FALSE)</f>
        <v>43136</v>
      </c>
      <c r="I1118" t="str">
        <f>VLOOKUP(A1118, [1]Orders!A:E, 3, FALSE)</f>
        <v>Diwakar</v>
      </c>
      <c r="J1118" t="str">
        <f>VLOOKUP(A1118, [1]Orders!A:E, 4, FALSE)</f>
        <v>Delhi</v>
      </c>
      <c r="K1118" t="str">
        <f>VLOOKUP(A1118, [1]Orders!A:E, 5, FALSE)</f>
        <v>Delhi</v>
      </c>
    </row>
    <row r="1119" spans="1:11" x14ac:dyDescent="0.5">
      <c r="A1119" t="s">
        <v>234</v>
      </c>
      <c r="B1119">
        <v>342</v>
      </c>
      <c r="C1119">
        <v>-154</v>
      </c>
      <c r="D1119">
        <v>7</v>
      </c>
      <c r="E1119" t="s">
        <v>12</v>
      </c>
      <c r="F1119" t="s">
        <v>131</v>
      </c>
      <c r="G1119" t="s">
        <v>82</v>
      </c>
      <c r="H1119" s="1">
        <f>VLOOKUP(A1119, [1]Orders!A:B, 2, FALSE)</f>
        <v>43412</v>
      </c>
      <c r="I1119" t="str">
        <f>VLOOKUP(A1119, [1]Orders!A:E, 3, FALSE)</f>
        <v>Shubham</v>
      </c>
      <c r="J1119" t="str">
        <f>VLOOKUP(A1119, [1]Orders!A:E, 4, FALSE)</f>
        <v>Maharashtra</v>
      </c>
      <c r="K1119" t="str">
        <f>VLOOKUP(A1119, [1]Orders!A:E, 5, FALSE)</f>
        <v>Pune</v>
      </c>
    </row>
    <row r="1120" spans="1:11" x14ac:dyDescent="0.5">
      <c r="A1120" t="s">
        <v>100</v>
      </c>
      <c r="B1120">
        <v>344</v>
      </c>
      <c r="C1120">
        <v>-34</v>
      </c>
      <c r="D1120">
        <v>3</v>
      </c>
      <c r="E1120" t="s">
        <v>23</v>
      </c>
      <c r="F1120" t="s">
        <v>26</v>
      </c>
      <c r="G1120" t="s">
        <v>82</v>
      </c>
      <c r="H1120" s="1">
        <f>VLOOKUP(A1120, [1]Orders!A:B, 2, FALSE)</f>
        <v>43243</v>
      </c>
      <c r="I1120" t="str">
        <f>VLOOKUP(A1120, [1]Orders!A:E, 3, FALSE)</f>
        <v>Anjali</v>
      </c>
      <c r="J1120" t="str">
        <f>VLOOKUP(A1120, [1]Orders!A:E, 4, FALSE)</f>
        <v>Haryana</v>
      </c>
      <c r="K1120" t="str">
        <f>VLOOKUP(A1120, [1]Orders!A:E, 5, FALSE)</f>
        <v>Chandigarh</v>
      </c>
    </row>
    <row r="1121" spans="1:11" x14ac:dyDescent="0.5">
      <c r="A1121" t="s">
        <v>481</v>
      </c>
      <c r="B1121">
        <v>345</v>
      </c>
      <c r="C1121">
        <v>38</v>
      </c>
      <c r="D1121">
        <v>7</v>
      </c>
      <c r="E1121" t="s">
        <v>23</v>
      </c>
      <c r="F1121" t="s">
        <v>30</v>
      </c>
      <c r="G1121" t="s">
        <v>82</v>
      </c>
      <c r="H1121" s="1">
        <f>VLOOKUP(A1121, [1]Orders!A:B, 2, FALSE)</f>
        <v>43398</v>
      </c>
      <c r="I1121" t="str">
        <f>VLOOKUP(A1121, [1]Orders!A:E, 3, FALSE)</f>
        <v>Apoorva</v>
      </c>
      <c r="J1121" t="str">
        <f>VLOOKUP(A1121, [1]Orders!A:E, 4, FALSE)</f>
        <v>Haryana</v>
      </c>
      <c r="K1121" t="str">
        <f>VLOOKUP(A1121, [1]Orders!A:E, 5, FALSE)</f>
        <v>Chandigarh</v>
      </c>
    </row>
    <row r="1122" spans="1:11" x14ac:dyDescent="0.5">
      <c r="A1122" t="s">
        <v>482</v>
      </c>
      <c r="B1122">
        <v>46</v>
      </c>
      <c r="C1122">
        <v>0</v>
      </c>
      <c r="D1122">
        <v>2</v>
      </c>
      <c r="E1122" t="s">
        <v>8</v>
      </c>
      <c r="F1122" t="s">
        <v>9</v>
      </c>
      <c r="G1122" t="s">
        <v>10</v>
      </c>
      <c r="H1122" s="1">
        <f>VLOOKUP(A1122, [1]Orders!A:B, 2, FALSE)</f>
        <v>43281</v>
      </c>
      <c r="I1122" t="str">
        <f>VLOOKUP(A1122, [1]Orders!A:E, 3, FALSE)</f>
        <v>Shweta</v>
      </c>
      <c r="J1122" t="str">
        <f>VLOOKUP(A1122, [1]Orders!A:E, 4, FALSE)</f>
        <v>Madhya Pradesh</v>
      </c>
      <c r="K1122" t="str">
        <f>VLOOKUP(A1122, [1]Orders!A:E, 5, FALSE)</f>
        <v>Indore</v>
      </c>
    </row>
    <row r="1123" spans="1:11" x14ac:dyDescent="0.5">
      <c r="A1123" t="s">
        <v>241</v>
      </c>
      <c r="B1123">
        <v>255</v>
      </c>
      <c r="C1123">
        <v>74</v>
      </c>
      <c r="D1123">
        <v>5</v>
      </c>
      <c r="E1123" t="s">
        <v>23</v>
      </c>
      <c r="F1123" t="s">
        <v>30</v>
      </c>
      <c r="G1123" t="s">
        <v>10</v>
      </c>
      <c r="H1123" s="1">
        <f>VLOOKUP(A1123, [1]Orders!A:B, 2, FALSE)</f>
        <v>43407</v>
      </c>
      <c r="I1123" t="str">
        <f>VLOOKUP(A1123, [1]Orders!A:E, 3, FALSE)</f>
        <v>Mrunal</v>
      </c>
      <c r="J1123" t="str">
        <f>VLOOKUP(A1123, [1]Orders!A:E, 4, FALSE)</f>
        <v>Maharashtra</v>
      </c>
      <c r="K1123" t="str">
        <f>VLOOKUP(A1123, [1]Orders!A:E, 5, FALSE)</f>
        <v>Mumbai</v>
      </c>
    </row>
    <row r="1124" spans="1:11" x14ac:dyDescent="0.5">
      <c r="A1124" t="s">
        <v>370</v>
      </c>
      <c r="B1124">
        <v>360</v>
      </c>
      <c r="C1124">
        <v>32</v>
      </c>
      <c r="D1124">
        <v>3</v>
      </c>
      <c r="E1124" t="s">
        <v>23</v>
      </c>
      <c r="F1124" t="s">
        <v>26</v>
      </c>
      <c r="G1124" t="s">
        <v>28</v>
      </c>
      <c r="H1124" s="1">
        <f>VLOOKUP(A1124, [1]Orders!A:B, 2, FALSE)</f>
        <v>43118</v>
      </c>
      <c r="I1124" t="str">
        <f>VLOOKUP(A1124, [1]Orders!A:E, 3, FALSE)</f>
        <v>Aparajita</v>
      </c>
      <c r="J1124" t="str">
        <f>VLOOKUP(A1124, [1]Orders!A:E, 4, FALSE)</f>
        <v>West Bengal</v>
      </c>
      <c r="K1124" t="str">
        <f>VLOOKUP(A1124, [1]Orders!A:E, 5, FALSE)</f>
        <v>Kolkata</v>
      </c>
    </row>
    <row r="1125" spans="1:11" x14ac:dyDescent="0.5">
      <c r="A1125" t="s">
        <v>202</v>
      </c>
      <c r="B1125">
        <v>372</v>
      </c>
      <c r="C1125">
        <v>59</v>
      </c>
      <c r="D1125">
        <v>3</v>
      </c>
      <c r="E1125" t="s">
        <v>8</v>
      </c>
      <c r="F1125" t="s">
        <v>18</v>
      </c>
      <c r="G1125" t="s">
        <v>28</v>
      </c>
      <c r="H1125" s="1">
        <f>VLOOKUP(A1125, [1]Orders!A:B, 2, FALSE)</f>
        <v>43438</v>
      </c>
      <c r="I1125" t="str">
        <f>VLOOKUP(A1125, [1]Orders!A:E, 3, FALSE)</f>
        <v>Vrinda</v>
      </c>
      <c r="J1125" t="str">
        <f>VLOOKUP(A1125, [1]Orders!A:E, 4, FALSE)</f>
        <v>Uttar Pradesh</v>
      </c>
      <c r="K1125" t="str">
        <f>VLOOKUP(A1125, [1]Orders!A:E, 5, FALSE)</f>
        <v>Mathura</v>
      </c>
    </row>
    <row r="1126" spans="1:11" x14ac:dyDescent="0.5">
      <c r="A1126" t="s">
        <v>171</v>
      </c>
      <c r="B1126">
        <v>61</v>
      </c>
      <c r="C1126">
        <v>30</v>
      </c>
      <c r="D1126">
        <v>2</v>
      </c>
      <c r="E1126" t="s">
        <v>23</v>
      </c>
      <c r="F1126" t="s">
        <v>30</v>
      </c>
      <c r="G1126" t="s">
        <v>28</v>
      </c>
      <c r="H1126" s="1">
        <f>VLOOKUP(A1126, [1]Orders!A:B, 2, FALSE)</f>
        <v>43412</v>
      </c>
      <c r="I1126" t="str">
        <f>VLOOKUP(A1126, [1]Orders!A:E, 3, FALSE)</f>
        <v>Abhijeet</v>
      </c>
      <c r="J1126" t="str">
        <f>VLOOKUP(A1126, [1]Orders!A:E, 4, FALSE)</f>
        <v>Madhya Pradesh</v>
      </c>
      <c r="K1126" t="str">
        <f>VLOOKUP(A1126, [1]Orders!A:E, 5, FALSE)</f>
        <v>Bhopal</v>
      </c>
    </row>
    <row r="1127" spans="1:11" x14ac:dyDescent="0.5">
      <c r="A1127" t="s">
        <v>107</v>
      </c>
      <c r="B1127">
        <v>42</v>
      </c>
      <c r="C1127">
        <v>12</v>
      </c>
      <c r="D1127">
        <v>5</v>
      </c>
      <c r="E1127" t="s">
        <v>23</v>
      </c>
      <c r="F1127" t="s">
        <v>30</v>
      </c>
      <c r="G1127" t="s">
        <v>10</v>
      </c>
      <c r="H1127" s="1">
        <f>VLOOKUP(A1127, [1]Orders!A:B, 2, FALSE)</f>
        <v>43205</v>
      </c>
      <c r="I1127" t="str">
        <f>VLOOKUP(A1127, [1]Orders!A:E, 3, FALSE)</f>
        <v>Kanak</v>
      </c>
      <c r="J1127" t="str">
        <f>VLOOKUP(A1127, [1]Orders!A:E, 4, FALSE)</f>
        <v>Goa</v>
      </c>
      <c r="K1127" t="str">
        <f>VLOOKUP(A1127, [1]Orders!A:E, 5, FALSE)</f>
        <v>Goa</v>
      </c>
    </row>
    <row r="1128" spans="1:11" x14ac:dyDescent="0.5">
      <c r="A1128" t="s">
        <v>229</v>
      </c>
      <c r="B1128">
        <v>42</v>
      </c>
      <c r="C1128">
        <v>-26</v>
      </c>
      <c r="D1128">
        <v>2</v>
      </c>
      <c r="E1128" t="s">
        <v>23</v>
      </c>
      <c r="F1128" t="s">
        <v>32</v>
      </c>
      <c r="G1128" t="s">
        <v>10</v>
      </c>
      <c r="H1128" s="1">
        <f>VLOOKUP(A1128, [1]Orders!A:B, 2, FALSE)</f>
        <v>43214</v>
      </c>
      <c r="I1128" t="str">
        <f>VLOOKUP(A1128, [1]Orders!A:E, 3, FALSE)</f>
        <v>Sahil</v>
      </c>
      <c r="J1128" t="str">
        <f>VLOOKUP(A1128, [1]Orders!A:E, 4, FALSE)</f>
        <v>Punjab</v>
      </c>
      <c r="K1128" t="str">
        <f>VLOOKUP(A1128, [1]Orders!A:E, 5, FALSE)</f>
        <v>Chandigarh</v>
      </c>
    </row>
    <row r="1129" spans="1:11" x14ac:dyDescent="0.5">
      <c r="A1129" t="s">
        <v>483</v>
      </c>
      <c r="B1129">
        <v>61</v>
      </c>
      <c r="C1129">
        <v>25</v>
      </c>
      <c r="D1129">
        <v>4</v>
      </c>
      <c r="E1129" t="s">
        <v>23</v>
      </c>
      <c r="F1129" t="s">
        <v>26</v>
      </c>
      <c r="G1129" t="s">
        <v>28</v>
      </c>
      <c r="H1129" s="1">
        <f>VLOOKUP(A1129, [1]Orders!A:B, 2, FALSE)</f>
        <v>43105</v>
      </c>
      <c r="I1129" t="str">
        <f>VLOOKUP(A1129, [1]Orders!A:E, 3, FALSE)</f>
        <v>Nikhil</v>
      </c>
      <c r="J1129" t="str">
        <f>VLOOKUP(A1129, [1]Orders!A:E, 4, FALSE)</f>
        <v>Punjab</v>
      </c>
      <c r="K1129" t="str">
        <f>VLOOKUP(A1129, [1]Orders!A:E, 5, FALSE)</f>
        <v>Chandigarh</v>
      </c>
    </row>
    <row r="1130" spans="1:11" x14ac:dyDescent="0.5">
      <c r="A1130" t="s">
        <v>50</v>
      </c>
      <c r="B1130">
        <v>41</v>
      </c>
      <c r="C1130">
        <v>11</v>
      </c>
      <c r="D1130">
        <v>6</v>
      </c>
      <c r="E1130" t="s">
        <v>23</v>
      </c>
      <c r="F1130" t="s">
        <v>30</v>
      </c>
      <c r="G1130" t="s">
        <v>10</v>
      </c>
      <c r="H1130" s="1">
        <f>VLOOKUP(A1130, [1]Orders!A:B, 2, FALSE)</f>
        <v>43399</v>
      </c>
      <c r="I1130" t="str">
        <f>VLOOKUP(A1130, [1]Orders!A:E, 3, FALSE)</f>
        <v>Aastha</v>
      </c>
      <c r="J1130" t="str">
        <f>VLOOKUP(A1130, [1]Orders!A:E, 4, FALSE)</f>
        <v>Himachal Pradesh</v>
      </c>
      <c r="K1130" t="str">
        <f>VLOOKUP(A1130, [1]Orders!A:E, 5, FALSE)</f>
        <v>Simla</v>
      </c>
    </row>
    <row r="1131" spans="1:11" x14ac:dyDescent="0.5">
      <c r="A1131" t="s">
        <v>165</v>
      </c>
      <c r="B1131">
        <v>40</v>
      </c>
      <c r="C1131">
        <v>13</v>
      </c>
      <c r="D1131">
        <v>3</v>
      </c>
      <c r="E1131" t="s">
        <v>23</v>
      </c>
      <c r="F1131" t="s">
        <v>81</v>
      </c>
      <c r="G1131" t="s">
        <v>10</v>
      </c>
      <c r="H1131" s="1">
        <f>VLOOKUP(A1131, [1]Orders!A:B, 2, FALSE)</f>
        <v>43103</v>
      </c>
      <c r="I1131" t="str">
        <f>VLOOKUP(A1131, [1]Orders!A:E, 3, FALSE)</f>
        <v>Monica</v>
      </c>
      <c r="J1131" t="str">
        <f>VLOOKUP(A1131, [1]Orders!A:E, 4, FALSE)</f>
        <v>Punjab</v>
      </c>
      <c r="K1131" t="str">
        <f>VLOOKUP(A1131, [1]Orders!A:E, 5, FALSE)</f>
        <v>Chandigarh</v>
      </c>
    </row>
    <row r="1132" spans="1:11" x14ac:dyDescent="0.5">
      <c r="A1132" t="s">
        <v>145</v>
      </c>
      <c r="B1132">
        <v>59</v>
      </c>
      <c r="C1132">
        <v>21</v>
      </c>
      <c r="D1132">
        <v>2</v>
      </c>
      <c r="E1132" t="s">
        <v>23</v>
      </c>
      <c r="F1132" t="s">
        <v>57</v>
      </c>
      <c r="G1132" t="s">
        <v>28</v>
      </c>
      <c r="H1132" s="1">
        <f>VLOOKUP(A1132, [1]Orders!A:B, 2, FALSE)</f>
        <v>43381</v>
      </c>
      <c r="I1132" t="str">
        <f>VLOOKUP(A1132, [1]Orders!A:E, 3, FALSE)</f>
        <v>Apsingekar</v>
      </c>
      <c r="J1132" t="str">
        <f>VLOOKUP(A1132, [1]Orders!A:E, 4, FALSE)</f>
        <v>Bihar</v>
      </c>
      <c r="K1132" t="str">
        <f>VLOOKUP(A1132, [1]Orders!A:E, 5, FALSE)</f>
        <v>Patna</v>
      </c>
    </row>
    <row r="1133" spans="1:11" x14ac:dyDescent="0.5">
      <c r="A1133" t="s">
        <v>300</v>
      </c>
      <c r="B1133">
        <v>57</v>
      </c>
      <c r="C1133">
        <v>27</v>
      </c>
      <c r="D1133">
        <v>2</v>
      </c>
      <c r="E1133" t="s">
        <v>23</v>
      </c>
      <c r="F1133" t="s">
        <v>142</v>
      </c>
      <c r="G1133" t="s">
        <v>28</v>
      </c>
      <c r="H1133" s="1">
        <f>VLOOKUP(A1133, [1]Orders!A:B, 2, FALSE)</f>
        <v>43127</v>
      </c>
      <c r="I1133" t="str">
        <f>VLOOKUP(A1133, [1]Orders!A:E, 3, FALSE)</f>
        <v>Shivangi</v>
      </c>
      <c r="J1133" t="str">
        <f>VLOOKUP(A1133, [1]Orders!A:E, 4, FALSE)</f>
        <v>Madhya Pradesh</v>
      </c>
      <c r="K1133" t="str">
        <f>VLOOKUP(A1133, [1]Orders!A:E, 5, FALSE)</f>
        <v>Indore</v>
      </c>
    </row>
    <row r="1134" spans="1:11" x14ac:dyDescent="0.5">
      <c r="A1134" t="s">
        <v>27</v>
      </c>
      <c r="B1134">
        <v>17</v>
      </c>
      <c r="C1134">
        <v>6</v>
      </c>
      <c r="D1134">
        <v>1</v>
      </c>
      <c r="E1134" t="s">
        <v>23</v>
      </c>
      <c r="F1134" t="s">
        <v>57</v>
      </c>
      <c r="G1134" t="s">
        <v>28</v>
      </c>
      <c r="H1134" s="1">
        <f>VLOOKUP(A1134, [1]Orders!A:B, 2, FALSE)</f>
        <v>43262</v>
      </c>
      <c r="I1134" t="str">
        <f>VLOOKUP(A1134, [1]Orders!A:E, 3, FALSE)</f>
        <v>Sanjna</v>
      </c>
      <c r="J1134" t="str">
        <f>VLOOKUP(A1134, [1]Orders!A:E, 4, FALSE)</f>
        <v>Maharashtra</v>
      </c>
      <c r="K1134" t="str">
        <f>VLOOKUP(A1134, [1]Orders!A:E, 5, FALSE)</f>
        <v>Mumbai</v>
      </c>
    </row>
    <row r="1135" spans="1:11" x14ac:dyDescent="0.5">
      <c r="A1135" t="s">
        <v>194</v>
      </c>
      <c r="B1135">
        <v>40</v>
      </c>
      <c r="C1135">
        <v>10</v>
      </c>
      <c r="D1135">
        <v>2</v>
      </c>
      <c r="E1135" t="s">
        <v>23</v>
      </c>
      <c r="F1135" t="s">
        <v>57</v>
      </c>
      <c r="G1135" t="s">
        <v>10</v>
      </c>
      <c r="H1135" s="1">
        <f>VLOOKUP(A1135, [1]Orders!A:B, 2, FALSE)</f>
        <v>43185</v>
      </c>
      <c r="I1135" t="str">
        <f>VLOOKUP(A1135, [1]Orders!A:E, 3, FALSE)</f>
        <v>Vandana</v>
      </c>
      <c r="J1135" t="str">
        <f>VLOOKUP(A1135, [1]Orders!A:E, 4, FALSE)</f>
        <v>Himachal Pradesh</v>
      </c>
      <c r="K1135" t="str">
        <f>VLOOKUP(A1135, [1]Orders!A:E, 5, FALSE)</f>
        <v>Simla</v>
      </c>
    </row>
    <row r="1136" spans="1:11" x14ac:dyDescent="0.5">
      <c r="A1136" t="s">
        <v>341</v>
      </c>
      <c r="B1136">
        <v>349</v>
      </c>
      <c r="C1136">
        <v>-24</v>
      </c>
      <c r="D1136">
        <v>2</v>
      </c>
      <c r="E1136" t="s">
        <v>23</v>
      </c>
      <c r="F1136" t="s">
        <v>26</v>
      </c>
      <c r="G1136" t="s">
        <v>82</v>
      </c>
      <c r="H1136" s="1">
        <f>VLOOKUP(A1136, [1]Orders!A:B, 2, FALSE)</f>
        <v>43340</v>
      </c>
      <c r="I1136" t="str">
        <f>VLOOKUP(A1136, [1]Orders!A:E, 3, FALSE)</f>
        <v>Sanjova</v>
      </c>
      <c r="J1136" t="str">
        <f>VLOOKUP(A1136, [1]Orders!A:E, 4, FALSE)</f>
        <v>Maharashtra</v>
      </c>
      <c r="K1136" t="str">
        <f>VLOOKUP(A1136, [1]Orders!A:E, 5, FALSE)</f>
        <v>Pune</v>
      </c>
    </row>
    <row r="1137" spans="1:11" x14ac:dyDescent="0.5">
      <c r="A1137" t="s">
        <v>484</v>
      </c>
      <c r="B1137">
        <v>335</v>
      </c>
      <c r="C1137">
        <v>-22</v>
      </c>
      <c r="D1137">
        <v>7</v>
      </c>
      <c r="E1137" t="s">
        <v>12</v>
      </c>
      <c r="F1137" t="s">
        <v>13</v>
      </c>
      <c r="G1137" t="s">
        <v>28</v>
      </c>
      <c r="H1137" s="1">
        <f>VLOOKUP(A1137, [1]Orders!A:B, 2, FALSE)</f>
        <v>43358</v>
      </c>
      <c r="I1137" t="str">
        <f>VLOOKUP(A1137, [1]Orders!A:E, 3, FALSE)</f>
        <v>Aayushi</v>
      </c>
      <c r="J1137" t="str">
        <f>VLOOKUP(A1137, [1]Orders!A:E, 4, FALSE)</f>
        <v>Maharashtra</v>
      </c>
      <c r="K1137" t="str">
        <f>VLOOKUP(A1137, [1]Orders!A:E, 5, FALSE)</f>
        <v>Mumbai</v>
      </c>
    </row>
    <row r="1138" spans="1:11" x14ac:dyDescent="0.5">
      <c r="A1138" t="s">
        <v>234</v>
      </c>
      <c r="B1138">
        <v>40</v>
      </c>
      <c r="C1138">
        <v>16</v>
      </c>
      <c r="D1138">
        <v>3</v>
      </c>
      <c r="E1138" t="s">
        <v>23</v>
      </c>
      <c r="F1138" t="s">
        <v>30</v>
      </c>
      <c r="G1138" t="s">
        <v>10</v>
      </c>
      <c r="H1138" s="1">
        <f>VLOOKUP(A1138, [1]Orders!A:B, 2, FALSE)</f>
        <v>43412</v>
      </c>
      <c r="I1138" t="str">
        <f>VLOOKUP(A1138, [1]Orders!A:E, 3, FALSE)</f>
        <v>Shubham</v>
      </c>
      <c r="J1138" t="str">
        <f>VLOOKUP(A1138, [1]Orders!A:E, 4, FALSE)</f>
        <v>Maharashtra</v>
      </c>
      <c r="K1138" t="str">
        <f>VLOOKUP(A1138, [1]Orders!A:E, 5, FALSE)</f>
        <v>Pune</v>
      </c>
    </row>
    <row r="1139" spans="1:11" x14ac:dyDescent="0.5">
      <c r="A1139" t="s">
        <v>83</v>
      </c>
      <c r="B1139">
        <v>40</v>
      </c>
      <c r="C1139">
        <v>17</v>
      </c>
      <c r="D1139">
        <v>2</v>
      </c>
      <c r="E1139" t="s">
        <v>23</v>
      </c>
      <c r="F1139" t="s">
        <v>57</v>
      </c>
      <c r="G1139" t="s">
        <v>10</v>
      </c>
      <c r="H1139" s="1">
        <f>VLOOKUP(A1139, [1]Orders!A:B, 2, FALSE)</f>
        <v>43185</v>
      </c>
      <c r="I1139" t="str">
        <f>VLOOKUP(A1139, [1]Orders!A:E, 3, FALSE)</f>
        <v>Shrichand</v>
      </c>
      <c r="J1139" t="str">
        <f>VLOOKUP(A1139, [1]Orders!A:E, 4, FALSE)</f>
        <v>Punjab</v>
      </c>
      <c r="K1139" t="str">
        <f>VLOOKUP(A1139, [1]Orders!A:E, 5, FALSE)</f>
        <v>Chandigarh</v>
      </c>
    </row>
    <row r="1140" spans="1:11" x14ac:dyDescent="0.5">
      <c r="A1140" t="s">
        <v>229</v>
      </c>
      <c r="B1140">
        <v>40</v>
      </c>
      <c r="C1140">
        <v>-7</v>
      </c>
      <c r="D1140">
        <v>3</v>
      </c>
      <c r="E1140" t="s">
        <v>23</v>
      </c>
      <c r="F1140" t="s">
        <v>57</v>
      </c>
      <c r="G1140" t="s">
        <v>10</v>
      </c>
      <c r="H1140" s="1">
        <f>VLOOKUP(A1140, [1]Orders!A:B, 2, FALSE)</f>
        <v>43214</v>
      </c>
      <c r="I1140" t="str">
        <f>VLOOKUP(A1140, [1]Orders!A:E, 3, FALSE)</f>
        <v>Sahil</v>
      </c>
      <c r="J1140" t="str">
        <f>VLOOKUP(A1140, [1]Orders!A:E, 4, FALSE)</f>
        <v>Punjab</v>
      </c>
      <c r="K1140" t="str">
        <f>VLOOKUP(A1140, [1]Orders!A:E, 5, FALSE)</f>
        <v>Chandigarh</v>
      </c>
    </row>
    <row r="1141" spans="1:11" x14ac:dyDescent="0.5">
      <c r="A1141" t="s">
        <v>292</v>
      </c>
      <c r="B1141">
        <v>352</v>
      </c>
      <c r="C1141">
        <v>74</v>
      </c>
      <c r="D1141">
        <v>8</v>
      </c>
      <c r="E1141" t="s">
        <v>23</v>
      </c>
      <c r="F1141" t="s">
        <v>57</v>
      </c>
      <c r="G1141" t="s">
        <v>82</v>
      </c>
      <c r="H1141" s="1">
        <f>VLOOKUP(A1141, [1]Orders!A:B, 2, FALSE)</f>
        <v>43136</v>
      </c>
      <c r="I1141" t="str">
        <f>VLOOKUP(A1141, [1]Orders!A:E, 3, FALSE)</f>
        <v>Diwakar</v>
      </c>
      <c r="J1141" t="str">
        <f>VLOOKUP(A1141, [1]Orders!A:E, 4, FALSE)</f>
        <v>Delhi</v>
      </c>
      <c r="K1141" t="str">
        <f>VLOOKUP(A1141, [1]Orders!A:E, 5, FALSE)</f>
        <v>Delhi</v>
      </c>
    </row>
    <row r="1142" spans="1:11" x14ac:dyDescent="0.5">
      <c r="A1142" t="s">
        <v>218</v>
      </c>
      <c r="B1142">
        <v>55</v>
      </c>
      <c r="C1142">
        <v>-26</v>
      </c>
      <c r="D1142">
        <v>4</v>
      </c>
      <c r="E1142" t="s">
        <v>23</v>
      </c>
      <c r="F1142" t="s">
        <v>26</v>
      </c>
      <c r="G1142" t="s">
        <v>28</v>
      </c>
      <c r="H1142" s="1">
        <f>VLOOKUP(A1142, [1]Orders!A:B, 2, FALSE)</f>
        <v>43224</v>
      </c>
      <c r="I1142" t="str">
        <f>VLOOKUP(A1142, [1]Orders!A:E, 3, FALSE)</f>
        <v>Aditya</v>
      </c>
      <c r="J1142" t="str">
        <f>VLOOKUP(A1142, [1]Orders!A:E, 4, FALSE)</f>
        <v>Punjab</v>
      </c>
      <c r="K1142" t="str">
        <f>VLOOKUP(A1142, [1]Orders!A:E, 5, FALSE)</f>
        <v>Chandigarh</v>
      </c>
    </row>
    <row r="1143" spans="1:11" x14ac:dyDescent="0.5">
      <c r="A1143" t="s">
        <v>133</v>
      </c>
      <c r="B1143">
        <v>352</v>
      </c>
      <c r="C1143">
        <v>18</v>
      </c>
      <c r="D1143">
        <v>5</v>
      </c>
      <c r="E1143" t="s">
        <v>23</v>
      </c>
      <c r="F1143" t="s">
        <v>24</v>
      </c>
      <c r="G1143" t="s">
        <v>82</v>
      </c>
      <c r="H1143" s="1">
        <f>VLOOKUP(A1143, [1]Orders!A:B, 2, FALSE)</f>
        <v>43113</v>
      </c>
      <c r="I1143" t="str">
        <f>VLOOKUP(A1143, [1]Orders!A:E, 3, FALSE)</f>
        <v>Priyanka</v>
      </c>
      <c r="J1143" t="str">
        <f>VLOOKUP(A1143, [1]Orders!A:E, 4, FALSE)</f>
        <v>Madhya Pradesh</v>
      </c>
      <c r="K1143" t="str">
        <f>VLOOKUP(A1143, [1]Orders!A:E, 5, FALSE)</f>
        <v>Indore</v>
      </c>
    </row>
    <row r="1144" spans="1:11" x14ac:dyDescent="0.5">
      <c r="A1144" t="s">
        <v>62</v>
      </c>
      <c r="B1144">
        <v>53</v>
      </c>
      <c r="C1144">
        <v>-18</v>
      </c>
      <c r="D1144">
        <v>4</v>
      </c>
      <c r="E1144" t="s">
        <v>23</v>
      </c>
      <c r="F1144" t="s">
        <v>81</v>
      </c>
      <c r="G1144" t="s">
        <v>28</v>
      </c>
      <c r="H1144" s="1">
        <f>VLOOKUP(A1144, [1]Orders!A:B, 2, FALSE)</f>
        <v>43286</v>
      </c>
      <c r="I1144" t="str">
        <f>VLOOKUP(A1144, [1]Orders!A:E, 3, FALSE)</f>
        <v>Megha</v>
      </c>
      <c r="J1144" t="str">
        <f>VLOOKUP(A1144, [1]Orders!A:E, 4, FALSE)</f>
        <v>Maharashtra</v>
      </c>
      <c r="K1144" t="str">
        <f>VLOOKUP(A1144, [1]Orders!A:E, 5, FALSE)</f>
        <v>Pune</v>
      </c>
    </row>
    <row r="1145" spans="1:11" x14ac:dyDescent="0.5">
      <c r="A1145" t="s">
        <v>461</v>
      </c>
      <c r="B1145">
        <v>51</v>
      </c>
      <c r="C1145">
        <v>7</v>
      </c>
      <c r="D1145">
        <v>2</v>
      </c>
      <c r="E1145" t="s">
        <v>12</v>
      </c>
      <c r="F1145" t="s">
        <v>131</v>
      </c>
      <c r="G1145" t="s">
        <v>28</v>
      </c>
      <c r="H1145" s="1">
        <f>VLOOKUP(A1145, [1]Orders!A:B, 2, FALSE)</f>
        <v>43261</v>
      </c>
      <c r="I1145" t="str">
        <f>VLOOKUP(A1145, [1]Orders!A:E, 3, FALSE)</f>
        <v>Sheetal</v>
      </c>
      <c r="J1145" t="str">
        <f>VLOOKUP(A1145, [1]Orders!A:E, 4, FALSE)</f>
        <v>Madhya Pradesh</v>
      </c>
      <c r="K1145" t="str">
        <f>VLOOKUP(A1145, [1]Orders!A:E, 5, FALSE)</f>
        <v>Indore</v>
      </c>
    </row>
    <row r="1146" spans="1:11" x14ac:dyDescent="0.5">
      <c r="A1146" t="s">
        <v>438</v>
      </c>
      <c r="B1146">
        <v>40</v>
      </c>
      <c r="C1146">
        <v>-37</v>
      </c>
      <c r="D1146">
        <v>3</v>
      </c>
      <c r="E1146" t="s">
        <v>23</v>
      </c>
      <c r="F1146" t="s">
        <v>57</v>
      </c>
      <c r="G1146" t="s">
        <v>10</v>
      </c>
      <c r="H1146" s="1">
        <f>VLOOKUP(A1146, [1]Orders!A:B, 2, FALSE)</f>
        <v>43315</v>
      </c>
      <c r="I1146" t="str">
        <f>VLOOKUP(A1146, [1]Orders!A:E, 3, FALSE)</f>
        <v>Rane</v>
      </c>
      <c r="J1146" t="str">
        <f>VLOOKUP(A1146, [1]Orders!A:E, 4, FALSE)</f>
        <v>Maharashtra</v>
      </c>
      <c r="K1146" t="str">
        <f>VLOOKUP(A1146, [1]Orders!A:E, 5, FALSE)</f>
        <v>Mumbai</v>
      </c>
    </row>
    <row r="1147" spans="1:11" x14ac:dyDescent="0.5">
      <c r="A1147" t="s">
        <v>225</v>
      </c>
      <c r="B1147">
        <v>39</v>
      </c>
      <c r="C1147">
        <v>14</v>
      </c>
      <c r="D1147">
        <v>5</v>
      </c>
      <c r="E1147" t="s">
        <v>23</v>
      </c>
      <c r="F1147" t="s">
        <v>63</v>
      </c>
      <c r="G1147" t="s">
        <v>10</v>
      </c>
      <c r="H1147" s="1">
        <f>VLOOKUP(A1147, [1]Orders!A:B, 2, FALSE)</f>
        <v>43124</v>
      </c>
      <c r="I1147" t="str">
        <f>VLOOKUP(A1147, [1]Orders!A:E, 3, FALSE)</f>
        <v>Madan Mohan</v>
      </c>
      <c r="J1147" t="str">
        <f>VLOOKUP(A1147, [1]Orders!A:E, 4, FALSE)</f>
        <v>Uttar Pradesh</v>
      </c>
      <c r="K1147" t="str">
        <f>VLOOKUP(A1147, [1]Orders!A:E, 5, FALSE)</f>
        <v>Mathura</v>
      </c>
    </row>
    <row r="1148" spans="1:11" x14ac:dyDescent="0.5">
      <c r="A1148" t="s">
        <v>485</v>
      </c>
      <c r="B1148">
        <v>355</v>
      </c>
      <c r="C1148">
        <v>-4</v>
      </c>
      <c r="D1148">
        <v>2</v>
      </c>
      <c r="E1148" t="s">
        <v>23</v>
      </c>
      <c r="F1148" t="s">
        <v>26</v>
      </c>
      <c r="G1148" t="s">
        <v>82</v>
      </c>
      <c r="H1148" s="1">
        <f>VLOOKUP(A1148, [1]Orders!A:B, 2, FALSE)</f>
        <v>43345</v>
      </c>
      <c r="I1148" t="str">
        <f>VLOOKUP(A1148, [1]Orders!A:E, 3, FALSE)</f>
        <v>Surbhi</v>
      </c>
      <c r="J1148" t="str">
        <f>VLOOKUP(A1148, [1]Orders!A:E, 4, FALSE)</f>
        <v>Maharashtra</v>
      </c>
      <c r="K1148" t="str">
        <f>VLOOKUP(A1148, [1]Orders!A:E, 5, FALSE)</f>
        <v>Mumbai</v>
      </c>
    </row>
    <row r="1149" spans="1:11" x14ac:dyDescent="0.5">
      <c r="A1149" t="s">
        <v>27</v>
      </c>
      <c r="B1149">
        <v>357</v>
      </c>
      <c r="C1149">
        <v>139</v>
      </c>
      <c r="D1149">
        <v>2</v>
      </c>
      <c r="E1149" t="s">
        <v>23</v>
      </c>
      <c r="F1149" t="s">
        <v>26</v>
      </c>
      <c r="G1149" t="s">
        <v>82</v>
      </c>
      <c r="H1149" s="1">
        <f>VLOOKUP(A1149, [1]Orders!A:B, 2, FALSE)</f>
        <v>43262</v>
      </c>
      <c r="I1149" t="str">
        <f>VLOOKUP(A1149, [1]Orders!A:E, 3, FALSE)</f>
        <v>Sanjna</v>
      </c>
      <c r="J1149" t="str">
        <f>VLOOKUP(A1149, [1]Orders!A:E, 4, FALSE)</f>
        <v>Maharashtra</v>
      </c>
      <c r="K1149" t="str">
        <f>VLOOKUP(A1149, [1]Orders!A:E, 5, FALSE)</f>
        <v>Mumbai</v>
      </c>
    </row>
    <row r="1150" spans="1:11" x14ac:dyDescent="0.5">
      <c r="A1150" t="s">
        <v>149</v>
      </c>
      <c r="B1150">
        <v>38</v>
      </c>
      <c r="C1150">
        <v>18</v>
      </c>
      <c r="D1150">
        <v>1</v>
      </c>
      <c r="E1150" t="s">
        <v>23</v>
      </c>
      <c r="F1150" t="s">
        <v>32</v>
      </c>
      <c r="G1150" t="s">
        <v>10</v>
      </c>
      <c r="H1150" s="1">
        <f>VLOOKUP(A1150, [1]Orders!A:B, 2, FALSE)</f>
        <v>43193</v>
      </c>
      <c r="I1150" t="str">
        <f>VLOOKUP(A1150, [1]Orders!A:E, 3, FALSE)</f>
        <v>Jahan</v>
      </c>
      <c r="J1150" t="str">
        <f>VLOOKUP(A1150, [1]Orders!A:E, 4, FALSE)</f>
        <v>Madhya Pradesh</v>
      </c>
      <c r="K1150" t="str">
        <f>VLOOKUP(A1150, [1]Orders!A:E, 5, FALSE)</f>
        <v>Bhopal</v>
      </c>
    </row>
    <row r="1151" spans="1:11" x14ac:dyDescent="0.5">
      <c r="A1151" t="s">
        <v>230</v>
      </c>
      <c r="B1151">
        <v>38</v>
      </c>
      <c r="C1151">
        <v>9</v>
      </c>
      <c r="D1151">
        <v>2</v>
      </c>
      <c r="E1151" t="s">
        <v>23</v>
      </c>
      <c r="F1151" t="s">
        <v>57</v>
      </c>
      <c r="G1151" t="s">
        <v>10</v>
      </c>
      <c r="H1151" s="1">
        <f>VLOOKUP(A1151, [1]Orders!A:B, 2, FALSE)</f>
        <v>43165</v>
      </c>
      <c r="I1151" t="str">
        <f>VLOOKUP(A1151, [1]Orders!A:E, 3, FALSE)</f>
        <v>Paridhi</v>
      </c>
      <c r="J1151" t="str">
        <f>VLOOKUP(A1151, [1]Orders!A:E, 4, FALSE)</f>
        <v>Rajasthan</v>
      </c>
      <c r="K1151" t="str">
        <f>VLOOKUP(A1151, [1]Orders!A:E, 5, FALSE)</f>
        <v>Jaipur</v>
      </c>
    </row>
    <row r="1152" spans="1:11" x14ac:dyDescent="0.5">
      <c r="A1152" t="s">
        <v>326</v>
      </c>
      <c r="B1152">
        <v>141</v>
      </c>
      <c r="C1152">
        <v>10</v>
      </c>
      <c r="D1152">
        <v>4</v>
      </c>
      <c r="E1152" t="s">
        <v>23</v>
      </c>
      <c r="F1152" t="s">
        <v>142</v>
      </c>
      <c r="G1152" t="s">
        <v>28</v>
      </c>
      <c r="H1152" s="1">
        <f>VLOOKUP(A1152, [1]Orders!A:B, 2, FALSE)</f>
        <v>43324</v>
      </c>
      <c r="I1152" t="str">
        <f>VLOOKUP(A1152, [1]Orders!A:E, 3, FALSE)</f>
        <v>Nitant</v>
      </c>
      <c r="J1152" t="str">
        <f>VLOOKUP(A1152, [1]Orders!A:E, 4, FALSE)</f>
        <v>Rajasthan</v>
      </c>
      <c r="K1152" t="str">
        <f>VLOOKUP(A1152, [1]Orders!A:E, 5, FALSE)</f>
        <v>Jaipur</v>
      </c>
    </row>
    <row r="1153" spans="1:11" x14ac:dyDescent="0.5">
      <c r="A1153" t="s">
        <v>424</v>
      </c>
      <c r="B1153">
        <v>36</v>
      </c>
      <c r="C1153">
        <v>4</v>
      </c>
      <c r="D1153">
        <v>9</v>
      </c>
      <c r="E1153" t="s">
        <v>23</v>
      </c>
      <c r="F1153" t="s">
        <v>30</v>
      </c>
      <c r="G1153" t="s">
        <v>10</v>
      </c>
      <c r="H1153" s="1">
        <f>VLOOKUP(A1153, [1]Orders!A:B, 2, FALSE)</f>
        <v>43402</v>
      </c>
      <c r="I1153" t="str">
        <f>VLOOKUP(A1153, [1]Orders!A:E, 3, FALSE)</f>
        <v>Krishna</v>
      </c>
      <c r="J1153" t="str">
        <f>VLOOKUP(A1153, [1]Orders!A:E, 4, FALSE)</f>
        <v>Madhya Pradesh</v>
      </c>
      <c r="K1153" t="str">
        <f>VLOOKUP(A1153, [1]Orders!A:E, 5, FALSE)</f>
        <v>Indore</v>
      </c>
    </row>
    <row r="1154" spans="1:11" x14ac:dyDescent="0.5">
      <c r="A1154" t="s">
        <v>165</v>
      </c>
      <c r="B1154">
        <v>351</v>
      </c>
      <c r="C1154">
        <v>-94</v>
      </c>
      <c r="D1154">
        <v>5</v>
      </c>
      <c r="E1154" t="s">
        <v>8</v>
      </c>
      <c r="F1154" t="s">
        <v>9</v>
      </c>
      <c r="G1154" t="s">
        <v>10</v>
      </c>
      <c r="H1154" s="1">
        <f>VLOOKUP(A1154, [1]Orders!A:B, 2, FALSE)</f>
        <v>43103</v>
      </c>
      <c r="I1154" t="str">
        <f>VLOOKUP(A1154, [1]Orders!A:E, 3, FALSE)</f>
        <v>Monica</v>
      </c>
      <c r="J1154" t="str">
        <f>VLOOKUP(A1154, [1]Orders!A:E, 4, FALSE)</f>
        <v>Punjab</v>
      </c>
      <c r="K1154" t="str">
        <f>VLOOKUP(A1154, [1]Orders!A:E, 5, FALSE)</f>
        <v>Chandigarh</v>
      </c>
    </row>
    <row r="1155" spans="1:11" x14ac:dyDescent="0.5">
      <c r="A1155" t="s">
        <v>231</v>
      </c>
      <c r="B1155">
        <v>369</v>
      </c>
      <c r="C1155">
        <v>15</v>
      </c>
      <c r="D1155">
        <v>3</v>
      </c>
      <c r="E1155" t="s">
        <v>8</v>
      </c>
      <c r="F1155" t="s">
        <v>9</v>
      </c>
      <c r="G1155" t="s">
        <v>82</v>
      </c>
      <c r="H1155" s="1">
        <f>VLOOKUP(A1155, [1]Orders!A:B, 2, FALSE)</f>
        <v>43154</v>
      </c>
      <c r="I1155" t="str">
        <f>VLOOKUP(A1155, [1]Orders!A:E, 3, FALSE)</f>
        <v>Pinky</v>
      </c>
      <c r="J1155" t="str">
        <f>VLOOKUP(A1155, [1]Orders!A:E, 4, FALSE)</f>
        <v>Jammu and Kashmir</v>
      </c>
      <c r="K1155" t="str">
        <f>VLOOKUP(A1155, [1]Orders!A:E, 5, FALSE)</f>
        <v>Kashmir</v>
      </c>
    </row>
    <row r="1156" spans="1:11" x14ac:dyDescent="0.5">
      <c r="A1156" t="s">
        <v>31</v>
      </c>
      <c r="B1156">
        <v>53</v>
      </c>
      <c r="C1156">
        <v>24</v>
      </c>
      <c r="D1156">
        <v>6</v>
      </c>
      <c r="E1156" t="s">
        <v>23</v>
      </c>
      <c r="F1156" t="s">
        <v>30</v>
      </c>
      <c r="G1156" t="s">
        <v>14</v>
      </c>
      <c r="H1156" s="1">
        <f>VLOOKUP(A1156, [1]Orders!A:B, 2, FALSE)</f>
        <v>43410</v>
      </c>
      <c r="I1156" t="str">
        <f>VLOOKUP(A1156, [1]Orders!A:E, 3, FALSE)</f>
        <v>Kushal</v>
      </c>
      <c r="J1156" t="str">
        <f>VLOOKUP(A1156, [1]Orders!A:E, 4, FALSE)</f>
        <v>Nagaland</v>
      </c>
      <c r="K1156" t="str">
        <f>VLOOKUP(A1156, [1]Orders!A:E, 5, FALSE)</f>
        <v>Kohima</v>
      </c>
    </row>
    <row r="1157" spans="1:11" x14ac:dyDescent="0.5">
      <c r="A1157" t="s">
        <v>486</v>
      </c>
      <c r="B1157">
        <v>371</v>
      </c>
      <c r="C1157">
        <v>115</v>
      </c>
      <c r="D1157">
        <v>1</v>
      </c>
      <c r="E1157" t="s">
        <v>12</v>
      </c>
      <c r="F1157" t="s">
        <v>16</v>
      </c>
      <c r="G1157" t="s">
        <v>82</v>
      </c>
      <c r="H1157" s="1">
        <f>VLOOKUP(A1157, [1]Orders!A:B, 2, FALSE)</f>
        <v>43293</v>
      </c>
      <c r="I1157" t="str">
        <f>VLOOKUP(A1157, [1]Orders!A:E, 3, FALSE)</f>
        <v>Anjali</v>
      </c>
      <c r="J1157" t="str">
        <f>VLOOKUP(A1157, [1]Orders!A:E, 4, FALSE)</f>
        <v>Maharashtra</v>
      </c>
      <c r="K1157" t="str">
        <f>VLOOKUP(A1157, [1]Orders!A:E, 5, FALSE)</f>
        <v>Mumbai</v>
      </c>
    </row>
    <row r="1158" spans="1:11" x14ac:dyDescent="0.5">
      <c r="A1158" t="s">
        <v>115</v>
      </c>
      <c r="B1158">
        <v>499</v>
      </c>
      <c r="C1158">
        <v>33</v>
      </c>
      <c r="D1158">
        <v>4</v>
      </c>
      <c r="E1158" t="s">
        <v>23</v>
      </c>
      <c r="F1158" t="s">
        <v>26</v>
      </c>
      <c r="G1158" t="s">
        <v>10</v>
      </c>
      <c r="H1158" s="1">
        <f>VLOOKUP(A1158, [1]Orders!A:B, 2, FALSE)</f>
        <v>43441</v>
      </c>
      <c r="I1158" t="str">
        <f>VLOOKUP(A1158, [1]Orders!A:E, 3, FALSE)</f>
        <v>Abhishek</v>
      </c>
      <c r="J1158" t="str">
        <f>VLOOKUP(A1158, [1]Orders!A:E, 4, FALSE)</f>
        <v>Rajasthan</v>
      </c>
      <c r="K1158" t="str">
        <f>VLOOKUP(A1158, [1]Orders!A:E, 5, FALSE)</f>
        <v>Udaipur</v>
      </c>
    </row>
    <row r="1159" spans="1:11" x14ac:dyDescent="0.5">
      <c r="A1159" t="s">
        <v>202</v>
      </c>
      <c r="B1159">
        <v>223</v>
      </c>
      <c r="C1159">
        <v>62</v>
      </c>
      <c r="D1159">
        <v>7</v>
      </c>
      <c r="E1159" t="s">
        <v>23</v>
      </c>
      <c r="F1159" t="s">
        <v>142</v>
      </c>
      <c r="G1159" t="s">
        <v>10</v>
      </c>
      <c r="H1159" s="1">
        <f>VLOOKUP(A1159, [1]Orders!A:B, 2, FALSE)</f>
        <v>43438</v>
      </c>
      <c r="I1159" t="str">
        <f>VLOOKUP(A1159, [1]Orders!A:E, 3, FALSE)</f>
        <v>Vrinda</v>
      </c>
      <c r="J1159" t="str">
        <f>VLOOKUP(A1159, [1]Orders!A:E, 4, FALSE)</f>
        <v>Uttar Pradesh</v>
      </c>
      <c r="K1159" t="str">
        <f>VLOOKUP(A1159, [1]Orders!A:E, 5, FALSE)</f>
        <v>Mathura</v>
      </c>
    </row>
    <row r="1160" spans="1:11" x14ac:dyDescent="0.5">
      <c r="A1160" t="s">
        <v>223</v>
      </c>
      <c r="B1160">
        <v>50</v>
      </c>
      <c r="C1160">
        <v>-4</v>
      </c>
      <c r="D1160">
        <v>6</v>
      </c>
      <c r="E1160" t="s">
        <v>23</v>
      </c>
      <c r="F1160" t="s">
        <v>81</v>
      </c>
      <c r="G1160" t="s">
        <v>14</v>
      </c>
      <c r="H1160" s="1">
        <f>VLOOKUP(A1160, [1]Orders!A:B, 2, FALSE)</f>
        <v>43130</v>
      </c>
      <c r="I1160" t="str">
        <f>VLOOKUP(A1160, [1]Orders!A:E, 3, FALSE)</f>
        <v>Atul</v>
      </c>
      <c r="J1160" t="str">
        <f>VLOOKUP(A1160, [1]Orders!A:E, 4, FALSE)</f>
        <v>Delhi</v>
      </c>
      <c r="K1160" t="str">
        <f>VLOOKUP(A1160, [1]Orders!A:E, 5, FALSE)</f>
        <v>Delhi</v>
      </c>
    </row>
    <row r="1161" spans="1:11" x14ac:dyDescent="0.5">
      <c r="A1161" t="s">
        <v>211</v>
      </c>
      <c r="B1161">
        <v>391</v>
      </c>
      <c r="C1161">
        <v>90</v>
      </c>
      <c r="D1161">
        <v>6</v>
      </c>
      <c r="E1161" t="s">
        <v>8</v>
      </c>
      <c r="F1161" t="s">
        <v>21</v>
      </c>
      <c r="G1161" t="s">
        <v>82</v>
      </c>
      <c r="H1161" s="1">
        <f>VLOOKUP(A1161, [1]Orders!A:B, 2, FALSE)</f>
        <v>43169</v>
      </c>
      <c r="I1161" t="str">
        <f>VLOOKUP(A1161, [1]Orders!A:E, 3, FALSE)</f>
        <v>Sonal</v>
      </c>
      <c r="J1161" t="str">
        <f>VLOOKUP(A1161, [1]Orders!A:E, 4, FALSE)</f>
        <v>Bihar</v>
      </c>
      <c r="K1161" t="str">
        <f>VLOOKUP(A1161, [1]Orders!A:E, 5, FALSE)</f>
        <v>Patna</v>
      </c>
    </row>
    <row r="1162" spans="1:11" x14ac:dyDescent="0.5">
      <c r="A1162" t="s">
        <v>487</v>
      </c>
      <c r="B1162">
        <v>416</v>
      </c>
      <c r="C1162">
        <v>137</v>
      </c>
      <c r="D1162">
        <v>3</v>
      </c>
      <c r="E1162" t="s">
        <v>8</v>
      </c>
      <c r="F1162" t="s">
        <v>21</v>
      </c>
      <c r="G1162" t="s">
        <v>82</v>
      </c>
      <c r="H1162" s="1">
        <f>VLOOKUP(A1162, [1]Orders!A:B, 2, FALSE)</f>
        <v>43291</v>
      </c>
      <c r="I1162" t="str">
        <f>VLOOKUP(A1162, [1]Orders!A:E, 3, FALSE)</f>
        <v>Srishti</v>
      </c>
      <c r="J1162" t="str">
        <f>VLOOKUP(A1162, [1]Orders!A:E, 4, FALSE)</f>
        <v>Jammu and Kashmir</v>
      </c>
      <c r="K1162" t="str">
        <f>VLOOKUP(A1162, [1]Orders!A:E, 5, FALSE)</f>
        <v>Kashmir</v>
      </c>
    </row>
    <row r="1163" spans="1:11" x14ac:dyDescent="0.5">
      <c r="A1163" t="s">
        <v>469</v>
      </c>
      <c r="B1163">
        <v>424</v>
      </c>
      <c r="C1163">
        <v>-17</v>
      </c>
      <c r="D1163">
        <v>9</v>
      </c>
      <c r="E1163" t="s">
        <v>12</v>
      </c>
      <c r="F1163" t="s">
        <v>13</v>
      </c>
      <c r="G1163" t="s">
        <v>82</v>
      </c>
      <c r="H1163" s="1">
        <f>VLOOKUP(A1163, [1]Orders!A:B, 2, FALSE)</f>
        <v>43278</v>
      </c>
      <c r="I1163" t="str">
        <f>VLOOKUP(A1163, [1]Orders!A:E, 3, FALSE)</f>
        <v>Shaily</v>
      </c>
      <c r="J1163" t="str">
        <f>VLOOKUP(A1163, [1]Orders!A:E, 4, FALSE)</f>
        <v>Maharashtra</v>
      </c>
      <c r="K1163" t="str">
        <f>VLOOKUP(A1163, [1]Orders!A:E, 5, FALSE)</f>
        <v>Mumbai</v>
      </c>
    </row>
    <row r="1164" spans="1:11" x14ac:dyDescent="0.5">
      <c r="A1164" t="s">
        <v>65</v>
      </c>
      <c r="B1164">
        <v>362</v>
      </c>
      <c r="C1164">
        <v>127</v>
      </c>
      <c r="D1164">
        <v>1</v>
      </c>
      <c r="E1164" t="s">
        <v>12</v>
      </c>
      <c r="F1164" t="s">
        <v>16</v>
      </c>
      <c r="G1164" t="s">
        <v>10</v>
      </c>
      <c r="H1164" s="1">
        <f>VLOOKUP(A1164, [1]Orders!A:B, 2, FALSE)</f>
        <v>43208</v>
      </c>
      <c r="I1164" t="str">
        <f>VLOOKUP(A1164, [1]Orders!A:E, 3, FALSE)</f>
        <v>Manju</v>
      </c>
      <c r="J1164" t="str">
        <f>VLOOKUP(A1164, [1]Orders!A:E, 4, FALSE)</f>
        <v>Andhra Pradesh</v>
      </c>
      <c r="K1164" t="str">
        <f>VLOOKUP(A1164, [1]Orders!A:E, 5, FALSE)</f>
        <v>Hyderabad</v>
      </c>
    </row>
    <row r="1165" spans="1:11" x14ac:dyDescent="0.5">
      <c r="A1165" t="s">
        <v>29</v>
      </c>
      <c r="B1165">
        <v>36</v>
      </c>
      <c r="C1165">
        <v>-7</v>
      </c>
      <c r="D1165">
        <v>1</v>
      </c>
      <c r="E1165" t="s">
        <v>8</v>
      </c>
      <c r="F1165" t="s">
        <v>9</v>
      </c>
      <c r="G1165" t="s">
        <v>10</v>
      </c>
      <c r="H1165" s="1">
        <f>VLOOKUP(A1165, [1]Orders!A:B, 2, FALSE)</f>
        <v>43219</v>
      </c>
      <c r="I1165" t="str">
        <f>VLOOKUP(A1165, [1]Orders!A:E, 3, FALSE)</f>
        <v>Kirti</v>
      </c>
      <c r="J1165" t="str">
        <f>VLOOKUP(A1165, [1]Orders!A:E, 4, FALSE)</f>
        <v>Jammu and Kashmir</v>
      </c>
      <c r="K1165" t="str">
        <f>VLOOKUP(A1165, [1]Orders!A:E, 5, FALSE)</f>
        <v>Kashmir</v>
      </c>
    </row>
    <row r="1166" spans="1:11" x14ac:dyDescent="0.5">
      <c r="A1166" t="s">
        <v>209</v>
      </c>
      <c r="B1166">
        <v>34</v>
      </c>
      <c r="C1166">
        <v>-10</v>
      </c>
      <c r="D1166">
        <v>3</v>
      </c>
      <c r="E1166" t="s">
        <v>23</v>
      </c>
      <c r="F1166" t="s">
        <v>43</v>
      </c>
      <c r="G1166" t="s">
        <v>10</v>
      </c>
      <c r="H1166" s="1">
        <f>VLOOKUP(A1166, [1]Orders!A:B, 2, FALSE)</f>
        <v>43118</v>
      </c>
      <c r="I1166" t="str">
        <f>VLOOKUP(A1166, [1]Orders!A:E, 3, FALSE)</f>
        <v>Surbhi</v>
      </c>
      <c r="J1166" t="str">
        <f>VLOOKUP(A1166, [1]Orders!A:E, 4, FALSE)</f>
        <v>Gujarat</v>
      </c>
      <c r="K1166" t="str">
        <f>VLOOKUP(A1166, [1]Orders!A:E, 5, FALSE)</f>
        <v>Ahmedabad</v>
      </c>
    </row>
    <row r="1167" spans="1:11" x14ac:dyDescent="0.5">
      <c r="A1167" t="s">
        <v>186</v>
      </c>
      <c r="B1167">
        <v>367</v>
      </c>
      <c r="C1167">
        <v>73</v>
      </c>
      <c r="D1167">
        <v>3</v>
      </c>
      <c r="E1167" t="s">
        <v>8</v>
      </c>
      <c r="F1167" t="s">
        <v>9</v>
      </c>
      <c r="G1167" t="s">
        <v>28</v>
      </c>
      <c r="H1167" s="1">
        <f>VLOOKUP(A1167, [1]Orders!A:B, 2, FALSE)</f>
        <v>43427</v>
      </c>
      <c r="I1167" t="str">
        <f>VLOOKUP(A1167, [1]Orders!A:E, 3, FALSE)</f>
        <v>Divyeta</v>
      </c>
      <c r="J1167" t="str">
        <f>VLOOKUP(A1167, [1]Orders!A:E, 4, FALSE)</f>
        <v>Madhya Pradesh</v>
      </c>
      <c r="K1167" t="str">
        <f>VLOOKUP(A1167, [1]Orders!A:E, 5, FALSE)</f>
        <v>Indore</v>
      </c>
    </row>
    <row r="1168" spans="1:11" x14ac:dyDescent="0.5">
      <c r="A1168" t="s">
        <v>167</v>
      </c>
      <c r="B1168">
        <v>425</v>
      </c>
      <c r="C1168">
        <v>208</v>
      </c>
      <c r="D1168">
        <v>7</v>
      </c>
      <c r="E1168" t="s">
        <v>23</v>
      </c>
      <c r="F1168" t="s">
        <v>26</v>
      </c>
      <c r="G1168" t="s">
        <v>82</v>
      </c>
      <c r="H1168" s="1">
        <f>VLOOKUP(A1168, [1]Orders!A:B, 2, FALSE)</f>
        <v>43168</v>
      </c>
      <c r="I1168" t="str">
        <f>VLOOKUP(A1168, [1]Orders!A:E, 3, FALSE)</f>
        <v>Kirti</v>
      </c>
      <c r="J1168" t="str">
        <f>VLOOKUP(A1168, [1]Orders!A:E, 4, FALSE)</f>
        <v>Jammu and Kashmir</v>
      </c>
      <c r="K1168" t="str">
        <f>VLOOKUP(A1168, [1]Orders!A:E, 5, FALSE)</f>
        <v>Kashmir</v>
      </c>
    </row>
    <row r="1169" spans="1:11" x14ac:dyDescent="0.5">
      <c r="A1169" t="s">
        <v>400</v>
      </c>
      <c r="B1169">
        <v>433</v>
      </c>
      <c r="C1169">
        <v>26</v>
      </c>
      <c r="D1169">
        <v>3</v>
      </c>
      <c r="E1169" t="s">
        <v>8</v>
      </c>
      <c r="F1169" t="s">
        <v>18</v>
      </c>
      <c r="G1169" t="s">
        <v>82</v>
      </c>
      <c r="H1169" s="1">
        <f>VLOOKUP(A1169, [1]Orders!A:B, 2, FALSE)</f>
        <v>43259</v>
      </c>
      <c r="I1169" t="str">
        <f>VLOOKUP(A1169, [1]Orders!A:E, 3, FALSE)</f>
        <v>Shreya</v>
      </c>
      <c r="J1169" t="str">
        <f>VLOOKUP(A1169, [1]Orders!A:E, 4, FALSE)</f>
        <v xml:space="preserve">Kerala </v>
      </c>
      <c r="K1169" t="str">
        <f>VLOOKUP(A1169, [1]Orders!A:E, 5, FALSE)</f>
        <v>Thiruvananthapuram</v>
      </c>
    </row>
    <row r="1170" spans="1:11" x14ac:dyDescent="0.5">
      <c r="A1170" t="s">
        <v>486</v>
      </c>
      <c r="B1170">
        <v>460</v>
      </c>
      <c r="C1170">
        <v>31</v>
      </c>
      <c r="D1170">
        <v>3</v>
      </c>
      <c r="E1170" t="s">
        <v>12</v>
      </c>
      <c r="F1170" t="s">
        <v>16</v>
      </c>
      <c r="G1170" t="s">
        <v>82</v>
      </c>
      <c r="H1170" s="1">
        <f>VLOOKUP(A1170, [1]Orders!A:B, 2, FALSE)</f>
        <v>43293</v>
      </c>
      <c r="I1170" t="str">
        <f>VLOOKUP(A1170, [1]Orders!A:E, 3, FALSE)</f>
        <v>Anjali</v>
      </c>
      <c r="J1170" t="str">
        <f>VLOOKUP(A1170, [1]Orders!A:E, 4, FALSE)</f>
        <v>Maharashtra</v>
      </c>
      <c r="K1170" t="str">
        <f>VLOOKUP(A1170, [1]Orders!A:E, 5, FALSE)</f>
        <v>Mumbai</v>
      </c>
    </row>
    <row r="1171" spans="1:11" x14ac:dyDescent="0.5">
      <c r="A1171" t="s">
        <v>288</v>
      </c>
      <c r="B1171">
        <v>62</v>
      </c>
      <c r="C1171">
        <v>-56</v>
      </c>
      <c r="D1171">
        <v>5</v>
      </c>
      <c r="E1171" t="s">
        <v>23</v>
      </c>
      <c r="F1171" t="s">
        <v>32</v>
      </c>
      <c r="G1171" t="s">
        <v>10</v>
      </c>
      <c r="H1171" s="1">
        <f>VLOOKUP(A1171, [1]Orders!A:B, 2, FALSE)</f>
        <v>43329</v>
      </c>
      <c r="I1171" t="str">
        <f>VLOOKUP(A1171, [1]Orders!A:E, 3, FALSE)</f>
        <v>Shivam</v>
      </c>
      <c r="J1171" t="str">
        <f>VLOOKUP(A1171, [1]Orders!A:E, 4, FALSE)</f>
        <v>Uttar Pradesh</v>
      </c>
      <c r="K1171" t="str">
        <f>VLOOKUP(A1171, [1]Orders!A:E, 5, FALSE)</f>
        <v>Lucknow</v>
      </c>
    </row>
    <row r="1172" spans="1:11" x14ac:dyDescent="0.5">
      <c r="A1172" t="s">
        <v>113</v>
      </c>
      <c r="B1172">
        <v>50</v>
      </c>
      <c r="C1172">
        <v>16</v>
      </c>
      <c r="D1172">
        <v>1</v>
      </c>
      <c r="E1172" t="s">
        <v>23</v>
      </c>
      <c r="F1172" t="s">
        <v>57</v>
      </c>
      <c r="G1172" t="s">
        <v>14</v>
      </c>
      <c r="H1172" s="1">
        <f>VLOOKUP(A1172, [1]Orders!A:B, 2, FALSE)</f>
        <v>43411</v>
      </c>
      <c r="I1172" t="str">
        <f>VLOOKUP(A1172, [1]Orders!A:E, 3, FALSE)</f>
        <v>Soumyabrata</v>
      </c>
      <c r="J1172" t="str">
        <f>VLOOKUP(A1172, [1]Orders!A:E, 4, FALSE)</f>
        <v>Andhra Pradesh</v>
      </c>
      <c r="K1172" t="str">
        <f>VLOOKUP(A1172, [1]Orders!A:E, 5, FALSE)</f>
        <v>Hyderabad</v>
      </c>
    </row>
    <row r="1173" spans="1:11" x14ac:dyDescent="0.5">
      <c r="A1173" t="s">
        <v>401</v>
      </c>
      <c r="B1173">
        <v>460</v>
      </c>
      <c r="C1173">
        <v>-143</v>
      </c>
      <c r="D1173">
        <v>3</v>
      </c>
      <c r="E1173" t="s">
        <v>12</v>
      </c>
      <c r="F1173" t="s">
        <v>13</v>
      </c>
      <c r="G1173" t="s">
        <v>82</v>
      </c>
      <c r="H1173" s="1">
        <f>VLOOKUP(A1173, [1]Orders!A:B, 2, FALSE)</f>
        <v>43452</v>
      </c>
      <c r="I1173" t="str">
        <f>VLOOKUP(A1173, [1]Orders!A:E, 3, FALSE)</f>
        <v>Kajal</v>
      </c>
      <c r="J1173" t="str">
        <f>VLOOKUP(A1173, [1]Orders!A:E, 4, FALSE)</f>
        <v>Delhi</v>
      </c>
      <c r="K1173" t="str">
        <f>VLOOKUP(A1173, [1]Orders!A:E, 5, FALSE)</f>
        <v>Delhi</v>
      </c>
    </row>
    <row r="1174" spans="1:11" x14ac:dyDescent="0.5">
      <c r="A1174" t="s">
        <v>297</v>
      </c>
      <c r="B1174">
        <v>34</v>
      </c>
      <c r="C1174">
        <v>3</v>
      </c>
      <c r="D1174">
        <v>3</v>
      </c>
      <c r="E1174" t="s">
        <v>23</v>
      </c>
      <c r="F1174" t="s">
        <v>26</v>
      </c>
      <c r="G1174" t="s">
        <v>10</v>
      </c>
      <c r="H1174" s="1">
        <f>VLOOKUP(A1174, [1]Orders!A:B, 2, FALSE)</f>
        <v>43183</v>
      </c>
      <c r="I1174" t="str">
        <f>VLOOKUP(A1174, [1]Orders!A:E, 3, FALSE)</f>
        <v>Yogesh</v>
      </c>
      <c r="J1174" t="str">
        <f>VLOOKUP(A1174, [1]Orders!A:E, 4, FALSE)</f>
        <v>Bihar</v>
      </c>
      <c r="K1174" t="str">
        <f>VLOOKUP(A1174, [1]Orders!A:E, 5, FALSE)</f>
        <v>Patna</v>
      </c>
    </row>
    <row r="1175" spans="1:11" x14ac:dyDescent="0.5">
      <c r="A1175" t="s">
        <v>291</v>
      </c>
      <c r="B1175">
        <v>227</v>
      </c>
      <c r="C1175">
        <v>59</v>
      </c>
      <c r="D1175">
        <v>2</v>
      </c>
      <c r="E1175" t="s">
        <v>12</v>
      </c>
      <c r="F1175" t="s">
        <v>131</v>
      </c>
      <c r="G1175" t="s">
        <v>28</v>
      </c>
      <c r="H1175" s="1">
        <f>VLOOKUP(A1175, [1]Orders!A:B, 2, FALSE)</f>
        <v>43414</v>
      </c>
      <c r="I1175" t="str">
        <f>VLOOKUP(A1175, [1]Orders!A:E, 3, FALSE)</f>
        <v>Anand</v>
      </c>
      <c r="J1175" t="str">
        <f>VLOOKUP(A1175, [1]Orders!A:E, 4, FALSE)</f>
        <v>Madhya Pradesh</v>
      </c>
      <c r="K1175" t="str">
        <f>VLOOKUP(A1175, [1]Orders!A:E, 5, FALSE)</f>
        <v>Indore</v>
      </c>
    </row>
    <row r="1176" spans="1:11" x14ac:dyDescent="0.5">
      <c r="A1176" t="s">
        <v>408</v>
      </c>
      <c r="B1176">
        <v>469</v>
      </c>
      <c r="C1176">
        <v>33</v>
      </c>
      <c r="D1176">
        <v>4</v>
      </c>
      <c r="E1176" t="s">
        <v>8</v>
      </c>
      <c r="F1176" t="s">
        <v>9</v>
      </c>
      <c r="G1176" t="s">
        <v>82</v>
      </c>
      <c r="H1176" s="1">
        <f>VLOOKUP(A1176, [1]Orders!A:B, 2, FALSE)</f>
        <v>43105</v>
      </c>
      <c r="I1176" t="str">
        <f>VLOOKUP(A1176, [1]Orders!A:E, 3, FALSE)</f>
        <v>Vineet</v>
      </c>
      <c r="J1176" t="str">
        <f>VLOOKUP(A1176, [1]Orders!A:E, 4, FALSE)</f>
        <v>Sikkim</v>
      </c>
      <c r="K1176" t="str">
        <f>VLOOKUP(A1176, [1]Orders!A:E, 5, FALSE)</f>
        <v>Gangtok</v>
      </c>
    </row>
    <row r="1177" spans="1:11" x14ac:dyDescent="0.5">
      <c r="A1177" t="s">
        <v>31</v>
      </c>
      <c r="B1177">
        <v>103</v>
      </c>
      <c r="C1177">
        <v>46</v>
      </c>
      <c r="D1177">
        <v>2</v>
      </c>
      <c r="E1177" t="s">
        <v>23</v>
      </c>
      <c r="F1177" t="s">
        <v>26</v>
      </c>
      <c r="G1177" t="s">
        <v>28</v>
      </c>
      <c r="H1177" s="1">
        <f>VLOOKUP(A1177, [1]Orders!A:B, 2, FALSE)</f>
        <v>43410</v>
      </c>
      <c r="I1177" t="str">
        <f>VLOOKUP(A1177, [1]Orders!A:E, 3, FALSE)</f>
        <v>Kushal</v>
      </c>
      <c r="J1177" t="str">
        <f>VLOOKUP(A1177, [1]Orders!A:E, 4, FALSE)</f>
        <v>Nagaland</v>
      </c>
      <c r="K1177" t="str">
        <f>VLOOKUP(A1177, [1]Orders!A:E, 5, FALSE)</f>
        <v>Kohima</v>
      </c>
    </row>
    <row r="1178" spans="1:11" x14ac:dyDescent="0.5">
      <c r="A1178" t="s">
        <v>279</v>
      </c>
      <c r="B1178">
        <v>34</v>
      </c>
      <c r="C1178">
        <v>-13</v>
      </c>
      <c r="D1178">
        <v>5</v>
      </c>
      <c r="E1178" t="s">
        <v>23</v>
      </c>
      <c r="F1178" t="s">
        <v>63</v>
      </c>
      <c r="G1178" t="s">
        <v>10</v>
      </c>
      <c r="H1178" s="1">
        <f>VLOOKUP(A1178, [1]Orders!A:B, 2, FALSE)</f>
        <v>43275</v>
      </c>
      <c r="I1178" t="str">
        <f>VLOOKUP(A1178, [1]Orders!A:E, 3, FALSE)</f>
        <v>Kritika</v>
      </c>
      <c r="J1178" t="str">
        <f>VLOOKUP(A1178, [1]Orders!A:E, 4, FALSE)</f>
        <v>Uttar Pradesh</v>
      </c>
      <c r="K1178" t="str">
        <f>VLOOKUP(A1178, [1]Orders!A:E, 5, FALSE)</f>
        <v>Lucknow</v>
      </c>
    </row>
    <row r="1179" spans="1:11" x14ac:dyDescent="0.5">
      <c r="A1179" t="s">
        <v>174</v>
      </c>
      <c r="B1179">
        <v>137</v>
      </c>
      <c r="C1179">
        <v>63</v>
      </c>
      <c r="D1179">
        <v>3</v>
      </c>
      <c r="E1179" t="s">
        <v>23</v>
      </c>
      <c r="F1179" t="s">
        <v>57</v>
      </c>
      <c r="G1179" t="s">
        <v>10</v>
      </c>
      <c r="H1179" s="1">
        <f>VLOOKUP(A1179, [1]Orders!A:B, 2, FALSE)</f>
        <v>43181</v>
      </c>
      <c r="I1179" t="str">
        <f>VLOOKUP(A1179, [1]Orders!A:E, 3, FALSE)</f>
        <v>Kasheen</v>
      </c>
      <c r="J1179" t="str">
        <f>VLOOKUP(A1179, [1]Orders!A:E, 4, FALSE)</f>
        <v>West Bengal</v>
      </c>
      <c r="K1179" t="str">
        <f>VLOOKUP(A1179, [1]Orders!A:E, 5, FALSE)</f>
        <v>Kolkata</v>
      </c>
    </row>
    <row r="1180" spans="1:11" x14ac:dyDescent="0.5">
      <c r="A1180" t="s">
        <v>488</v>
      </c>
      <c r="B1180">
        <v>34</v>
      </c>
      <c r="C1180">
        <v>12</v>
      </c>
      <c r="D1180">
        <v>2</v>
      </c>
      <c r="E1180" t="s">
        <v>23</v>
      </c>
      <c r="F1180" t="s">
        <v>57</v>
      </c>
      <c r="G1180" t="s">
        <v>10</v>
      </c>
      <c r="H1180" s="1">
        <f>VLOOKUP(A1180, [1]Orders!A:B, 2, FALSE)</f>
        <v>43180</v>
      </c>
      <c r="I1180" t="str">
        <f>VLOOKUP(A1180, [1]Orders!A:E, 3, FALSE)</f>
        <v>Pearl</v>
      </c>
      <c r="J1180" t="str">
        <f>VLOOKUP(A1180, [1]Orders!A:E, 4, FALSE)</f>
        <v>Maharashtra</v>
      </c>
      <c r="K1180" t="str">
        <f>VLOOKUP(A1180, [1]Orders!A:E, 5, FALSE)</f>
        <v>Pune</v>
      </c>
    </row>
    <row r="1181" spans="1:11" x14ac:dyDescent="0.5">
      <c r="A1181" t="s">
        <v>394</v>
      </c>
      <c r="B1181">
        <v>474</v>
      </c>
      <c r="C1181">
        <v>56</v>
      </c>
      <c r="D1181">
        <v>4</v>
      </c>
      <c r="E1181" t="s">
        <v>8</v>
      </c>
      <c r="F1181" t="s">
        <v>21</v>
      </c>
      <c r="G1181" t="s">
        <v>82</v>
      </c>
      <c r="H1181" s="1">
        <f>VLOOKUP(A1181, [1]Orders!A:B, 2, FALSE)</f>
        <v>43117</v>
      </c>
      <c r="I1181" t="str">
        <f>VLOOKUP(A1181, [1]Orders!A:E, 3, FALSE)</f>
        <v>Shreya</v>
      </c>
      <c r="J1181" t="str">
        <f>VLOOKUP(A1181, [1]Orders!A:E, 4, FALSE)</f>
        <v>Maharashtra</v>
      </c>
      <c r="K1181" t="str">
        <f>VLOOKUP(A1181, [1]Orders!A:E, 5, FALSE)</f>
        <v>Mumbai</v>
      </c>
    </row>
    <row r="1182" spans="1:11" x14ac:dyDescent="0.5">
      <c r="A1182" t="s">
        <v>271</v>
      </c>
      <c r="B1182">
        <v>50</v>
      </c>
      <c r="C1182">
        <v>3</v>
      </c>
      <c r="D1182">
        <v>2</v>
      </c>
      <c r="E1182" t="s">
        <v>23</v>
      </c>
      <c r="F1182" t="s">
        <v>57</v>
      </c>
      <c r="G1182" t="s">
        <v>14</v>
      </c>
      <c r="H1182" s="1">
        <f>VLOOKUP(A1182, [1]Orders!A:B, 2, FALSE)</f>
        <v>43419</v>
      </c>
      <c r="I1182" t="str">
        <f>VLOOKUP(A1182, [1]Orders!A:E, 3, FALSE)</f>
        <v>Aayush</v>
      </c>
      <c r="J1182" t="str">
        <f>VLOOKUP(A1182, [1]Orders!A:E, 4, FALSE)</f>
        <v>Uttar Pradesh</v>
      </c>
      <c r="K1182" t="str">
        <f>VLOOKUP(A1182, [1]Orders!A:E, 5, FALSE)</f>
        <v>Lucknow</v>
      </c>
    </row>
    <row r="1183" spans="1:11" x14ac:dyDescent="0.5">
      <c r="A1183" t="s">
        <v>97</v>
      </c>
      <c r="B1183">
        <v>69</v>
      </c>
      <c r="C1183">
        <v>-67</v>
      </c>
      <c r="D1183">
        <v>4</v>
      </c>
      <c r="E1183" t="s">
        <v>23</v>
      </c>
      <c r="F1183" t="s">
        <v>32</v>
      </c>
      <c r="G1183" t="s">
        <v>28</v>
      </c>
      <c r="H1183" s="1">
        <f>VLOOKUP(A1183, [1]Orders!A:B, 2, FALSE)</f>
        <v>43353</v>
      </c>
      <c r="I1183" t="str">
        <f>VLOOKUP(A1183, [1]Orders!A:E, 3, FALSE)</f>
        <v>Aditi</v>
      </c>
      <c r="J1183" t="str">
        <f>VLOOKUP(A1183, [1]Orders!A:E, 4, FALSE)</f>
        <v>Madhya Pradesh</v>
      </c>
      <c r="K1183" t="str">
        <f>VLOOKUP(A1183, [1]Orders!A:E, 5, FALSE)</f>
        <v>Indore</v>
      </c>
    </row>
    <row r="1184" spans="1:11" x14ac:dyDescent="0.5">
      <c r="A1184" t="s">
        <v>489</v>
      </c>
      <c r="B1184">
        <v>389</v>
      </c>
      <c r="C1184">
        <v>-83</v>
      </c>
      <c r="D1184">
        <v>3</v>
      </c>
      <c r="E1184" t="s">
        <v>12</v>
      </c>
      <c r="F1184" t="s">
        <v>13</v>
      </c>
      <c r="G1184" t="s">
        <v>28</v>
      </c>
      <c r="H1184" s="1">
        <f>VLOOKUP(A1184, [1]Orders!A:B, 2, FALSE)</f>
        <v>43216</v>
      </c>
      <c r="I1184" t="str">
        <f>VLOOKUP(A1184, [1]Orders!A:E, 3, FALSE)</f>
        <v>Sanjay</v>
      </c>
      <c r="J1184" t="str">
        <f>VLOOKUP(A1184, [1]Orders!A:E, 4, FALSE)</f>
        <v>Goa</v>
      </c>
      <c r="K1184" t="str">
        <f>VLOOKUP(A1184, [1]Orders!A:E, 5, FALSE)</f>
        <v>Goa</v>
      </c>
    </row>
    <row r="1185" spans="1:11" x14ac:dyDescent="0.5">
      <c r="A1185" t="s">
        <v>288</v>
      </c>
      <c r="B1185">
        <v>77</v>
      </c>
      <c r="C1185">
        <v>-43</v>
      </c>
      <c r="D1185">
        <v>8</v>
      </c>
      <c r="E1185" t="s">
        <v>23</v>
      </c>
      <c r="F1185" t="s">
        <v>57</v>
      </c>
      <c r="G1185" t="s">
        <v>10</v>
      </c>
      <c r="H1185" s="1">
        <f>VLOOKUP(A1185, [1]Orders!A:B, 2, FALSE)</f>
        <v>43329</v>
      </c>
      <c r="I1185" t="str">
        <f>VLOOKUP(A1185, [1]Orders!A:E, 3, FALSE)</f>
        <v>Shivam</v>
      </c>
      <c r="J1185" t="str">
        <f>VLOOKUP(A1185, [1]Orders!A:E, 4, FALSE)</f>
        <v>Uttar Pradesh</v>
      </c>
      <c r="K1185" t="str">
        <f>VLOOKUP(A1185, [1]Orders!A:E, 5, FALSE)</f>
        <v>Lucknow</v>
      </c>
    </row>
    <row r="1186" spans="1:11" x14ac:dyDescent="0.5">
      <c r="A1186" t="s">
        <v>27</v>
      </c>
      <c r="B1186">
        <v>51</v>
      </c>
      <c r="C1186">
        <v>21</v>
      </c>
      <c r="D1186">
        <v>3</v>
      </c>
      <c r="E1186" t="s">
        <v>23</v>
      </c>
      <c r="F1186" t="s">
        <v>81</v>
      </c>
      <c r="G1186" t="s">
        <v>10</v>
      </c>
      <c r="H1186" s="1">
        <f>VLOOKUP(A1186, [1]Orders!A:B, 2, FALSE)</f>
        <v>43262</v>
      </c>
      <c r="I1186" t="str">
        <f>VLOOKUP(A1186, [1]Orders!A:E, 3, FALSE)</f>
        <v>Sanjna</v>
      </c>
      <c r="J1186" t="str">
        <f>VLOOKUP(A1186, [1]Orders!A:E, 4, FALSE)</f>
        <v>Maharashtra</v>
      </c>
      <c r="K1186" t="str">
        <f>VLOOKUP(A1186, [1]Orders!A:E, 5, FALSE)</f>
        <v>Mumbai</v>
      </c>
    </row>
    <row r="1187" spans="1:11" x14ac:dyDescent="0.5">
      <c r="A1187" t="s">
        <v>146</v>
      </c>
      <c r="B1187">
        <v>394</v>
      </c>
      <c r="C1187">
        <v>146</v>
      </c>
      <c r="D1187">
        <v>2</v>
      </c>
      <c r="E1187" t="s">
        <v>12</v>
      </c>
      <c r="F1187" t="s">
        <v>16</v>
      </c>
      <c r="G1187" t="s">
        <v>28</v>
      </c>
      <c r="H1187" s="1">
        <f>VLOOKUP(A1187, [1]Orders!A:B, 2, FALSE)</f>
        <v>43432</v>
      </c>
      <c r="I1187" t="str">
        <f>VLOOKUP(A1187, [1]Orders!A:E, 3, FALSE)</f>
        <v>Shatayu</v>
      </c>
      <c r="J1187" t="str">
        <f>VLOOKUP(A1187, [1]Orders!A:E, 4, FALSE)</f>
        <v>Madhya Pradesh</v>
      </c>
      <c r="K1187" t="str">
        <f>VLOOKUP(A1187, [1]Orders!A:E, 5, FALSE)</f>
        <v>Indore</v>
      </c>
    </row>
    <row r="1188" spans="1:11" x14ac:dyDescent="0.5">
      <c r="A1188" t="s">
        <v>284</v>
      </c>
      <c r="B1188">
        <v>48</v>
      </c>
      <c r="C1188">
        <v>-22</v>
      </c>
      <c r="D1188">
        <v>2</v>
      </c>
      <c r="E1188" t="s">
        <v>23</v>
      </c>
      <c r="F1188" t="s">
        <v>26</v>
      </c>
      <c r="G1188" t="s">
        <v>14</v>
      </c>
      <c r="H1188" s="1">
        <f>VLOOKUP(A1188, [1]Orders!A:B, 2, FALSE)</f>
        <v>43343</v>
      </c>
      <c r="I1188" t="str">
        <f>VLOOKUP(A1188, [1]Orders!A:E, 3, FALSE)</f>
        <v>Ashmeet</v>
      </c>
      <c r="J1188" t="str">
        <f>VLOOKUP(A1188, [1]Orders!A:E, 4, FALSE)</f>
        <v>West Bengal</v>
      </c>
      <c r="K1188" t="str">
        <f>VLOOKUP(A1188, [1]Orders!A:E, 5, FALSE)</f>
        <v>Kolkata</v>
      </c>
    </row>
    <row r="1189" spans="1:11" x14ac:dyDescent="0.5">
      <c r="A1189" t="s">
        <v>209</v>
      </c>
      <c r="B1189">
        <v>34</v>
      </c>
      <c r="C1189">
        <v>-12</v>
      </c>
      <c r="D1189">
        <v>5</v>
      </c>
      <c r="E1189" t="s">
        <v>23</v>
      </c>
      <c r="F1189" t="s">
        <v>63</v>
      </c>
      <c r="G1189" t="s">
        <v>10</v>
      </c>
      <c r="H1189" s="1">
        <f>VLOOKUP(A1189, [1]Orders!A:B, 2, FALSE)</f>
        <v>43118</v>
      </c>
      <c r="I1189" t="str">
        <f>VLOOKUP(A1189, [1]Orders!A:E, 3, FALSE)</f>
        <v>Surbhi</v>
      </c>
      <c r="J1189" t="str">
        <f>VLOOKUP(A1189, [1]Orders!A:E, 4, FALSE)</f>
        <v>Gujarat</v>
      </c>
      <c r="K1189" t="str">
        <f>VLOOKUP(A1189, [1]Orders!A:E, 5, FALSE)</f>
        <v>Ahmedabad</v>
      </c>
    </row>
    <row r="1190" spans="1:11" x14ac:dyDescent="0.5">
      <c r="A1190" t="s">
        <v>35</v>
      </c>
      <c r="B1190">
        <v>484</v>
      </c>
      <c r="C1190">
        <v>28</v>
      </c>
      <c r="D1190">
        <v>3</v>
      </c>
      <c r="E1190" t="s">
        <v>8</v>
      </c>
      <c r="F1190" t="s">
        <v>18</v>
      </c>
      <c r="G1190" t="s">
        <v>82</v>
      </c>
      <c r="H1190" s="1">
        <f>VLOOKUP(A1190, [1]Orders!A:B, 2, FALSE)</f>
        <v>43461</v>
      </c>
      <c r="I1190" t="str">
        <f>VLOOKUP(A1190, [1]Orders!A:E, 3, FALSE)</f>
        <v>Gopal</v>
      </c>
      <c r="J1190" t="str">
        <f>VLOOKUP(A1190, [1]Orders!A:E, 4, FALSE)</f>
        <v>Maharashtra</v>
      </c>
      <c r="K1190" t="str">
        <f>VLOOKUP(A1190, [1]Orders!A:E, 5, FALSE)</f>
        <v>Mumbai</v>
      </c>
    </row>
    <row r="1191" spans="1:11" x14ac:dyDescent="0.5">
      <c r="A1191" t="s">
        <v>272</v>
      </c>
      <c r="B1191">
        <v>47</v>
      </c>
      <c r="C1191">
        <v>-27</v>
      </c>
      <c r="D1191">
        <v>4</v>
      </c>
      <c r="E1191" t="s">
        <v>23</v>
      </c>
      <c r="F1191" t="s">
        <v>26</v>
      </c>
      <c r="G1191" t="s">
        <v>14</v>
      </c>
      <c r="H1191" s="1">
        <f>VLOOKUP(A1191, [1]Orders!A:B, 2, FALSE)</f>
        <v>43374</v>
      </c>
      <c r="I1191" t="str">
        <f>VLOOKUP(A1191, [1]Orders!A:E, 3, FALSE)</f>
        <v>Divyansh</v>
      </c>
      <c r="J1191" t="str">
        <f>VLOOKUP(A1191, [1]Orders!A:E, 4, FALSE)</f>
        <v>Gujarat</v>
      </c>
      <c r="K1191" t="str">
        <f>VLOOKUP(A1191, [1]Orders!A:E, 5, FALSE)</f>
        <v>Ahmedabad</v>
      </c>
    </row>
    <row r="1192" spans="1:11" x14ac:dyDescent="0.5">
      <c r="A1192" t="s">
        <v>15</v>
      </c>
      <c r="B1192">
        <v>45</v>
      </c>
      <c r="C1192">
        <v>8</v>
      </c>
      <c r="D1192">
        <v>4</v>
      </c>
      <c r="E1192" t="s">
        <v>23</v>
      </c>
      <c r="F1192" t="s">
        <v>43</v>
      </c>
      <c r="G1192" t="s">
        <v>14</v>
      </c>
      <c r="H1192" s="1">
        <f>VLOOKUP(A1192, [1]Orders!A:B, 2, FALSE)</f>
        <v>43116</v>
      </c>
      <c r="I1192" t="str">
        <f>VLOOKUP(A1192, [1]Orders!A:E, 3, FALSE)</f>
        <v>Shiva</v>
      </c>
      <c r="J1192" t="str">
        <f>VLOOKUP(A1192, [1]Orders!A:E, 4, FALSE)</f>
        <v>Maharashtra</v>
      </c>
      <c r="K1192" t="str">
        <f>VLOOKUP(A1192, [1]Orders!A:E, 5, FALSE)</f>
        <v>Pune</v>
      </c>
    </row>
    <row r="1193" spans="1:11" x14ac:dyDescent="0.5">
      <c r="A1193" t="s">
        <v>490</v>
      </c>
      <c r="B1193">
        <v>128</v>
      </c>
      <c r="C1193">
        <v>55</v>
      </c>
      <c r="D1193">
        <v>1</v>
      </c>
      <c r="E1193" t="s">
        <v>23</v>
      </c>
      <c r="F1193" t="s">
        <v>26</v>
      </c>
      <c r="G1193" t="s">
        <v>10</v>
      </c>
      <c r="H1193" s="1">
        <f>VLOOKUP(A1193, [1]Orders!A:B, 2, FALSE)</f>
        <v>43145</v>
      </c>
      <c r="I1193" t="str">
        <f>VLOOKUP(A1193, [1]Orders!A:E, 3, FALSE)</f>
        <v>Kasheen</v>
      </c>
      <c r="J1193" t="str">
        <f>VLOOKUP(A1193, [1]Orders!A:E, 4, FALSE)</f>
        <v>West Bengal</v>
      </c>
      <c r="K1193" t="str">
        <f>VLOOKUP(A1193, [1]Orders!A:E, 5, FALSE)</f>
        <v>Kolkata</v>
      </c>
    </row>
    <row r="1194" spans="1:11" x14ac:dyDescent="0.5">
      <c r="A1194" t="s">
        <v>88</v>
      </c>
      <c r="B1194">
        <v>669</v>
      </c>
      <c r="C1194">
        <v>74</v>
      </c>
      <c r="D1194">
        <v>5</v>
      </c>
      <c r="E1194" t="s">
        <v>12</v>
      </c>
      <c r="F1194" t="s">
        <v>16</v>
      </c>
      <c r="G1194" t="s">
        <v>10</v>
      </c>
      <c r="H1194" s="1">
        <f>VLOOKUP(A1194, [1]Orders!A:B, 2, FALSE)</f>
        <v>43166</v>
      </c>
      <c r="I1194" t="str">
        <f>VLOOKUP(A1194, [1]Orders!A:E, 3, FALSE)</f>
        <v>Parishi</v>
      </c>
      <c r="J1194" t="str">
        <f>VLOOKUP(A1194, [1]Orders!A:E, 4, FALSE)</f>
        <v>West Bengal</v>
      </c>
      <c r="K1194" t="str">
        <f>VLOOKUP(A1194, [1]Orders!A:E, 5, FALSE)</f>
        <v>Kolkata</v>
      </c>
    </row>
    <row r="1195" spans="1:11" x14ac:dyDescent="0.5">
      <c r="A1195" t="s">
        <v>491</v>
      </c>
      <c r="B1195">
        <v>34</v>
      </c>
      <c r="C1195">
        <v>13</v>
      </c>
      <c r="D1195">
        <v>2</v>
      </c>
      <c r="E1195" t="s">
        <v>23</v>
      </c>
      <c r="F1195" t="s">
        <v>26</v>
      </c>
      <c r="G1195" t="s">
        <v>10</v>
      </c>
      <c r="H1195" s="1">
        <f>VLOOKUP(A1195, [1]Orders!A:B, 2, FALSE)</f>
        <v>43391</v>
      </c>
      <c r="I1195" t="str">
        <f>VLOOKUP(A1195, [1]Orders!A:E, 3, FALSE)</f>
        <v>Tejas</v>
      </c>
      <c r="J1195" t="str">
        <f>VLOOKUP(A1195, [1]Orders!A:E, 4, FALSE)</f>
        <v>Karnataka</v>
      </c>
      <c r="K1195" t="str">
        <f>VLOOKUP(A1195, [1]Orders!A:E, 5, FALSE)</f>
        <v>Bangalore</v>
      </c>
    </row>
    <row r="1196" spans="1:11" x14ac:dyDescent="0.5">
      <c r="A1196" t="s">
        <v>255</v>
      </c>
      <c r="B1196">
        <v>44</v>
      </c>
      <c r="C1196">
        <v>14</v>
      </c>
      <c r="D1196">
        <v>3</v>
      </c>
      <c r="E1196" t="s">
        <v>23</v>
      </c>
      <c r="F1196" t="s">
        <v>30</v>
      </c>
      <c r="G1196" t="s">
        <v>19</v>
      </c>
      <c r="H1196" s="1">
        <f>VLOOKUP(A1196, [1]Orders!A:B, 2, FALSE)</f>
        <v>43132</v>
      </c>
      <c r="I1196" t="str">
        <f>VLOOKUP(A1196, [1]Orders!A:E, 3, FALSE)</f>
        <v>Anjali</v>
      </c>
      <c r="J1196" t="str">
        <f>VLOOKUP(A1196, [1]Orders!A:E, 4, FALSE)</f>
        <v>Delhi</v>
      </c>
      <c r="K1196" t="str">
        <f>VLOOKUP(A1196, [1]Orders!A:E, 5, FALSE)</f>
        <v>Delhi</v>
      </c>
    </row>
    <row r="1197" spans="1:11" x14ac:dyDescent="0.5">
      <c r="A1197" t="s">
        <v>44</v>
      </c>
      <c r="B1197">
        <v>33</v>
      </c>
      <c r="C1197">
        <v>1</v>
      </c>
      <c r="D1197">
        <v>2</v>
      </c>
      <c r="E1197" t="s">
        <v>23</v>
      </c>
      <c r="F1197" t="s">
        <v>142</v>
      </c>
      <c r="G1197" t="s">
        <v>10</v>
      </c>
      <c r="H1197" s="1">
        <f>VLOOKUP(A1197, [1]Orders!A:B, 2, FALSE)</f>
        <v>43448</v>
      </c>
      <c r="I1197" t="str">
        <f>VLOOKUP(A1197, [1]Orders!A:E, 3, FALSE)</f>
        <v>Jay</v>
      </c>
      <c r="J1197" t="str">
        <f>VLOOKUP(A1197, [1]Orders!A:E, 4, FALSE)</f>
        <v>Delhi</v>
      </c>
      <c r="K1197" t="str">
        <f>VLOOKUP(A1197, [1]Orders!A:E, 5, FALSE)</f>
        <v>Delhi</v>
      </c>
    </row>
    <row r="1198" spans="1:11" x14ac:dyDescent="0.5">
      <c r="A1198" t="s">
        <v>394</v>
      </c>
      <c r="B1198">
        <v>33</v>
      </c>
      <c r="C1198">
        <v>10</v>
      </c>
      <c r="D1198">
        <v>3</v>
      </c>
      <c r="E1198" t="s">
        <v>23</v>
      </c>
      <c r="F1198" t="s">
        <v>30</v>
      </c>
      <c r="G1198" t="s">
        <v>10</v>
      </c>
      <c r="H1198" s="1">
        <f>VLOOKUP(A1198, [1]Orders!A:B, 2, FALSE)</f>
        <v>43117</v>
      </c>
      <c r="I1198" t="str">
        <f>VLOOKUP(A1198, [1]Orders!A:E, 3, FALSE)</f>
        <v>Shreya</v>
      </c>
      <c r="J1198" t="str">
        <f>VLOOKUP(A1198, [1]Orders!A:E, 4, FALSE)</f>
        <v>Maharashtra</v>
      </c>
      <c r="K1198" t="str">
        <f>VLOOKUP(A1198, [1]Orders!A:E, 5, FALSE)</f>
        <v>Mumbai</v>
      </c>
    </row>
    <row r="1199" spans="1:11" x14ac:dyDescent="0.5">
      <c r="A1199" t="s">
        <v>130</v>
      </c>
      <c r="B1199">
        <v>487</v>
      </c>
      <c r="C1199">
        <v>-23</v>
      </c>
      <c r="D1199">
        <v>3</v>
      </c>
      <c r="E1199" t="s">
        <v>8</v>
      </c>
      <c r="F1199" t="s">
        <v>18</v>
      </c>
      <c r="G1199" t="s">
        <v>82</v>
      </c>
      <c r="H1199" s="1">
        <f>VLOOKUP(A1199, [1]Orders!A:B, 2, FALSE)</f>
        <v>43131</v>
      </c>
      <c r="I1199" t="str">
        <f>VLOOKUP(A1199, [1]Orders!A:E, 3, FALSE)</f>
        <v>Shweta</v>
      </c>
      <c r="J1199" t="str">
        <f>VLOOKUP(A1199, [1]Orders!A:E, 4, FALSE)</f>
        <v>Rajasthan</v>
      </c>
      <c r="K1199" t="str">
        <f>VLOOKUP(A1199, [1]Orders!A:E, 5, FALSE)</f>
        <v>Udaipur</v>
      </c>
    </row>
    <row r="1200" spans="1:11" x14ac:dyDescent="0.5">
      <c r="A1200" t="s">
        <v>128</v>
      </c>
      <c r="B1200">
        <v>497</v>
      </c>
      <c r="C1200">
        <v>179</v>
      </c>
      <c r="D1200">
        <v>3</v>
      </c>
      <c r="E1200" t="s">
        <v>12</v>
      </c>
      <c r="F1200" t="s">
        <v>13</v>
      </c>
      <c r="G1200" t="s">
        <v>82</v>
      </c>
      <c r="H1200" s="1">
        <f>VLOOKUP(A1200, [1]Orders!A:B, 2, FALSE)</f>
        <v>43188</v>
      </c>
      <c r="I1200" t="str">
        <f>VLOOKUP(A1200, [1]Orders!A:E, 3, FALSE)</f>
        <v>Pinky</v>
      </c>
      <c r="J1200" t="str">
        <f>VLOOKUP(A1200, [1]Orders!A:E, 4, FALSE)</f>
        <v>Jammu and Kashmir</v>
      </c>
      <c r="K1200" t="str">
        <f>VLOOKUP(A1200, [1]Orders!A:E, 5, FALSE)</f>
        <v>Kashmir</v>
      </c>
    </row>
    <row r="1201" spans="1:11" x14ac:dyDescent="0.5">
      <c r="A1201" t="s">
        <v>106</v>
      </c>
      <c r="B1201">
        <v>508</v>
      </c>
      <c r="C1201">
        <v>203</v>
      </c>
      <c r="D1201">
        <v>2</v>
      </c>
      <c r="E1201" t="s">
        <v>8</v>
      </c>
      <c r="F1201" t="s">
        <v>73</v>
      </c>
      <c r="G1201" t="s">
        <v>82</v>
      </c>
      <c r="H1201" s="1">
        <f>VLOOKUP(A1201, [1]Orders!A:B, 2, FALSE)</f>
        <v>43173</v>
      </c>
      <c r="I1201" t="str">
        <f>VLOOKUP(A1201, [1]Orders!A:E, 3, FALSE)</f>
        <v>Anurag</v>
      </c>
      <c r="J1201" t="str">
        <f>VLOOKUP(A1201, [1]Orders!A:E, 4, FALSE)</f>
        <v>Madhya Pradesh</v>
      </c>
      <c r="K1201" t="str">
        <f>VLOOKUP(A1201, [1]Orders!A:E, 5, FALSE)</f>
        <v>Indore</v>
      </c>
    </row>
    <row r="1202" spans="1:11" x14ac:dyDescent="0.5">
      <c r="A1202" t="s">
        <v>328</v>
      </c>
      <c r="B1202">
        <v>524</v>
      </c>
      <c r="C1202">
        <v>-25</v>
      </c>
      <c r="D1202">
        <v>2</v>
      </c>
      <c r="E1202" t="s">
        <v>8</v>
      </c>
      <c r="F1202" t="s">
        <v>9</v>
      </c>
      <c r="G1202" t="s">
        <v>82</v>
      </c>
      <c r="H1202" s="1">
        <f>VLOOKUP(A1202, [1]Orders!A:B, 2, FALSE)</f>
        <v>43114</v>
      </c>
      <c r="I1202" t="str">
        <f>VLOOKUP(A1202, [1]Orders!A:E, 3, FALSE)</f>
        <v>Trupti</v>
      </c>
      <c r="J1202" t="str">
        <f>VLOOKUP(A1202, [1]Orders!A:E, 4, FALSE)</f>
        <v>Gujarat</v>
      </c>
      <c r="K1202" t="str">
        <f>VLOOKUP(A1202, [1]Orders!A:E, 5, FALSE)</f>
        <v>Ahmedabad</v>
      </c>
    </row>
    <row r="1203" spans="1:11" x14ac:dyDescent="0.5">
      <c r="A1203" t="s">
        <v>492</v>
      </c>
      <c r="B1203">
        <v>425</v>
      </c>
      <c r="C1203">
        <v>183</v>
      </c>
      <c r="D1203">
        <v>5</v>
      </c>
      <c r="E1203" t="s">
        <v>8</v>
      </c>
      <c r="F1203" t="s">
        <v>73</v>
      </c>
      <c r="G1203" t="s">
        <v>28</v>
      </c>
      <c r="H1203" s="1">
        <f>VLOOKUP(A1203, [1]Orders!A:B, 2, FALSE)</f>
        <v>43154</v>
      </c>
      <c r="I1203" t="str">
        <f>VLOOKUP(A1203, [1]Orders!A:E, 3, FALSE)</f>
        <v>Vini</v>
      </c>
      <c r="J1203" t="str">
        <f>VLOOKUP(A1203, [1]Orders!A:E, 4, FALSE)</f>
        <v>Karnataka</v>
      </c>
      <c r="K1203" t="str">
        <f>VLOOKUP(A1203, [1]Orders!A:E, 5, FALSE)</f>
        <v>Bangalore</v>
      </c>
    </row>
    <row r="1204" spans="1:11" x14ac:dyDescent="0.5">
      <c r="A1204" t="s">
        <v>71</v>
      </c>
      <c r="B1204">
        <v>168</v>
      </c>
      <c r="C1204">
        <v>56</v>
      </c>
      <c r="D1204">
        <v>3</v>
      </c>
      <c r="E1204" t="s">
        <v>23</v>
      </c>
      <c r="F1204" t="s">
        <v>26</v>
      </c>
      <c r="G1204" t="s">
        <v>10</v>
      </c>
      <c r="H1204" s="1">
        <f>VLOOKUP(A1204, [1]Orders!A:B, 2, FALSE)</f>
        <v>43447</v>
      </c>
      <c r="I1204" t="str">
        <f>VLOOKUP(A1204, [1]Orders!A:E, 3, FALSE)</f>
        <v>Sujay</v>
      </c>
      <c r="J1204" t="str">
        <f>VLOOKUP(A1204, [1]Orders!A:E, 4, FALSE)</f>
        <v>Maharashtra</v>
      </c>
      <c r="K1204" t="str">
        <f>VLOOKUP(A1204, [1]Orders!A:E, 5, FALSE)</f>
        <v>Pune</v>
      </c>
    </row>
    <row r="1205" spans="1:11" x14ac:dyDescent="0.5">
      <c r="A1205" t="s">
        <v>493</v>
      </c>
      <c r="B1205">
        <v>141</v>
      </c>
      <c r="C1205">
        <v>28</v>
      </c>
      <c r="D1205">
        <v>7</v>
      </c>
      <c r="E1205" t="s">
        <v>12</v>
      </c>
      <c r="F1205" t="s">
        <v>131</v>
      </c>
      <c r="G1205" t="s">
        <v>28</v>
      </c>
      <c r="H1205" s="1">
        <f>VLOOKUP(A1205, [1]Orders!A:B, 2, FALSE)</f>
        <v>43268</v>
      </c>
      <c r="I1205" t="str">
        <f>VLOOKUP(A1205, [1]Orders!A:E, 3, FALSE)</f>
        <v>Rashmi</v>
      </c>
      <c r="J1205" t="str">
        <f>VLOOKUP(A1205, [1]Orders!A:E, 4, FALSE)</f>
        <v>Madhya Pradesh</v>
      </c>
      <c r="K1205" t="str">
        <f>VLOOKUP(A1205, [1]Orders!A:E, 5, FALSE)</f>
        <v>Indore</v>
      </c>
    </row>
    <row r="1206" spans="1:11" x14ac:dyDescent="0.5">
      <c r="A1206" t="s">
        <v>157</v>
      </c>
      <c r="B1206">
        <v>429</v>
      </c>
      <c r="C1206">
        <v>17</v>
      </c>
      <c r="D1206">
        <v>3</v>
      </c>
      <c r="E1206" t="s">
        <v>12</v>
      </c>
      <c r="F1206" t="s">
        <v>13</v>
      </c>
      <c r="G1206" t="s">
        <v>28</v>
      </c>
      <c r="H1206" s="1">
        <f>VLOOKUP(A1206, [1]Orders!A:B, 2, FALSE)</f>
        <v>43118</v>
      </c>
      <c r="I1206" t="str">
        <f>VLOOKUP(A1206, [1]Orders!A:E, 3, FALSE)</f>
        <v>Muskan</v>
      </c>
      <c r="J1206" t="str">
        <f>VLOOKUP(A1206, [1]Orders!A:E, 4, FALSE)</f>
        <v>Madhya Pradesh</v>
      </c>
      <c r="K1206" t="str">
        <f>VLOOKUP(A1206, [1]Orders!A:E, 5, FALSE)</f>
        <v>Indore</v>
      </c>
    </row>
    <row r="1207" spans="1:11" x14ac:dyDescent="0.5">
      <c r="A1207" t="s">
        <v>252</v>
      </c>
      <c r="B1207">
        <v>44</v>
      </c>
      <c r="C1207">
        <v>-8</v>
      </c>
      <c r="D1207">
        <v>3</v>
      </c>
      <c r="E1207" t="s">
        <v>23</v>
      </c>
      <c r="F1207" t="s">
        <v>57</v>
      </c>
      <c r="G1207" t="s">
        <v>19</v>
      </c>
      <c r="H1207" s="1">
        <f>VLOOKUP(A1207, [1]Orders!A:B, 2, FALSE)</f>
        <v>43321</v>
      </c>
      <c r="I1207" t="str">
        <f>VLOOKUP(A1207, [1]Orders!A:E, 3, FALSE)</f>
        <v>Kartik</v>
      </c>
      <c r="J1207" t="str">
        <f>VLOOKUP(A1207, [1]Orders!A:E, 4, FALSE)</f>
        <v>Gujarat</v>
      </c>
      <c r="K1207" t="str">
        <f>VLOOKUP(A1207, [1]Orders!A:E, 5, FALSE)</f>
        <v>Ahmedabad</v>
      </c>
    </row>
    <row r="1208" spans="1:11" x14ac:dyDescent="0.5">
      <c r="A1208" t="s">
        <v>203</v>
      </c>
      <c r="B1208">
        <v>149</v>
      </c>
      <c r="C1208">
        <v>136</v>
      </c>
      <c r="D1208">
        <v>3</v>
      </c>
      <c r="E1208" t="s">
        <v>23</v>
      </c>
      <c r="F1208" t="s">
        <v>57</v>
      </c>
      <c r="G1208" t="s">
        <v>28</v>
      </c>
      <c r="H1208" s="1">
        <f>VLOOKUP(A1208, [1]Orders!A:B, 2, FALSE)</f>
        <v>43265</v>
      </c>
      <c r="I1208" t="str">
        <f>VLOOKUP(A1208, [1]Orders!A:E, 3, FALSE)</f>
        <v>Bhaggyasree</v>
      </c>
      <c r="J1208" t="str">
        <f>VLOOKUP(A1208, [1]Orders!A:E, 4, FALSE)</f>
        <v>Maharashtra</v>
      </c>
      <c r="K1208" t="str">
        <f>VLOOKUP(A1208, [1]Orders!A:E, 5, FALSE)</f>
        <v>Mumbai</v>
      </c>
    </row>
    <row r="1209" spans="1:11" x14ac:dyDescent="0.5">
      <c r="A1209" t="s">
        <v>39</v>
      </c>
      <c r="B1209">
        <v>44</v>
      </c>
      <c r="C1209">
        <v>-34</v>
      </c>
      <c r="D1209">
        <v>3</v>
      </c>
      <c r="E1209" t="s">
        <v>23</v>
      </c>
      <c r="F1209" t="s">
        <v>57</v>
      </c>
      <c r="G1209" t="s">
        <v>19</v>
      </c>
      <c r="H1209" s="1">
        <f>VLOOKUP(A1209, [1]Orders!A:B, 2, FALSE)</f>
        <v>43362</v>
      </c>
      <c r="I1209" t="str">
        <f>VLOOKUP(A1209, [1]Orders!A:E, 3, FALSE)</f>
        <v>Madan Mohan</v>
      </c>
      <c r="J1209" t="str">
        <f>VLOOKUP(A1209, [1]Orders!A:E, 4, FALSE)</f>
        <v>Uttar Pradesh</v>
      </c>
      <c r="K1209" t="str">
        <f>VLOOKUP(A1209, [1]Orders!A:E, 5, FALSE)</f>
        <v>Mathura</v>
      </c>
    </row>
    <row r="1210" spans="1:11" x14ac:dyDescent="0.5">
      <c r="A1210" t="s">
        <v>185</v>
      </c>
      <c r="B1210">
        <v>33</v>
      </c>
      <c r="C1210">
        <v>10</v>
      </c>
      <c r="D1210">
        <v>3</v>
      </c>
      <c r="E1210" t="s">
        <v>23</v>
      </c>
      <c r="F1210" t="s">
        <v>30</v>
      </c>
      <c r="G1210" t="s">
        <v>10</v>
      </c>
      <c r="H1210" s="1">
        <f>VLOOKUP(A1210, [1]Orders!A:B, 2, FALSE)</f>
        <v>43440</v>
      </c>
      <c r="I1210" t="str">
        <f>VLOOKUP(A1210, [1]Orders!A:E, 3, FALSE)</f>
        <v>Rohan</v>
      </c>
      <c r="J1210" t="str">
        <f>VLOOKUP(A1210, [1]Orders!A:E, 4, FALSE)</f>
        <v>Madhya Pradesh</v>
      </c>
      <c r="K1210" t="str">
        <f>VLOOKUP(A1210, [1]Orders!A:E, 5, FALSE)</f>
        <v>Indore</v>
      </c>
    </row>
    <row r="1211" spans="1:11" x14ac:dyDescent="0.5">
      <c r="A1211" t="s">
        <v>211</v>
      </c>
      <c r="B1211">
        <v>33</v>
      </c>
      <c r="C1211">
        <v>9</v>
      </c>
      <c r="D1211">
        <v>2</v>
      </c>
      <c r="E1211" t="s">
        <v>23</v>
      </c>
      <c r="F1211" t="s">
        <v>30</v>
      </c>
      <c r="G1211" t="s">
        <v>10</v>
      </c>
      <c r="H1211" s="1">
        <f>VLOOKUP(A1211, [1]Orders!A:B, 2, FALSE)</f>
        <v>43169</v>
      </c>
      <c r="I1211" t="str">
        <f>VLOOKUP(A1211, [1]Orders!A:E, 3, FALSE)</f>
        <v>Sonal</v>
      </c>
      <c r="J1211" t="str">
        <f>VLOOKUP(A1211, [1]Orders!A:E, 4, FALSE)</f>
        <v>Bihar</v>
      </c>
      <c r="K1211" t="str">
        <f>VLOOKUP(A1211, [1]Orders!A:E, 5, FALSE)</f>
        <v>Patna</v>
      </c>
    </row>
    <row r="1212" spans="1:11" x14ac:dyDescent="0.5">
      <c r="A1212" t="s">
        <v>171</v>
      </c>
      <c r="B1212">
        <v>442</v>
      </c>
      <c r="C1212">
        <v>31</v>
      </c>
      <c r="D1212">
        <v>2</v>
      </c>
      <c r="E1212" t="s">
        <v>8</v>
      </c>
      <c r="F1212" t="s">
        <v>9</v>
      </c>
      <c r="G1212" t="s">
        <v>28</v>
      </c>
      <c r="H1212" s="1">
        <f>VLOOKUP(A1212, [1]Orders!A:B, 2, FALSE)</f>
        <v>43412</v>
      </c>
      <c r="I1212" t="str">
        <f>VLOOKUP(A1212, [1]Orders!A:E, 3, FALSE)</f>
        <v>Abhijeet</v>
      </c>
      <c r="J1212" t="str">
        <f>VLOOKUP(A1212, [1]Orders!A:E, 4, FALSE)</f>
        <v>Madhya Pradesh</v>
      </c>
      <c r="K1212" t="str">
        <f>VLOOKUP(A1212, [1]Orders!A:E, 5, FALSE)</f>
        <v>Bhopal</v>
      </c>
    </row>
    <row r="1213" spans="1:11" x14ac:dyDescent="0.5">
      <c r="A1213" t="s">
        <v>100</v>
      </c>
      <c r="B1213">
        <v>41</v>
      </c>
      <c r="C1213">
        <v>6</v>
      </c>
      <c r="D1213">
        <v>5</v>
      </c>
      <c r="E1213" t="s">
        <v>23</v>
      </c>
      <c r="F1213" t="s">
        <v>43</v>
      </c>
      <c r="G1213" t="s">
        <v>19</v>
      </c>
      <c r="H1213" s="1">
        <f>VLOOKUP(A1213, [1]Orders!A:B, 2, FALSE)</f>
        <v>43243</v>
      </c>
      <c r="I1213" t="str">
        <f>VLOOKUP(A1213, [1]Orders!A:E, 3, FALSE)</f>
        <v>Anjali</v>
      </c>
      <c r="J1213" t="str">
        <f>VLOOKUP(A1213, [1]Orders!A:E, 4, FALSE)</f>
        <v>Haryana</v>
      </c>
      <c r="K1213" t="str">
        <f>VLOOKUP(A1213, [1]Orders!A:E, 5, FALSE)</f>
        <v>Chandigarh</v>
      </c>
    </row>
    <row r="1214" spans="1:11" x14ac:dyDescent="0.5">
      <c r="A1214" t="s">
        <v>210</v>
      </c>
      <c r="B1214">
        <v>33</v>
      </c>
      <c r="C1214">
        <v>-12</v>
      </c>
      <c r="D1214">
        <v>5</v>
      </c>
      <c r="E1214" t="s">
        <v>23</v>
      </c>
      <c r="F1214" t="s">
        <v>30</v>
      </c>
      <c r="G1214" t="s">
        <v>10</v>
      </c>
      <c r="H1214" s="1">
        <f>VLOOKUP(A1214, [1]Orders!A:B, 2, FALSE)</f>
        <v>43277</v>
      </c>
      <c r="I1214" t="str">
        <f>VLOOKUP(A1214, [1]Orders!A:E, 3, FALSE)</f>
        <v>Maithilee</v>
      </c>
      <c r="J1214" t="str">
        <f>VLOOKUP(A1214, [1]Orders!A:E, 4, FALSE)</f>
        <v>Madhya Pradesh</v>
      </c>
      <c r="K1214" t="str">
        <f>VLOOKUP(A1214, [1]Orders!A:E, 5, FALSE)</f>
        <v>Indore</v>
      </c>
    </row>
    <row r="1215" spans="1:11" x14ac:dyDescent="0.5">
      <c r="A1215" t="s">
        <v>494</v>
      </c>
      <c r="B1215">
        <v>32</v>
      </c>
      <c r="C1215">
        <v>3</v>
      </c>
      <c r="D1215">
        <v>8</v>
      </c>
      <c r="E1215" t="s">
        <v>23</v>
      </c>
      <c r="F1215" t="s">
        <v>30</v>
      </c>
      <c r="G1215" t="s">
        <v>10</v>
      </c>
      <c r="H1215" s="1">
        <f>VLOOKUP(A1215, [1]Orders!A:B, 2, FALSE)</f>
        <v>43163</v>
      </c>
      <c r="I1215" t="str">
        <f>VLOOKUP(A1215, [1]Orders!A:E, 3, FALSE)</f>
        <v>Nishi</v>
      </c>
      <c r="J1215" t="str">
        <f>VLOOKUP(A1215, [1]Orders!A:E, 4, FALSE)</f>
        <v>Maharashtra</v>
      </c>
      <c r="K1215" t="str">
        <f>VLOOKUP(A1215, [1]Orders!A:E, 5, FALSE)</f>
        <v>Mumbai</v>
      </c>
    </row>
    <row r="1216" spans="1:11" x14ac:dyDescent="0.5">
      <c r="A1216" t="s">
        <v>158</v>
      </c>
      <c r="B1216">
        <v>32</v>
      </c>
      <c r="C1216">
        <v>6</v>
      </c>
      <c r="D1216">
        <v>3</v>
      </c>
      <c r="E1216" t="s">
        <v>23</v>
      </c>
      <c r="F1216" t="s">
        <v>142</v>
      </c>
      <c r="G1216" t="s">
        <v>10</v>
      </c>
      <c r="H1216" s="1">
        <f>VLOOKUP(A1216, [1]Orders!A:B, 2, FALSE)</f>
        <v>43252</v>
      </c>
      <c r="I1216" t="str">
        <f>VLOOKUP(A1216, [1]Orders!A:E, 3, FALSE)</f>
        <v>Chandni</v>
      </c>
      <c r="J1216" t="str">
        <f>VLOOKUP(A1216, [1]Orders!A:E, 4, FALSE)</f>
        <v>Rajasthan</v>
      </c>
      <c r="K1216" t="str">
        <f>VLOOKUP(A1216, [1]Orders!A:E, 5, FALSE)</f>
        <v>Jaipur</v>
      </c>
    </row>
    <row r="1217" spans="1:11" x14ac:dyDescent="0.5">
      <c r="A1217" t="s">
        <v>275</v>
      </c>
      <c r="B1217">
        <v>179</v>
      </c>
      <c r="C1217">
        <v>77</v>
      </c>
      <c r="D1217">
        <v>1</v>
      </c>
      <c r="E1217" t="s">
        <v>23</v>
      </c>
      <c r="F1217" t="s">
        <v>26</v>
      </c>
      <c r="G1217" t="s">
        <v>28</v>
      </c>
      <c r="H1217" s="1">
        <f>VLOOKUP(A1217, [1]Orders!A:B, 2, FALSE)</f>
        <v>43162</v>
      </c>
      <c r="I1217" t="str">
        <f>VLOOKUP(A1217, [1]Orders!A:E, 3, FALSE)</f>
        <v>Nidhi</v>
      </c>
      <c r="J1217" t="str">
        <f>VLOOKUP(A1217, [1]Orders!A:E, 4, FALSE)</f>
        <v>Nagaland</v>
      </c>
      <c r="K1217" t="str">
        <f>VLOOKUP(A1217, [1]Orders!A:E, 5, FALSE)</f>
        <v>Kohima</v>
      </c>
    </row>
    <row r="1218" spans="1:11" x14ac:dyDescent="0.5">
      <c r="A1218" t="s">
        <v>386</v>
      </c>
      <c r="B1218">
        <v>31</v>
      </c>
      <c r="C1218">
        <v>10</v>
      </c>
      <c r="D1218">
        <v>1</v>
      </c>
      <c r="E1218" t="s">
        <v>23</v>
      </c>
      <c r="F1218" t="s">
        <v>32</v>
      </c>
      <c r="G1218" t="s">
        <v>10</v>
      </c>
      <c r="H1218" s="1">
        <f>VLOOKUP(A1218, [1]Orders!A:B, 2, FALSE)</f>
        <v>43437</v>
      </c>
      <c r="I1218" t="str">
        <f>VLOOKUP(A1218, [1]Orders!A:E, 3, FALSE)</f>
        <v>Abhishek</v>
      </c>
      <c r="J1218" t="str">
        <f>VLOOKUP(A1218, [1]Orders!A:E, 4, FALSE)</f>
        <v>Gujarat</v>
      </c>
      <c r="K1218" t="str">
        <f>VLOOKUP(A1218, [1]Orders!A:E, 5, FALSE)</f>
        <v>Surat</v>
      </c>
    </row>
    <row r="1219" spans="1:11" x14ac:dyDescent="0.5">
      <c r="A1219" t="s">
        <v>89</v>
      </c>
      <c r="B1219">
        <v>140</v>
      </c>
      <c r="C1219">
        <v>68</v>
      </c>
      <c r="D1219">
        <v>5</v>
      </c>
      <c r="E1219" t="s">
        <v>23</v>
      </c>
      <c r="F1219" t="s">
        <v>81</v>
      </c>
      <c r="G1219" t="s">
        <v>10</v>
      </c>
      <c r="H1219" s="1">
        <f>VLOOKUP(A1219, [1]Orders!A:B, 2, FALSE)</f>
        <v>43443</v>
      </c>
      <c r="I1219" t="str">
        <f>VLOOKUP(A1219, [1]Orders!A:E, 3, FALSE)</f>
        <v>Anand</v>
      </c>
      <c r="J1219" t="str">
        <f>VLOOKUP(A1219, [1]Orders!A:E, 4, FALSE)</f>
        <v>Punjab</v>
      </c>
      <c r="K1219" t="str">
        <f>VLOOKUP(A1219, [1]Orders!A:E, 5, FALSE)</f>
        <v>Amritsar</v>
      </c>
    </row>
    <row r="1220" spans="1:11" x14ac:dyDescent="0.5">
      <c r="A1220" t="s">
        <v>461</v>
      </c>
      <c r="B1220">
        <v>529</v>
      </c>
      <c r="C1220">
        <v>137</v>
      </c>
      <c r="D1220">
        <v>3</v>
      </c>
      <c r="E1220" t="s">
        <v>8</v>
      </c>
      <c r="F1220" t="s">
        <v>21</v>
      </c>
      <c r="G1220" t="s">
        <v>82</v>
      </c>
      <c r="H1220" s="1">
        <f>VLOOKUP(A1220, [1]Orders!A:B, 2, FALSE)</f>
        <v>43261</v>
      </c>
      <c r="I1220" t="str">
        <f>VLOOKUP(A1220, [1]Orders!A:E, 3, FALSE)</f>
        <v>Sheetal</v>
      </c>
      <c r="J1220" t="str">
        <f>VLOOKUP(A1220, [1]Orders!A:E, 4, FALSE)</f>
        <v>Madhya Pradesh</v>
      </c>
      <c r="K1220" t="str">
        <f>VLOOKUP(A1220, [1]Orders!A:E, 5, FALSE)</f>
        <v>Indore</v>
      </c>
    </row>
    <row r="1221" spans="1:11" x14ac:dyDescent="0.5">
      <c r="A1221" t="s">
        <v>495</v>
      </c>
      <c r="B1221">
        <v>534</v>
      </c>
      <c r="C1221">
        <v>0</v>
      </c>
      <c r="D1221">
        <v>3</v>
      </c>
      <c r="E1221" t="s">
        <v>23</v>
      </c>
      <c r="F1221" t="s">
        <v>26</v>
      </c>
      <c r="G1221" t="s">
        <v>82</v>
      </c>
      <c r="H1221" s="1">
        <f>VLOOKUP(A1221, [1]Orders!A:B, 2, FALSE)</f>
        <v>43212</v>
      </c>
      <c r="I1221" t="str">
        <f>VLOOKUP(A1221, [1]Orders!A:E, 3, FALSE)</f>
        <v>Monisha</v>
      </c>
      <c r="J1221" t="str">
        <f>VLOOKUP(A1221, [1]Orders!A:E, 4, FALSE)</f>
        <v>Rajasthan</v>
      </c>
      <c r="K1221" t="str">
        <f>VLOOKUP(A1221, [1]Orders!A:E, 5, FALSE)</f>
        <v>Jaipur</v>
      </c>
    </row>
    <row r="1222" spans="1:11" x14ac:dyDescent="0.5">
      <c r="A1222" t="s">
        <v>351</v>
      </c>
      <c r="B1222">
        <v>41</v>
      </c>
      <c r="C1222">
        <v>-6</v>
      </c>
      <c r="D1222">
        <v>1</v>
      </c>
      <c r="E1222" t="s">
        <v>12</v>
      </c>
      <c r="F1222" t="s">
        <v>13</v>
      </c>
      <c r="G1222" t="s">
        <v>19</v>
      </c>
      <c r="H1222" s="1">
        <f>VLOOKUP(A1222, [1]Orders!A:B, 2, FALSE)</f>
        <v>43282</v>
      </c>
      <c r="I1222" t="str">
        <f>VLOOKUP(A1222, [1]Orders!A:E, 3, FALSE)</f>
        <v>Aakanksha</v>
      </c>
      <c r="J1222" t="str">
        <f>VLOOKUP(A1222, [1]Orders!A:E, 4, FALSE)</f>
        <v>Madhya Pradesh</v>
      </c>
      <c r="K1222" t="str">
        <f>VLOOKUP(A1222, [1]Orders!A:E, 5, FALSE)</f>
        <v>Indore</v>
      </c>
    </row>
    <row r="1223" spans="1:11" x14ac:dyDescent="0.5">
      <c r="A1223" t="s">
        <v>208</v>
      </c>
      <c r="B1223">
        <v>379</v>
      </c>
      <c r="C1223">
        <v>63</v>
      </c>
      <c r="D1223">
        <v>2</v>
      </c>
      <c r="E1223" t="s">
        <v>23</v>
      </c>
      <c r="F1223" t="s">
        <v>26</v>
      </c>
      <c r="G1223" t="s">
        <v>10</v>
      </c>
      <c r="H1223" s="1">
        <f>VLOOKUP(A1223, [1]Orders!A:B, 2, FALSE)</f>
        <v>43374</v>
      </c>
      <c r="I1223" t="str">
        <f>VLOOKUP(A1223, [1]Orders!A:E, 3, FALSE)</f>
        <v>Shishu</v>
      </c>
      <c r="J1223" t="str">
        <f>VLOOKUP(A1223, [1]Orders!A:E, 4, FALSE)</f>
        <v>Andhra Pradesh</v>
      </c>
      <c r="K1223" t="str">
        <f>VLOOKUP(A1223, [1]Orders!A:E, 5, FALSE)</f>
        <v>Hyderabad</v>
      </c>
    </row>
    <row r="1224" spans="1:11" x14ac:dyDescent="0.5">
      <c r="A1224" t="s">
        <v>219</v>
      </c>
      <c r="B1224">
        <v>81</v>
      </c>
      <c r="C1224">
        <v>-44</v>
      </c>
      <c r="D1224">
        <v>3</v>
      </c>
      <c r="E1224" t="s">
        <v>23</v>
      </c>
      <c r="F1224" t="s">
        <v>57</v>
      </c>
      <c r="G1224" t="s">
        <v>10</v>
      </c>
      <c r="H1224" s="1">
        <f>VLOOKUP(A1224, [1]Orders!A:B, 2, FALSE)</f>
        <v>43104</v>
      </c>
      <c r="I1224" t="str">
        <f>VLOOKUP(A1224, [1]Orders!A:E, 3, FALSE)</f>
        <v>Shikhar</v>
      </c>
      <c r="J1224" t="str">
        <f>VLOOKUP(A1224, [1]Orders!A:E, 4, FALSE)</f>
        <v>Maharashtra</v>
      </c>
      <c r="K1224" t="str">
        <f>VLOOKUP(A1224, [1]Orders!A:E, 5, FALSE)</f>
        <v>Mumbai</v>
      </c>
    </row>
    <row r="1225" spans="1:11" x14ac:dyDescent="0.5">
      <c r="A1225" t="s">
        <v>307</v>
      </c>
      <c r="B1225">
        <v>40</v>
      </c>
      <c r="C1225">
        <v>-33</v>
      </c>
      <c r="D1225">
        <v>5</v>
      </c>
      <c r="E1225" t="s">
        <v>23</v>
      </c>
      <c r="F1225" t="s">
        <v>30</v>
      </c>
      <c r="G1225" t="s">
        <v>19</v>
      </c>
      <c r="H1225" s="1">
        <f>VLOOKUP(A1225, [1]Orders!A:B, 2, FALSE)</f>
        <v>43367</v>
      </c>
      <c r="I1225" t="str">
        <f>VLOOKUP(A1225, [1]Orders!A:E, 3, FALSE)</f>
        <v>Siddharth</v>
      </c>
      <c r="J1225" t="str">
        <f>VLOOKUP(A1225, [1]Orders!A:E, 4, FALSE)</f>
        <v>Madhya Pradesh</v>
      </c>
      <c r="K1225" t="str">
        <f>VLOOKUP(A1225, [1]Orders!A:E, 5, FALSE)</f>
        <v>Indore</v>
      </c>
    </row>
    <row r="1226" spans="1:11" x14ac:dyDescent="0.5">
      <c r="A1226" t="s">
        <v>179</v>
      </c>
      <c r="B1226">
        <v>40</v>
      </c>
      <c r="C1226">
        <v>18</v>
      </c>
      <c r="D1226">
        <v>1</v>
      </c>
      <c r="E1226" t="s">
        <v>8</v>
      </c>
      <c r="F1226" t="s">
        <v>73</v>
      </c>
      <c r="G1226" t="s">
        <v>19</v>
      </c>
      <c r="H1226" s="1">
        <f>VLOOKUP(A1226, [1]Orders!A:B, 2, FALSE)</f>
        <v>43113</v>
      </c>
      <c r="I1226" t="str">
        <f>VLOOKUP(A1226, [1]Orders!A:E, 3, FALSE)</f>
        <v>Jesal</v>
      </c>
      <c r="J1226" t="str">
        <f>VLOOKUP(A1226, [1]Orders!A:E, 4, FALSE)</f>
        <v>West Bengal</v>
      </c>
      <c r="K1226" t="str">
        <f>VLOOKUP(A1226, [1]Orders!A:E, 5, FALSE)</f>
        <v>Kolkata</v>
      </c>
    </row>
    <row r="1227" spans="1:11" x14ac:dyDescent="0.5">
      <c r="A1227" t="s">
        <v>123</v>
      </c>
      <c r="B1227">
        <v>534</v>
      </c>
      <c r="C1227">
        <v>0</v>
      </c>
      <c r="D1227">
        <v>3</v>
      </c>
      <c r="E1227" t="s">
        <v>23</v>
      </c>
      <c r="F1227" t="s">
        <v>26</v>
      </c>
      <c r="G1227" t="s">
        <v>82</v>
      </c>
      <c r="H1227" s="1">
        <f>VLOOKUP(A1227, [1]Orders!A:B, 2, FALSE)</f>
        <v>43231</v>
      </c>
      <c r="I1227" t="str">
        <f>VLOOKUP(A1227, [1]Orders!A:E, 3, FALSE)</f>
        <v>Priyanka</v>
      </c>
      <c r="J1227" t="str">
        <f>VLOOKUP(A1227, [1]Orders!A:E, 4, FALSE)</f>
        <v>Maharashtra</v>
      </c>
      <c r="K1227" t="str">
        <f>VLOOKUP(A1227, [1]Orders!A:E, 5, FALSE)</f>
        <v>Pune</v>
      </c>
    </row>
    <row r="1228" spans="1:11" x14ac:dyDescent="0.5">
      <c r="A1228" t="s">
        <v>211</v>
      </c>
      <c r="B1228">
        <v>31</v>
      </c>
      <c r="C1228">
        <v>9</v>
      </c>
      <c r="D1228">
        <v>2</v>
      </c>
      <c r="E1228" t="s">
        <v>23</v>
      </c>
      <c r="F1228" t="s">
        <v>30</v>
      </c>
      <c r="G1228" t="s">
        <v>10</v>
      </c>
      <c r="H1228" s="1">
        <f>VLOOKUP(A1228, [1]Orders!A:B, 2, FALSE)</f>
        <v>43169</v>
      </c>
      <c r="I1228" t="str">
        <f>VLOOKUP(A1228, [1]Orders!A:E, 3, FALSE)</f>
        <v>Sonal</v>
      </c>
      <c r="J1228" t="str">
        <f>VLOOKUP(A1228, [1]Orders!A:E, 4, FALSE)</f>
        <v>Bihar</v>
      </c>
      <c r="K1228" t="str">
        <f>VLOOKUP(A1228, [1]Orders!A:E, 5, FALSE)</f>
        <v>Patna</v>
      </c>
    </row>
    <row r="1229" spans="1:11" x14ac:dyDescent="0.5">
      <c r="A1229" t="s">
        <v>170</v>
      </c>
      <c r="B1229">
        <v>473</v>
      </c>
      <c r="C1229">
        <v>-113</v>
      </c>
      <c r="D1229">
        <v>9</v>
      </c>
      <c r="E1229" t="s">
        <v>23</v>
      </c>
      <c r="F1229" t="s">
        <v>30</v>
      </c>
      <c r="G1229" t="s">
        <v>28</v>
      </c>
      <c r="H1229" s="1">
        <f>VLOOKUP(A1229, [1]Orders!A:B, 2, FALSE)</f>
        <v>43424</v>
      </c>
      <c r="I1229" t="str">
        <f>VLOOKUP(A1229, [1]Orders!A:E, 3, FALSE)</f>
        <v>Pranav</v>
      </c>
      <c r="J1229" t="str">
        <f>VLOOKUP(A1229, [1]Orders!A:E, 4, FALSE)</f>
        <v>Andhra Pradesh</v>
      </c>
      <c r="K1229" t="str">
        <f>VLOOKUP(A1229, [1]Orders!A:E, 5, FALSE)</f>
        <v>Hyderabad</v>
      </c>
    </row>
    <row r="1230" spans="1:11" x14ac:dyDescent="0.5">
      <c r="A1230" t="s">
        <v>496</v>
      </c>
      <c r="B1230">
        <v>31</v>
      </c>
      <c r="C1230">
        <v>-10</v>
      </c>
      <c r="D1230">
        <v>3</v>
      </c>
      <c r="E1230" t="s">
        <v>23</v>
      </c>
      <c r="F1230" t="s">
        <v>43</v>
      </c>
      <c r="G1230" t="s">
        <v>10</v>
      </c>
      <c r="H1230" s="1">
        <f>VLOOKUP(A1230, [1]Orders!A:B, 2, FALSE)</f>
        <v>43266</v>
      </c>
      <c r="I1230" t="str">
        <f>VLOOKUP(A1230, [1]Orders!A:E, 3, FALSE)</f>
        <v>Gunjan</v>
      </c>
      <c r="J1230" t="str">
        <f>VLOOKUP(A1230, [1]Orders!A:E, 4, FALSE)</f>
        <v>Madhya Pradesh</v>
      </c>
      <c r="K1230" t="str">
        <f>VLOOKUP(A1230, [1]Orders!A:E, 5, FALSE)</f>
        <v>Indore</v>
      </c>
    </row>
    <row r="1231" spans="1:11" x14ac:dyDescent="0.5">
      <c r="A1231" t="s">
        <v>469</v>
      </c>
      <c r="B1231">
        <v>31</v>
      </c>
      <c r="C1231">
        <v>-3</v>
      </c>
      <c r="D1231">
        <v>4</v>
      </c>
      <c r="E1231" t="s">
        <v>23</v>
      </c>
      <c r="F1231" t="s">
        <v>26</v>
      </c>
      <c r="G1231" t="s">
        <v>10</v>
      </c>
      <c r="H1231" s="1">
        <f>VLOOKUP(A1231, [1]Orders!A:B, 2, FALSE)</f>
        <v>43278</v>
      </c>
      <c r="I1231" t="str">
        <f>VLOOKUP(A1231, [1]Orders!A:E, 3, FALSE)</f>
        <v>Shaily</v>
      </c>
      <c r="J1231" t="str">
        <f>VLOOKUP(A1231, [1]Orders!A:E, 4, FALSE)</f>
        <v>Maharashtra</v>
      </c>
      <c r="K1231" t="str">
        <f>VLOOKUP(A1231, [1]Orders!A:E, 5, FALSE)</f>
        <v>Mumbai</v>
      </c>
    </row>
    <row r="1232" spans="1:11" x14ac:dyDescent="0.5">
      <c r="A1232" t="s">
        <v>127</v>
      </c>
      <c r="B1232">
        <v>91</v>
      </c>
      <c r="C1232">
        <v>15</v>
      </c>
      <c r="D1232">
        <v>6</v>
      </c>
      <c r="E1232" t="s">
        <v>23</v>
      </c>
      <c r="F1232" t="s">
        <v>81</v>
      </c>
      <c r="G1232" t="s">
        <v>28</v>
      </c>
      <c r="H1232" s="1">
        <f>VLOOKUP(A1232, [1]Orders!A:B, 2, FALSE)</f>
        <v>43326</v>
      </c>
      <c r="I1232" t="str">
        <f>VLOOKUP(A1232, [1]Orders!A:E, 3, FALSE)</f>
        <v>Vaibhav</v>
      </c>
      <c r="J1232" t="str">
        <f>VLOOKUP(A1232, [1]Orders!A:E, 4, FALSE)</f>
        <v>Madhya Pradesh</v>
      </c>
      <c r="K1232" t="str">
        <f>VLOOKUP(A1232, [1]Orders!A:E, 5, FALSE)</f>
        <v>Indore</v>
      </c>
    </row>
    <row r="1233" spans="1:11" x14ac:dyDescent="0.5">
      <c r="A1233" t="s">
        <v>276</v>
      </c>
      <c r="B1233">
        <v>30</v>
      </c>
      <c r="C1233">
        <v>-25</v>
      </c>
      <c r="D1233">
        <v>2</v>
      </c>
      <c r="E1233" t="s">
        <v>23</v>
      </c>
      <c r="F1233" t="s">
        <v>81</v>
      </c>
      <c r="G1233" t="s">
        <v>10</v>
      </c>
      <c r="H1233" s="1">
        <f>VLOOKUP(A1233, [1]Orders!A:B, 2, FALSE)</f>
        <v>43357</v>
      </c>
      <c r="I1233" t="str">
        <f>VLOOKUP(A1233, [1]Orders!A:E, 3, FALSE)</f>
        <v>Rutuja</v>
      </c>
      <c r="J1233" t="str">
        <f>VLOOKUP(A1233, [1]Orders!A:E, 4, FALSE)</f>
        <v>Gujarat</v>
      </c>
      <c r="K1233" t="str">
        <f>VLOOKUP(A1233, [1]Orders!A:E, 5, FALSE)</f>
        <v>Ahmedabad</v>
      </c>
    </row>
    <row r="1234" spans="1:11" x14ac:dyDescent="0.5">
      <c r="A1234" t="s">
        <v>260</v>
      </c>
      <c r="B1234">
        <v>30</v>
      </c>
      <c r="C1234">
        <v>6</v>
      </c>
      <c r="D1234">
        <v>1</v>
      </c>
      <c r="E1234" t="s">
        <v>23</v>
      </c>
      <c r="F1234" t="s">
        <v>81</v>
      </c>
      <c r="G1234" t="s">
        <v>10</v>
      </c>
      <c r="H1234" s="1">
        <f>VLOOKUP(A1234, [1]Orders!A:B, 2, FALSE)</f>
        <v>43155</v>
      </c>
      <c r="I1234" t="str">
        <f>VLOOKUP(A1234, [1]Orders!A:E, 3, FALSE)</f>
        <v>Pooja</v>
      </c>
      <c r="J1234" t="str">
        <f>VLOOKUP(A1234, [1]Orders!A:E, 4, FALSE)</f>
        <v>Bihar</v>
      </c>
      <c r="K1234" t="str">
        <f>VLOOKUP(A1234, [1]Orders!A:E, 5, FALSE)</f>
        <v>Patna</v>
      </c>
    </row>
    <row r="1235" spans="1:11" x14ac:dyDescent="0.5">
      <c r="A1235" t="s">
        <v>37</v>
      </c>
      <c r="B1235">
        <v>40</v>
      </c>
      <c r="C1235">
        <v>0</v>
      </c>
      <c r="D1235">
        <v>3</v>
      </c>
      <c r="E1235" t="s">
        <v>23</v>
      </c>
      <c r="F1235" t="s">
        <v>26</v>
      </c>
      <c r="G1235" t="s">
        <v>19</v>
      </c>
      <c r="H1235" s="1">
        <f>VLOOKUP(A1235, [1]Orders!A:B, 2, FALSE)</f>
        <v>43337</v>
      </c>
      <c r="I1235" t="str">
        <f>VLOOKUP(A1235, [1]Orders!A:E, 3, FALSE)</f>
        <v>Madhav</v>
      </c>
      <c r="J1235" t="str">
        <f>VLOOKUP(A1235, [1]Orders!A:E, 4, FALSE)</f>
        <v>Uttar Pradesh</v>
      </c>
      <c r="K1235" t="str">
        <f>VLOOKUP(A1235, [1]Orders!A:E, 5, FALSE)</f>
        <v>Mathura</v>
      </c>
    </row>
    <row r="1236" spans="1:11" x14ac:dyDescent="0.5">
      <c r="A1236" t="s">
        <v>262</v>
      </c>
      <c r="B1236">
        <v>534</v>
      </c>
      <c r="C1236">
        <v>5</v>
      </c>
      <c r="D1236">
        <v>2</v>
      </c>
      <c r="E1236" t="s">
        <v>8</v>
      </c>
      <c r="F1236" t="s">
        <v>9</v>
      </c>
      <c r="G1236" t="s">
        <v>82</v>
      </c>
      <c r="H1236" s="1">
        <f>VLOOKUP(A1236, [1]Orders!A:B, 2, FALSE)</f>
        <v>43326</v>
      </c>
      <c r="I1236" t="str">
        <f>VLOOKUP(A1236, [1]Orders!A:E, 3, FALSE)</f>
        <v>Nishant</v>
      </c>
      <c r="J1236" t="str">
        <f>VLOOKUP(A1236, [1]Orders!A:E, 4, FALSE)</f>
        <v>Maharashtra</v>
      </c>
      <c r="K1236" t="str">
        <f>VLOOKUP(A1236, [1]Orders!A:E, 5, FALSE)</f>
        <v>Mumbai</v>
      </c>
    </row>
    <row r="1237" spans="1:11" x14ac:dyDescent="0.5">
      <c r="A1237" t="s">
        <v>141</v>
      </c>
      <c r="B1237">
        <v>539</v>
      </c>
      <c r="C1237">
        <v>-146</v>
      </c>
      <c r="D1237">
        <v>7</v>
      </c>
      <c r="E1237" t="s">
        <v>12</v>
      </c>
      <c r="F1237" t="s">
        <v>131</v>
      </c>
      <c r="G1237" t="s">
        <v>82</v>
      </c>
      <c r="H1237" s="1">
        <f>VLOOKUP(A1237, [1]Orders!A:B, 2, FALSE)</f>
        <v>43326</v>
      </c>
      <c r="I1237" t="str">
        <f>VLOOKUP(A1237, [1]Orders!A:E, 3, FALSE)</f>
        <v>Priyanshu</v>
      </c>
      <c r="J1237" t="str">
        <f>VLOOKUP(A1237, [1]Orders!A:E, 4, FALSE)</f>
        <v>Madhya Pradesh</v>
      </c>
      <c r="K1237" t="str">
        <f>VLOOKUP(A1237, [1]Orders!A:E, 5, FALSE)</f>
        <v>Indore</v>
      </c>
    </row>
    <row r="1238" spans="1:11" x14ac:dyDescent="0.5">
      <c r="A1238" t="s">
        <v>497</v>
      </c>
      <c r="B1238">
        <v>490</v>
      </c>
      <c r="C1238">
        <v>-128</v>
      </c>
      <c r="D1238">
        <v>8</v>
      </c>
      <c r="E1238" t="s">
        <v>12</v>
      </c>
      <c r="F1238" t="s">
        <v>16</v>
      </c>
      <c r="G1238" t="s">
        <v>28</v>
      </c>
      <c r="H1238" s="1">
        <f>VLOOKUP(A1238, [1]Orders!A:B, 2, FALSE)</f>
        <v>43302</v>
      </c>
      <c r="I1238" t="str">
        <f>VLOOKUP(A1238, [1]Orders!A:E, 3, FALSE)</f>
        <v>Kiran</v>
      </c>
      <c r="J1238" t="str">
        <f>VLOOKUP(A1238, [1]Orders!A:E, 4, FALSE)</f>
        <v>Maharashtra</v>
      </c>
      <c r="K1238" t="str">
        <f>VLOOKUP(A1238, [1]Orders!A:E, 5, FALSE)</f>
        <v>Mumbai</v>
      </c>
    </row>
    <row r="1239" spans="1:11" x14ac:dyDescent="0.5">
      <c r="A1239" t="s">
        <v>55</v>
      </c>
      <c r="B1239">
        <v>163</v>
      </c>
      <c r="C1239">
        <v>81</v>
      </c>
      <c r="D1239">
        <v>2</v>
      </c>
      <c r="E1239" t="s">
        <v>8</v>
      </c>
      <c r="F1239" t="s">
        <v>73</v>
      </c>
      <c r="G1239" t="s">
        <v>10</v>
      </c>
      <c r="H1239" s="1">
        <f>VLOOKUP(A1239, [1]Orders!A:B, 2, FALSE)</f>
        <v>43163</v>
      </c>
      <c r="I1239" t="str">
        <f>VLOOKUP(A1239, [1]Orders!A:E, 3, FALSE)</f>
        <v>Parth</v>
      </c>
      <c r="J1239" t="str">
        <f>VLOOKUP(A1239, [1]Orders!A:E, 4, FALSE)</f>
        <v>Maharashtra</v>
      </c>
      <c r="K1239" t="str">
        <f>VLOOKUP(A1239, [1]Orders!A:E, 5, FALSE)</f>
        <v>Pune</v>
      </c>
    </row>
    <row r="1240" spans="1:11" x14ac:dyDescent="0.5">
      <c r="A1240" t="s">
        <v>88</v>
      </c>
      <c r="B1240">
        <v>184</v>
      </c>
      <c r="C1240">
        <v>85</v>
      </c>
      <c r="D1240">
        <v>6</v>
      </c>
      <c r="E1240" t="s">
        <v>23</v>
      </c>
      <c r="F1240" t="s">
        <v>81</v>
      </c>
      <c r="G1240" t="s">
        <v>28</v>
      </c>
      <c r="H1240" s="1">
        <f>VLOOKUP(A1240, [1]Orders!A:B, 2, FALSE)</f>
        <v>43166</v>
      </c>
      <c r="I1240" t="str">
        <f>VLOOKUP(A1240, [1]Orders!A:E, 3, FALSE)</f>
        <v>Parishi</v>
      </c>
      <c r="J1240" t="str">
        <f>VLOOKUP(A1240, [1]Orders!A:E, 4, FALSE)</f>
        <v>West Bengal</v>
      </c>
      <c r="K1240" t="str">
        <f>VLOOKUP(A1240, [1]Orders!A:E, 5, FALSE)</f>
        <v>Kolkata</v>
      </c>
    </row>
    <row r="1241" spans="1:11" x14ac:dyDescent="0.5">
      <c r="A1241" t="s">
        <v>440</v>
      </c>
      <c r="B1241">
        <v>494</v>
      </c>
      <c r="C1241">
        <v>54</v>
      </c>
      <c r="D1241">
        <v>4</v>
      </c>
      <c r="E1241" t="s">
        <v>12</v>
      </c>
      <c r="F1241" t="s">
        <v>16</v>
      </c>
      <c r="G1241" t="s">
        <v>10</v>
      </c>
      <c r="H1241" s="1">
        <f>VLOOKUP(A1241, [1]Orders!A:B, 2, FALSE)</f>
        <v>43203</v>
      </c>
      <c r="I1241" t="str">
        <f>VLOOKUP(A1241, [1]Orders!A:E, 3, FALSE)</f>
        <v>Vandana</v>
      </c>
      <c r="J1241" t="str">
        <f>VLOOKUP(A1241, [1]Orders!A:E, 4, FALSE)</f>
        <v>Himachal Pradesh</v>
      </c>
      <c r="K1241" t="str">
        <f>VLOOKUP(A1241, [1]Orders!A:E, 5, FALSE)</f>
        <v>Simla</v>
      </c>
    </row>
    <row r="1242" spans="1:11" x14ac:dyDescent="0.5">
      <c r="A1242" t="s">
        <v>498</v>
      </c>
      <c r="B1242">
        <v>30</v>
      </c>
      <c r="C1242">
        <v>11</v>
      </c>
      <c r="D1242">
        <v>5</v>
      </c>
      <c r="E1242" t="s">
        <v>23</v>
      </c>
      <c r="F1242" t="s">
        <v>30</v>
      </c>
      <c r="G1242" t="s">
        <v>10</v>
      </c>
      <c r="H1242" s="1">
        <f>VLOOKUP(A1242, [1]Orders!A:B, 2, FALSE)</f>
        <v>43445</v>
      </c>
      <c r="I1242" t="str">
        <f>VLOOKUP(A1242, [1]Orders!A:E, 3, FALSE)</f>
        <v>Jaydeep</v>
      </c>
      <c r="J1242" t="str">
        <f>VLOOKUP(A1242, [1]Orders!A:E, 4, FALSE)</f>
        <v>Madhya Pradesh</v>
      </c>
      <c r="K1242" t="str">
        <f>VLOOKUP(A1242, [1]Orders!A:E, 5, FALSE)</f>
        <v>Bhopal</v>
      </c>
    </row>
    <row r="1243" spans="1:11" x14ac:dyDescent="0.5">
      <c r="A1243" t="s">
        <v>420</v>
      </c>
      <c r="B1243">
        <v>30</v>
      </c>
      <c r="C1243">
        <v>0</v>
      </c>
      <c r="D1243">
        <v>1</v>
      </c>
      <c r="E1243" t="s">
        <v>23</v>
      </c>
      <c r="F1243" t="s">
        <v>32</v>
      </c>
      <c r="G1243" t="s">
        <v>10</v>
      </c>
      <c r="H1243" s="1">
        <f>VLOOKUP(A1243, [1]Orders!A:B, 2, FALSE)</f>
        <v>43365</v>
      </c>
      <c r="I1243" t="str">
        <f>VLOOKUP(A1243, [1]Orders!A:E, 3, FALSE)</f>
        <v>Akshay</v>
      </c>
      <c r="J1243" t="str">
        <f>VLOOKUP(A1243, [1]Orders!A:E, 4, FALSE)</f>
        <v>Uttar Pradesh</v>
      </c>
      <c r="K1243" t="str">
        <f>VLOOKUP(A1243, [1]Orders!A:E, 5, FALSE)</f>
        <v>Lucknow</v>
      </c>
    </row>
    <row r="1244" spans="1:11" x14ac:dyDescent="0.5">
      <c r="A1244" t="s">
        <v>61</v>
      </c>
      <c r="B1244">
        <v>39</v>
      </c>
      <c r="C1244">
        <v>-18</v>
      </c>
      <c r="D1244">
        <v>2</v>
      </c>
      <c r="E1244" t="s">
        <v>23</v>
      </c>
      <c r="F1244" t="s">
        <v>63</v>
      </c>
      <c r="G1244" t="s">
        <v>19</v>
      </c>
      <c r="H1244" s="1">
        <f>VLOOKUP(A1244, [1]Orders!A:B, 2, FALSE)</f>
        <v>43187</v>
      </c>
      <c r="I1244" t="str">
        <f>VLOOKUP(A1244, [1]Orders!A:E, 3, FALSE)</f>
        <v>Vini</v>
      </c>
      <c r="J1244" t="str">
        <f>VLOOKUP(A1244, [1]Orders!A:E, 4, FALSE)</f>
        <v>Karnataka</v>
      </c>
      <c r="K1244" t="str">
        <f>VLOOKUP(A1244, [1]Orders!A:E, 5, FALSE)</f>
        <v>Bangalore</v>
      </c>
    </row>
    <row r="1245" spans="1:11" x14ac:dyDescent="0.5">
      <c r="A1245" t="s">
        <v>306</v>
      </c>
      <c r="B1245">
        <v>1700</v>
      </c>
      <c r="C1245">
        <v>85</v>
      </c>
      <c r="D1245">
        <v>3</v>
      </c>
      <c r="E1245" t="s">
        <v>23</v>
      </c>
      <c r="F1245" t="s">
        <v>24</v>
      </c>
      <c r="G1245" t="s">
        <v>10</v>
      </c>
      <c r="H1245" s="1">
        <f>VLOOKUP(A1245, [1]Orders!A:B, 2, FALSE)</f>
        <v>43444</v>
      </c>
      <c r="I1245" t="str">
        <f>VLOOKUP(A1245, [1]Orders!A:E, 3, FALSE)</f>
        <v>Ishpreet</v>
      </c>
      <c r="J1245" t="str">
        <f>VLOOKUP(A1245, [1]Orders!A:E, 4, FALSE)</f>
        <v>Maharashtra</v>
      </c>
      <c r="K1245" t="str">
        <f>VLOOKUP(A1245, [1]Orders!A:E, 5, FALSE)</f>
        <v>Mumbai</v>
      </c>
    </row>
    <row r="1246" spans="1:11" x14ac:dyDescent="0.5">
      <c r="A1246" t="s">
        <v>143</v>
      </c>
      <c r="B1246">
        <v>332</v>
      </c>
      <c r="C1246">
        <v>-43</v>
      </c>
      <c r="D1246">
        <v>6</v>
      </c>
      <c r="E1246" t="s">
        <v>8</v>
      </c>
      <c r="F1246" t="s">
        <v>21</v>
      </c>
      <c r="G1246" t="s">
        <v>28</v>
      </c>
      <c r="H1246" s="1">
        <f>VLOOKUP(A1246, [1]Orders!A:B, 2, FALSE)</f>
        <v>43233</v>
      </c>
      <c r="I1246" t="str">
        <f>VLOOKUP(A1246, [1]Orders!A:E, 3, FALSE)</f>
        <v>Tulika</v>
      </c>
      <c r="J1246" t="str">
        <f>VLOOKUP(A1246, [1]Orders!A:E, 4, FALSE)</f>
        <v>Madhya Pradesh</v>
      </c>
      <c r="K1246" t="str">
        <f>VLOOKUP(A1246, [1]Orders!A:E, 5, FALSE)</f>
        <v>Bhopal</v>
      </c>
    </row>
    <row r="1247" spans="1:11" x14ac:dyDescent="0.5">
      <c r="A1247" t="s">
        <v>234</v>
      </c>
      <c r="B1247">
        <v>436</v>
      </c>
      <c r="C1247">
        <v>131</v>
      </c>
      <c r="D1247">
        <v>9</v>
      </c>
      <c r="E1247" t="s">
        <v>23</v>
      </c>
      <c r="F1247" t="s">
        <v>30</v>
      </c>
      <c r="G1247" t="s">
        <v>28</v>
      </c>
      <c r="H1247" s="1">
        <f>VLOOKUP(A1247, [1]Orders!A:B, 2, FALSE)</f>
        <v>43412</v>
      </c>
      <c r="I1247" t="str">
        <f>VLOOKUP(A1247, [1]Orders!A:E, 3, FALSE)</f>
        <v>Shubham</v>
      </c>
      <c r="J1247" t="str">
        <f>VLOOKUP(A1247, [1]Orders!A:E, 4, FALSE)</f>
        <v>Maharashtra</v>
      </c>
      <c r="K1247" t="str">
        <f>VLOOKUP(A1247, [1]Orders!A:E, 5, FALSE)</f>
        <v>Pune</v>
      </c>
    </row>
    <row r="1248" spans="1:11" x14ac:dyDescent="0.5">
      <c r="A1248" t="s">
        <v>265</v>
      </c>
      <c r="B1248">
        <v>30</v>
      </c>
      <c r="C1248">
        <v>-5</v>
      </c>
      <c r="D1248">
        <v>2</v>
      </c>
      <c r="E1248" t="s">
        <v>12</v>
      </c>
      <c r="F1248" t="s">
        <v>131</v>
      </c>
      <c r="G1248" t="s">
        <v>10</v>
      </c>
      <c r="H1248" s="1">
        <f>VLOOKUP(A1248, [1]Orders!A:B, 2, FALSE)</f>
        <v>43199</v>
      </c>
      <c r="I1248" t="str">
        <f>VLOOKUP(A1248, [1]Orders!A:E, 3, FALSE)</f>
        <v>Yogesh</v>
      </c>
      <c r="J1248" t="str">
        <f>VLOOKUP(A1248, [1]Orders!A:E, 4, FALSE)</f>
        <v>Bihar</v>
      </c>
      <c r="K1248" t="str">
        <f>VLOOKUP(A1248, [1]Orders!A:E, 5, FALSE)</f>
        <v>Patna</v>
      </c>
    </row>
    <row r="1249" spans="1:11" x14ac:dyDescent="0.5">
      <c r="A1249" t="s">
        <v>266</v>
      </c>
      <c r="B1249">
        <v>30</v>
      </c>
      <c r="C1249">
        <v>-10</v>
      </c>
      <c r="D1249">
        <v>2</v>
      </c>
      <c r="E1249" t="s">
        <v>23</v>
      </c>
      <c r="F1249" t="s">
        <v>57</v>
      </c>
      <c r="G1249" t="s">
        <v>10</v>
      </c>
      <c r="H1249" s="1">
        <f>VLOOKUP(A1249, [1]Orders!A:B, 2, FALSE)</f>
        <v>43309</v>
      </c>
      <c r="I1249" t="str">
        <f>VLOOKUP(A1249, [1]Orders!A:E, 3, FALSE)</f>
        <v>Dhirajendu</v>
      </c>
      <c r="J1249" t="str">
        <f>VLOOKUP(A1249, [1]Orders!A:E, 4, FALSE)</f>
        <v>Maharashtra</v>
      </c>
      <c r="K1249" t="str">
        <f>VLOOKUP(A1249, [1]Orders!A:E, 5, FALSE)</f>
        <v>Mumbai</v>
      </c>
    </row>
    <row r="1250" spans="1:11" x14ac:dyDescent="0.5">
      <c r="A1250" t="s">
        <v>208</v>
      </c>
      <c r="B1250">
        <v>38</v>
      </c>
      <c r="C1250">
        <v>-13</v>
      </c>
      <c r="D1250">
        <v>3</v>
      </c>
      <c r="E1250" t="s">
        <v>23</v>
      </c>
      <c r="F1250" t="s">
        <v>57</v>
      </c>
      <c r="G1250" t="s">
        <v>19</v>
      </c>
      <c r="H1250" s="1">
        <f>VLOOKUP(A1250, [1]Orders!A:B, 2, FALSE)</f>
        <v>43374</v>
      </c>
      <c r="I1250" t="str">
        <f>VLOOKUP(A1250, [1]Orders!A:E, 3, FALSE)</f>
        <v>Shishu</v>
      </c>
      <c r="J1250" t="str">
        <f>VLOOKUP(A1250, [1]Orders!A:E, 4, FALSE)</f>
        <v>Andhra Pradesh</v>
      </c>
      <c r="K1250" t="str">
        <f>VLOOKUP(A1250, [1]Orders!A:E, 5, FALSE)</f>
        <v>Hyderabad</v>
      </c>
    </row>
    <row r="1251" spans="1:11" x14ac:dyDescent="0.5">
      <c r="A1251" t="s">
        <v>172</v>
      </c>
      <c r="B1251">
        <v>511</v>
      </c>
      <c r="C1251">
        <v>194</v>
      </c>
      <c r="D1251">
        <v>3</v>
      </c>
      <c r="E1251" t="s">
        <v>12</v>
      </c>
      <c r="F1251" t="s">
        <v>13</v>
      </c>
      <c r="G1251" t="s">
        <v>28</v>
      </c>
      <c r="H1251" s="1">
        <f>VLOOKUP(A1251, [1]Orders!A:B, 2, FALSE)</f>
        <v>43378</v>
      </c>
      <c r="I1251" t="str">
        <f>VLOOKUP(A1251, [1]Orders!A:E, 3, FALSE)</f>
        <v>Shivanshu</v>
      </c>
      <c r="J1251" t="str">
        <f>VLOOKUP(A1251, [1]Orders!A:E, 4, FALSE)</f>
        <v>Madhya Pradesh</v>
      </c>
      <c r="K1251" t="str">
        <f>VLOOKUP(A1251, [1]Orders!A:E, 5, FALSE)</f>
        <v>Indore</v>
      </c>
    </row>
    <row r="1252" spans="1:11" x14ac:dyDescent="0.5">
      <c r="A1252" t="s">
        <v>67</v>
      </c>
      <c r="B1252">
        <v>37</v>
      </c>
      <c r="C1252">
        <v>-53</v>
      </c>
      <c r="D1252">
        <v>3</v>
      </c>
      <c r="E1252" t="s">
        <v>23</v>
      </c>
      <c r="F1252" t="s">
        <v>26</v>
      </c>
      <c r="G1252" t="s">
        <v>19</v>
      </c>
      <c r="H1252" s="1">
        <f>VLOOKUP(A1252, [1]Orders!A:B, 2, FALSE)</f>
        <v>43331</v>
      </c>
      <c r="I1252" t="str">
        <f>VLOOKUP(A1252, [1]Orders!A:E, 3, FALSE)</f>
        <v>Shourya</v>
      </c>
      <c r="J1252" t="str">
        <f>VLOOKUP(A1252, [1]Orders!A:E, 4, FALSE)</f>
        <v xml:space="preserve">Kerala </v>
      </c>
      <c r="K1252" t="str">
        <f>VLOOKUP(A1252, [1]Orders!A:E, 5, FALSE)</f>
        <v>Thiruvananthapuram</v>
      </c>
    </row>
    <row r="1253" spans="1:11" x14ac:dyDescent="0.5">
      <c r="A1253" t="s">
        <v>111</v>
      </c>
      <c r="B1253">
        <v>513</v>
      </c>
      <c r="C1253">
        <v>215</v>
      </c>
      <c r="D1253">
        <v>2</v>
      </c>
      <c r="E1253" t="s">
        <v>8</v>
      </c>
      <c r="F1253" t="s">
        <v>73</v>
      </c>
      <c r="G1253" t="s">
        <v>10</v>
      </c>
      <c r="H1253" s="1">
        <f>VLOOKUP(A1253, [1]Orders!A:B, 2, FALSE)</f>
        <v>43409</v>
      </c>
      <c r="I1253" t="str">
        <f>VLOOKUP(A1253, [1]Orders!A:E, 3, FALSE)</f>
        <v>Abhishek</v>
      </c>
      <c r="J1253" t="str">
        <f>VLOOKUP(A1253, [1]Orders!A:E, 4, FALSE)</f>
        <v>Goa</v>
      </c>
      <c r="K1253" t="str">
        <f>VLOOKUP(A1253, [1]Orders!A:E, 5, FALSE)</f>
        <v>Goa</v>
      </c>
    </row>
    <row r="1254" spans="1:11" x14ac:dyDescent="0.5">
      <c r="A1254" t="s">
        <v>100</v>
      </c>
      <c r="B1254">
        <v>516</v>
      </c>
      <c r="C1254">
        <v>69</v>
      </c>
      <c r="D1254">
        <v>4</v>
      </c>
      <c r="E1254" t="s">
        <v>12</v>
      </c>
      <c r="F1254" t="s">
        <v>16</v>
      </c>
      <c r="G1254" t="s">
        <v>28</v>
      </c>
      <c r="H1254" s="1">
        <f>VLOOKUP(A1254, [1]Orders!A:B, 2, FALSE)</f>
        <v>43243</v>
      </c>
      <c r="I1254" t="str">
        <f>VLOOKUP(A1254, [1]Orders!A:E, 3, FALSE)</f>
        <v>Anjali</v>
      </c>
      <c r="J1254" t="str">
        <f>VLOOKUP(A1254, [1]Orders!A:E, 4, FALSE)</f>
        <v>Haryana</v>
      </c>
      <c r="K1254" t="str">
        <f>VLOOKUP(A1254, [1]Orders!A:E, 5, FALSE)</f>
        <v>Chandigarh</v>
      </c>
    </row>
    <row r="1255" spans="1:11" x14ac:dyDescent="0.5">
      <c r="A1255" t="s">
        <v>163</v>
      </c>
      <c r="B1255">
        <v>559</v>
      </c>
      <c r="C1255">
        <v>-19</v>
      </c>
      <c r="D1255">
        <v>2</v>
      </c>
      <c r="E1255" t="s">
        <v>23</v>
      </c>
      <c r="F1255" t="s">
        <v>24</v>
      </c>
      <c r="G1255" t="s">
        <v>82</v>
      </c>
      <c r="H1255" s="1">
        <f>VLOOKUP(A1255, [1]Orders!A:B, 2, FALSE)</f>
        <v>43367</v>
      </c>
      <c r="I1255" t="str">
        <f>VLOOKUP(A1255, [1]Orders!A:E, 3, FALSE)</f>
        <v>Sukrith</v>
      </c>
      <c r="J1255" t="str">
        <f>VLOOKUP(A1255, [1]Orders!A:E, 4, FALSE)</f>
        <v>Maharashtra</v>
      </c>
      <c r="K1255" t="str">
        <f>VLOOKUP(A1255, [1]Orders!A:E, 5, FALSE)</f>
        <v>Mumbai</v>
      </c>
    </row>
    <row r="1256" spans="1:11" x14ac:dyDescent="0.5">
      <c r="A1256" t="s">
        <v>499</v>
      </c>
      <c r="B1256">
        <v>29</v>
      </c>
      <c r="C1256">
        <v>-10</v>
      </c>
      <c r="D1256">
        <v>3</v>
      </c>
      <c r="E1256" t="s">
        <v>23</v>
      </c>
      <c r="F1256" t="s">
        <v>43</v>
      </c>
      <c r="G1256" t="s">
        <v>10</v>
      </c>
      <c r="H1256" s="1">
        <f>VLOOKUP(A1256, [1]Orders!A:B, 2, FALSE)</f>
        <v>43144</v>
      </c>
      <c r="I1256" t="str">
        <f>VLOOKUP(A1256, [1]Orders!A:E, 3, FALSE)</f>
        <v>Jahan</v>
      </c>
      <c r="J1256" t="str">
        <f>VLOOKUP(A1256, [1]Orders!A:E, 4, FALSE)</f>
        <v>Madhya Pradesh</v>
      </c>
      <c r="K1256" t="str">
        <f>VLOOKUP(A1256, [1]Orders!A:E, 5, FALSE)</f>
        <v>Bhopal</v>
      </c>
    </row>
    <row r="1257" spans="1:11" x14ac:dyDescent="0.5">
      <c r="A1257" t="s">
        <v>400</v>
      </c>
      <c r="B1257">
        <v>148</v>
      </c>
      <c r="C1257">
        <v>52</v>
      </c>
      <c r="D1257">
        <v>5</v>
      </c>
      <c r="E1257" t="s">
        <v>23</v>
      </c>
      <c r="F1257" t="s">
        <v>57</v>
      </c>
      <c r="G1257" t="s">
        <v>28</v>
      </c>
      <c r="H1257" s="1">
        <f>VLOOKUP(A1257, [1]Orders!A:B, 2, FALSE)</f>
        <v>43259</v>
      </c>
      <c r="I1257" t="str">
        <f>VLOOKUP(A1257, [1]Orders!A:E, 3, FALSE)</f>
        <v>Shreya</v>
      </c>
      <c r="J1257" t="str">
        <f>VLOOKUP(A1257, [1]Orders!A:E, 4, FALSE)</f>
        <v xml:space="preserve">Kerala </v>
      </c>
      <c r="K1257" t="str">
        <f>VLOOKUP(A1257, [1]Orders!A:E, 5, FALSE)</f>
        <v>Thiruvananthapuram</v>
      </c>
    </row>
    <row r="1258" spans="1:11" x14ac:dyDescent="0.5">
      <c r="A1258" t="s">
        <v>273</v>
      </c>
      <c r="B1258">
        <v>559</v>
      </c>
      <c r="C1258">
        <v>-174</v>
      </c>
      <c r="D1258">
        <v>2</v>
      </c>
      <c r="E1258" t="s">
        <v>8</v>
      </c>
      <c r="F1258" t="s">
        <v>9</v>
      </c>
      <c r="G1258" t="s">
        <v>82</v>
      </c>
      <c r="H1258" s="1">
        <f>VLOOKUP(A1258, [1]Orders!A:B, 2, FALSE)</f>
        <v>43169</v>
      </c>
      <c r="I1258" t="str">
        <f>VLOOKUP(A1258, [1]Orders!A:E, 3, FALSE)</f>
        <v>Mayank</v>
      </c>
      <c r="J1258" t="str">
        <f>VLOOKUP(A1258, [1]Orders!A:E, 4, FALSE)</f>
        <v>Maharashtra</v>
      </c>
      <c r="K1258" t="str">
        <f>VLOOKUP(A1258, [1]Orders!A:E, 5, FALSE)</f>
        <v>Mumbai</v>
      </c>
    </row>
    <row r="1259" spans="1:11" x14ac:dyDescent="0.5">
      <c r="A1259" t="s">
        <v>299</v>
      </c>
      <c r="B1259">
        <v>527</v>
      </c>
      <c r="C1259">
        <v>26</v>
      </c>
      <c r="D1259">
        <v>3</v>
      </c>
      <c r="E1259" t="s">
        <v>8</v>
      </c>
      <c r="F1259" t="s">
        <v>9</v>
      </c>
      <c r="G1259" t="s">
        <v>10</v>
      </c>
      <c r="H1259" s="1">
        <f>VLOOKUP(A1259, [1]Orders!A:B, 2, FALSE)</f>
        <v>43142</v>
      </c>
      <c r="I1259" t="str">
        <f>VLOOKUP(A1259, [1]Orders!A:E, 3, FALSE)</f>
        <v>Kartikay</v>
      </c>
      <c r="J1259" t="str">
        <f>VLOOKUP(A1259, [1]Orders!A:E, 4, FALSE)</f>
        <v>Bihar</v>
      </c>
      <c r="K1259" t="str">
        <f>VLOOKUP(A1259, [1]Orders!A:E, 5, FALSE)</f>
        <v>Patna</v>
      </c>
    </row>
    <row r="1260" spans="1:11" x14ac:dyDescent="0.5">
      <c r="A1260" t="s">
        <v>300</v>
      </c>
      <c r="B1260">
        <v>560</v>
      </c>
      <c r="C1260">
        <v>44</v>
      </c>
      <c r="D1260">
        <v>3</v>
      </c>
      <c r="E1260" t="s">
        <v>23</v>
      </c>
      <c r="F1260" t="s">
        <v>26</v>
      </c>
      <c r="G1260" t="s">
        <v>82</v>
      </c>
      <c r="H1260" s="1">
        <f>VLOOKUP(A1260, [1]Orders!A:B, 2, FALSE)</f>
        <v>43127</v>
      </c>
      <c r="I1260" t="str">
        <f>VLOOKUP(A1260, [1]Orders!A:E, 3, FALSE)</f>
        <v>Shivangi</v>
      </c>
      <c r="J1260" t="str">
        <f>VLOOKUP(A1260, [1]Orders!A:E, 4, FALSE)</f>
        <v>Madhya Pradesh</v>
      </c>
      <c r="K1260" t="str">
        <f>VLOOKUP(A1260, [1]Orders!A:E, 5, FALSE)</f>
        <v>Indore</v>
      </c>
    </row>
    <row r="1261" spans="1:11" x14ac:dyDescent="0.5">
      <c r="A1261" t="s">
        <v>225</v>
      </c>
      <c r="B1261">
        <v>571</v>
      </c>
      <c r="C1261">
        <v>108</v>
      </c>
      <c r="D1261">
        <v>12</v>
      </c>
      <c r="E1261" t="s">
        <v>23</v>
      </c>
      <c r="F1261" t="s">
        <v>57</v>
      </c>
      <c r="G1261" t="s">
        <v>82</v>
      </c>
      <c r="H1261" s="1">
        <f>VLOOKUP(A1261, [1]Orders!A:B, 2, FALSE)</f>
        <v>43124</v>
      </c>
      <c r="I1261" t="str">
        <f>VLOOKUP(A1261, [1]Orders!A:E, 3, FALSE)</f>
        <v>Madan Mohan</v>
      </c>
      <c r="J1261" t="str">
        <f>VLOOKUP(A1261, [1]Orders!A:E, 4, FALSE)</f>
        <v>Uttar Pradesh</v>
      </c>
      <c r="K1261" t="str">
        <f>VLOOKUP(A1261, [1]Orders!A:E, 5, FALSE)</f>
        <v>Mathura</v>
      </c>
    </row>
    <row r="1262" spans="1:11" x14ac:dyDescent="0.5">
      <c r="A1262" t="s">
        <v>500</v>
      </c>
      <c r="B1262">
        <v>29</v>
      </c>
      <c r="C1262">
        <v>2</v>
      </c>
      <c r="D1262">
        <v>3</v>
      </c>
      <c r="E1262" t="s">
        <v>23</v>
      </c>
      <c r="F1262" t="s">
        <v>43</v>
      </c>
      <c r="G1262" t="s">
        <v>10</v>
      </c>
      <c r="H1262" s="1">
        <f>VLOOKUP(A1262, [1]Orders!A:B, 2, FALSE)</f>
        <v>43125</v>
      </c>
      <c r="I1262" t="str">
        <f>VLOOKUP(A1262, [1]Orders!A:E, 3, FALSE)</f>
        <v>Priyanka</v>
      </c>
      <c r="J1262" t="str">
        <f>VLOOKUP(A1262, [1]Orders!A:E, 4, FALSE)</f>
        <v>Uttar Pradesh</v>
      </c>
      <c r="K1262" t="str">
        <f>VLOOKUP(A1262, [1]Orders!A:E, 5, FALSE)</f>
        <v>Prayagraj</v>
      </c>
    </row>
    <row r="1263" spans="1:11" x14ac:dyDescent="0.5">
      <c r="A1263" t="s">
        <v>299</v>
      </c>
      <c r="B1263">
        <v>29</v>
      </c>
      <c r="C1263">
        <v>3</v>
      </c>
      <c r="D1263">
        <v>2</v>
      </c>
      <c r="E1263" t="s">
        <v>23</v>
      </c>
      <c r="F1263" t="s">
        <v>57</v>
      </c>
      <c r="G1263" t="s">
        <v>10</v>
      </c>
      <c r="H1263" s="1">
        <f>VLOOKUP(A1263, [1]Orders!A:B, 2, FALSE)</f>
        <v>43142</v>
      </c>
      <c r="I1263" t="str">
        <f>VLOOKUP(A1263, [1]Orders!A:E, 3, FALSE)</f>
        <v>Kartikay</v>
      </c>
      <c r="J1263" t="str">
        <f>VLOOKUP(A1263, [1]Orders!A:E, 4, FALSE)</f>
        <v>Bihar</v>
      </c>
      <c r="K1263" t="str">
        <f>VLOOKUP(A1263, [1]Orders!A:E, 5, FALSE)</f>
        <v>Patna</v>
      </c>
    </row>
    <row r="1264" spans="1:11" x14ac:dyDescent="0.5">
      <c r="A1264" t="s">
        <v>284</v>
      </c>
      <c r="B1264">
        <v>29</v>
      </c>
      <c r="C1264">
        <v>-3</v>
      </c>
      <c r="D1264">
        <v>3</v>
      </c>
      <c r="E1264" t="s">
        <v>23</v>
      </c>
      <c r="F1264" t="s">
        <v>26</v>
      </c>
      <c r="G1264" t="s">
        <v>10</v>
      </c>
      <c r="H1264" s="1">
        <f>VLOOKUP(A1264, [1]Orders!A:B, 2, FALSE)</f>
        <v>43343</v>
      </c>
      <c r="I1264" t="str">
        <f>VLOOKUP(A1264, [1]Orders!A:E, 3, FALSE)</f>
        <v>Ashmeet</v>
      </c>
      <c r="J1264" t="str">
        <f>VLOOKUP(A1264, [1]Orders!A:E, 4, FALSE)</f>
        <v>West Bengal</v>
      </c>
      <c r="K1264" t="str">
        <f>VLOOKUP(A1264, [1]Orders!A:E, 5, FALSE)</f>
        <v>Kolkata</v>
      </c>
    </row>
    <row r="1265" spans="1:11" x14ac:dyDescent="0.5">
      <c r="A1265" t="s">
        <v>501</v>
      </c>
      <c r="B1265">
        <v>35</v>
      </c>
      <c r="C1265">
        <v>14</v>
      </c>
      <c r="D1265">
        <v>2</v>
      </c>
      <c r="E1265" t="s">
        <v>23</v>
      </c>
      <c r="F1265" t="s">
        <v>57</v>
      </c>
      <c r="G1265" t="s">
        <v>19</v>
      </c>
      <c r="H1265" s="1">
        <f>VLOOKUP(A1265, [1]Orders!A:B, 2, FALSE)</f>
        <v>43383</v>
      </c>
      <c r="I1265" t="str">
        <f>VLOOKUP(A1265, [1]Orders!A:E, 3, FALSE)</f>
        <v>Harsh</v>
      </c>
      <c r="J1265" t="str">
        <f>VLOOKUP(A1265, [1]Orders!A:E, 4, FALSE)</f>
        <v>Nagaland</v>
      </c>
      <c r="K1265" t="str">
        <f>VLOOKUP(A1265, [1]Orders!A:E, 5, FALSE)</f>
        <v>Kohima</v>
      </c>
    </row>
    <row r="1266" spans="1:11" x14ac:dyDescent="0.5">
      <c r="A1266" t="s">
        <v>41</v>
      </c>
      <c r="B1266">
        <v>579</v>
      </c>
      <c r="C1266">
        <v>139</v>
      </c>
      <c r="D1266">
        <v>3</v>
      </c>
      <c r="E1266" t="s">
        <v>8</v>
      </c>
      <c r="F1266" t="s">
        <v>18</v>
      </c>
      <c r="G1266" t="s">
        <v>82</v>
      </c>
      <c r="H1266" s="1">
        <f>VLOOKUP(A1266, [1]Orders!A:B, 2, FALSE)</f>
        <v>43412</v>
      </c>
      <c r="I1266" t="str">
        <f>VLOOKUP(A1266, [1]Orders!A:E, 3, FALSE)</f>
        <v>Gaurav</v>
      </c>
      <c r="J1266" t="str">
        <f>VLOOKUP(A1266, [1]Orders!A:E, 4, FALSE)</f>
        <v>Gujarat</v>
      </c>
      <c r="K1266" t="str">
        <f>VLOOKUP(A1266, [1]Orders!A:E, 5, FALSE)</f>
        <v>Ahmedabad</v>
      </c>
    </row>
    <row r="1267" spans="1:11" x14ac:dyDescent="0.5">
      <c r="A1267" t="s">
        <v>36</v>
      </c>
      <c r="B1267">
        <v>29</v>
      </c>
      <c r="C1267">
        <v>-24</v>
      </c>
      <c r="D1267">
        <v>4</v>
      </c>
      <c r="E1267" t="s">
        <v>23</v>
      </c>
      <c r="F1267" t="s">
        <v>63</v>
      </c>
      <c r="G1267" t="s">
        <v>10</v>
      </c>
      <c r="H1267" s="1">
        <f>VLOOKUP(A1267, [1]Orders!A:B, 2, FALSE)</f>
        <v>43332</v>
      </c>
      <c r="I1267" t="str">
        <f>VLOOKUP(A1267, [1]Orders!A:E, 3, FALSE)</f>
        <v>Mohan</v>
      </c>
      <c r="J1267" t="str">
        <f>VLOOKUP(A1267, [1]Orders!A:E, 4, FALSE)</f>
        <v>Maharashtra</v>
      </c>
      <c r="K1267" t="str">
        <f>VLOOKUP(A1267, [1]Orders!A:E, 5, FALSE)</f>
        <v>Mumbai</v>
      </c>
    </row>
    <row r="1268" spans="1:11" x14ac:dyDescent="0.5">
      <c r="A1268" t="s">
        <v>67</v>
      </c>
      <c r="B1268">
        <v>593</v>
      </c>
      <c r="C1268">
        <v>213</v>
      </c>
      <c r="D1268">
        <v>4</v>
      </c>
      <c r="E1268" t="s">
        <v>12</v>
      </c>
      <c r="F1268" t="s">
        <v>16</v>
      </c>
      <c r="G1268" t="s">
        <v>82</v>
      </c>
      <c r="H1268" s="1">
        <f>VLOOKUP(A1268, [1]Orders!A:B, 2, FALSE)</f>
        <v>43331</v>
      </c>
      <c r="I1268" t="str">
        <f>VLOOKUP(A1268, [1]Orders!A:E, 3, FALSE)</f>
        <v>Shourya</v>
      </c>
      <c r="J1268" t="str">
        <f>VLOOKUP(A1268, [1]Orders!A:E, 4, FALSE)</f>
        <v xml:space="preserve">Kerala </v>
      </c>
      <c r="K1268" t="str">
        <f>VLOOKUP(A1268, [1]Orders!A:E, 5, FALSE)</f>
        <v>Thiruvananthapuram</v>
      </c>
    </row>
    <row r="1269" spans="1:11" x14ac:dyDescent="0.5">
      <c r="A1269" t="s">
        <v>173</v>
      </c>
      <c r="B1269">
        <v>217</v>
      </c>
      <c r="C1269">
        <v>72</v>
      </c>
      <c r="D1269">
        <v>2</v>
      </c>
      <c r="E1269" t="s">
        <v>12</v>
      </c>
      <c r="F1269" t="s">
        <v>131</v>
      </c>
      <c r="G1269" t="s">
        <v>10</v>
      </c>
      <c r="H1269" s="1">
        <f>VLOOKUP(A1269, [1]Orders!A:B, 2, FALSE)</f>
        <v>43135</v>
      </c>
      <c r="I1269" t="str">
        <f>VLOOKUP(A1269, [1]Orders!A:E, 3, FALSE)</f>
        <v>Prashant</v>
      </c>
      <c r="J1269" t="str">
        <f>VLOOKUP(A1269, [1]Orders!A:E, 4, FALSE)</f>
        <v>Delhi</v>
      </c>
      <c r="K1269" t="str">
        <f>VLOOKUP(A1269, [1]Orders!A:E, 5, FALSE)</f>
        <v>Delhi</v>
      </c>
    </row>
    <row r="1270" spans="1:11" x14ac:dyDescent="0.5">
      <c r="A1270" t="s">
        <v>502</v>
      </c>
      <c r="B1270">
        <v>353</v>
      </c>
      <c r="C1270">
        <v>90</v>
      </c>
      <c r="D1270">
        <v>8</v>
      </c>
      <c r="E1270" t="s">
        <v>23</v>
      </c>
      <c r="F1270" t="s">
        <v>26</v>
      </c>
      <c r="G1270" t="s">
        <v>10</v>
      </c>
      <c r="H1270" s="1">
        <f>VLOOKUP(A1270, [1]Orders!A:B, 2, FALSE)</f>
        <v>43208</v>
      </c>
      <c r="I1270" t="str">
        <f>VLOOKUP(A1270, [1]Orders!A:E, 3, FALSE)</f>
        <v>Ramesh</v>
      </c>
      <c r="J1270" t="str">
        <f>VLOOKUP(A1270, [1]Orders!A:E, 4, FALSE)</f>
        <v>Gujarat</v>
      </c>
      <c r="K1270" t="str">
        <f>VLOOKUP(A1270, [1]Orders!A:E, 5, FALSE)</f>
        <v>Ahmedabad</v>
      </c>
    </row>
    <row r="1271" spans="1:11" x14ac:dyDescent="0.5">
      <c r="A1271" t="s">
        <v>230</v>
      </c>
      <c r="B1271">
        <v>382</v>
      </c>
      <c r="C1271">
        <v>92</v>
      </c>
      <c r="D1271">
        <v>2</v>
      </c>
      <c r="E1271" t="s">
        <v>8</v>
      </c>
      <c r="F1271" t="s">
        <v>18</v>
      </c>
      <c r="G1271" t="s">
        <v>10</v>
      </c>
      <c r="H1271" s="1">
        <f>VLOOKUP(A1271, [1]Orders!A:B, 2, FALSE)</f>
        <v>43165</v>
      </c>
      <c r="I1271" t="str">
        <f>VLOOKUP(A1271, [1]Orders!A:E, 3, FALSE)</f>
        <v>Paridhi</v>
      </c>
      <c r="J1271" t="str">
        <f>VLOOKUP(A1271, [1]Orders!A:E, 4, FALSE)</f>
        <v>Rajasthan</v>
      </c>
      <c r="K1271" t="str">
        <f>VLOOKUP(A1271, [1]Orders!A:E, 5, FALSE)</f>
        <v>Jaipur</v>
      </c>
    </row>
    <row r="1272" spans="1:11" x14ac:dyDescent="0.5">
      <c r="A1272" t="s">
        <v>192</v>
      </c>
      <c r="B1272">
        <v>597</v>
      </c>
      <c r="C1272">
        <v>93</v>
      </c>
      <c r="D1272">
        <v>4</v>
      </c>
      <c r="E1272" t="s">
        <v>12</v>
      </c>
      <c r="F1272" t="s">
        <v>13</v>
      </c>
      <c r="G1272" t="s">
        <v>82</v>
      </c>
      <c r="H1272" s="1">
        <f>VLOOKUP(A1272, [1]Orders!A:B, 2, FALSE)</f>
        <v>43137</v>
      </c>
      <c r="I1272" t="str">
        <f>VLOOKUP(A1272, [1]Orders!A:E, 3, FALSE)</f>
        <v>Shubham</v>
      </c>
      <c r="J1272" t="str">
        <f>VLOOKUP(A1272, [1]Orders!A:E, 4, FALSE)</f>
        <v>Delhi</v>
      </c>
      <c r="K1272" t="str">
        <f>VLOOKUP(A1272, [1]Orders!A:E, 5, FALSE)</f>
        <v>Delhi</v>
      </c>
    </row>
    <row r="1273" spans="1:11" x14ac:dyDescent="0.5">
      <c r="A1273" t="s">
        <v>503</v>
      </c>
      <c r="B1273">
        <v>212</v>
      </c>
      <c r="C1273">
        <v>97</v>
      </c>
      <c r="D1273">
        <v>7</v>
      </c>
      <c r="E1273" t="s">
        <v>23</v>
      </c>
      <c r="F1273" t="s">
        <v>30</v>
      </c>
      <c r="G1273" t="s">
        <v>10</v>
      </c>
      <c r="H1273" s="1">
        <f>VLOOKUP(A1273, [1]Orders!A:B, 2, FALSE)</f>
        <v>43170</v>
      </c>
      <c r="I1273" t="str">
        <f>VLOOKUP(A1273, [1]Orders!A:E, 3, FALSE)</f>
        <v>Aditya</v>
      </c>
      <c r="J1273" t="str">
        <f>VLOOKUP(A1273, [1]Orders!A:E, 4, FALSE)</f>
        <v>Punjab</v>
      </c>
      <c r="K1273" t="str">
        <f>VLOOKUP(A1273, [1]Orders!A:E, 5, FALSE)</f>
        <v>Chandigarh</v>
      </c>
    </row>
    <row r="1274" spans="1:11" x14ac:dyDescent="0.5">
      <c r="A1274" t="s">
        <v>269</v>
      </c>
      <c r="B1274">
        <v>689</v>
      </c>
      <c r="C1274">
        <v>90</v>
      </c>
      <c r="D1274">
        <v>5</v>
      </c>
      <c r="E1274" t="s">
        <v>23</v>
      </c>
      <c r="F1274" t="s">
        <v>26</v>
      </c>
      <c r="G1274" t="s">
        <v>10</v>
      </c>
      <c r="H1274" s="1">
        <f>VLOOKUP(A1274, [1]Orders!A:B, 2, FALSE)</f>
        <v>43414</v>
      </c>
      <c r="I1274" t="str">
        <f>VLOOKUP(A1274, [1]Orders!A:E, 3, FALSE)</f>
        <v>Abhijeet</v>
      </c>
      <c r="J1274" t="str">
        <f>VLOOKUP(A1274, [1]Orders!A:E, 4, FALSE)</f>
        <v>Maharashtra</v>
      </c>
      <c r="K1274" t="str">
        <f>VLOOKUP(A1274, [1]Orders!A:E, 5, FALSE)</f>
        <v>Mumbai</v>
      </c>
    </row>
    <row r="1275" spans="1:11" x14ac:dyDescent="0.5">
      <c r="A1275" t="s">
        <v>504</v>
      </c>
      <c r="B1275">
        <v>28</v>
      </c>
      <c r="C1275">
        <v>-10</v>
      </c>
      <c r="D1275">
        <v>3</v>
      </c>
      <c r="E1275" t="s">
        <v>23</v>
      </c>
      <c r="F1275" t="s">
        <v>43</v>
      </c>
      <c r="G1275" t="s">
        <v>10</v>
      </c>
      <c r="H1275" s="1">
        <f>VLOOKUP(A1275, [1]Orders!A:B, 2, FALSE)</f>
        <v>43161</v>
      </c>
      <c r="I1275" t="str">
        <f>VLOOKUP(A1275, [1]Orders!A:E, 3, FALSE)</f>
        <v>Sanjay</v>
      </c>
      <c r="J1275" t="str">
        <f>VLOOKUP(A1275, [1]Orders!A:E, 4, FALSE)</f>
        <v>Goa</v>
      </c>
      <c r="K1275" t="str">
        <f>VLOOKUP(A1275, [1]Orders!A:E, 5, FALSE)</f>
        <v>Goa</v>
      </c>
    </row>
    <row r="1276" spans="1:11" x14ac:dyDescent="0.5">
      <c r="A1276" t="s">
        <v>205</v>
      </c>
      <c r="B1276">
        <v>34</v>
      </c>
      <c r="C1276">
        <v>12</v>
      </c>
      <c r="D1276">
        <v>3</v>
      </c>
      <c r="E1276" t="s">
        <v>23</v>
      </c>
      <c r="F1276" t="s">
        <v>30</v>
      </c>
      <c r="G1276" t="s">
        <v>19</v>
      </c>
      <c r="H1276" s="1">
        <f>VLOOKUP(A1276, [1]Orders!A:B, 2, FALSE)</f>
        <v>43230</v>
      </c>
      <c r="I1276" t="str">
        <f>VLOOKUP(A1276, [1]Orders!A:E, 3, FALSE)</f>
        <v>Sabah</v>
      </c>
      <c r="J1276" t="str">
        <f>VLOOKUP(A1276, [1]Orders!A:E, 4, FALSE)</f>
        <v>Maharashtra</v>
      </c>
      <c r="K1276" t="str">
        <f>VLOOKUP(A1276, [1]Orders!A:E, 5, FALSE)</f>
        <v>Mumbai</v>
      </c>
    </row>
    <row r="1277" spans="1:11" x14ac:dyDescent="0.5">
      <c r="A1277" t="s">
        <v>88</v>
      </c>
      <c r="B1277">
        <v>600</v>
      </c>
      <c r="C1277">
        <v>-102</v>
      </c>
      <c r="D1277">
        <v>5</v>
      </c>
      <c r="E1277" t="s">
        <v>8</v>
      </c>
      <c r="F1277" t="s">
        <v>9</v>
      </c>
      <c r="G1277" t="s">
        <v>82</v>
      </c>
      <c r="H1277" s="1">
        <f>VLOOKUP(A1277, [1]Orders!A:B, 2, FALSE)</f>
        <v>43166</v>
      </c>
      <c r="I1277" t="str">
        <f>VLOOKUP(A1277, [1]Orders!A:E, 3, FALSE)</f>
        <v>Parishi</v>
      </c>
      <c r="J1277" t="str">
        <f>VLOOKUP(A1277, [1]Orders!A:E, 4, FALSE)</f>
        <v>West Bengal</v>
      </c>
      <c r="K1277" t="str">
        <f>VLOOKUP(A1277, [1]Orders!A:E, 5, FALSE)</f>
        <v>Kolkata</v>
      </c>
    </row>
    <row r="1278" spans="1:11" x14ac:dyDescent="0.5">
      <c r="A1278" t="s">
        <v>505</v>
      </c>
      <c r="B1278">
        <v>637</v>
      </c>
      <c r="C1278">
        <v>113</v>
      </c>
      <c r="D1278">
        <v>5</v>
      </c>
      <c r="E1278" t="s">
        <v>23</v>
      </c>
      <c r="F1278" t="s">
        <v>26</v>
      </c>
      <c r="G1278" t="s">
        <v>28</v>
      </c>
      <c r="H1278" s="1">
        <f>VLOOKUP(A1278, [1]Orders!A:B, 2, FALSE)</f>
        <v>43216</v>
      </c>
      <c r="I1278" t="str">
        <f>VLOOKUP(A1278, [1]Orders!A:E, 3, FALSE)</f>
        <v>Nishi</v>
      </c>
      <c r="J1278" t="str">
        <f>VLOOKUP(A1278, [1]Orders!A:E, 4, FALSE)</f>
        <v>Maharashtra</v>
      </c>
      <c r="K1278" t="str">
        <f>VLOOKUP(A1278, [1]Orders!A:E, 5, FALSE)</f>
        <v>Mumbai</v>
      </c>
    </row>
    <row r="1279" spans="1:11" x14ac:dyDescent="0.5">
      <c r="A1279" t="s">
        <v>62</v>
      </c>
      <c r="B1279">
        <v>616</v>
      </c>
      <c r="C1279">
        <v>-69</v>
      </c>
      <c r="D1279">
        <v>7</v>
      </c>
      <c r="E1279" t="s">
        <v>12</v>
      </c>
      <c r="F1279" t="s">
        <v>131</v>
      </c>
      <c r="G1279" t="s">
        <v>82</v>
      </c>
      <c r="H1279" s="1">
        <f>VLOOKUP(A1279, [1]Orders!A:B, 2, FALSE)</f>
        <v>43286</v>
      </c>
      <c r="I1279" t="str">
        <f>VLOOKUP(A1279, [1]Orders!A:E, 3, FALSE)</f>
        <v>Megha</v>
      </c>
      <c r="J1279" t="str">
        <f>VLOOKUP(A1279, [1]Orders!A:E, 4, FALSE)</f>
        <v>Maharashtra</v>
      </c>
      <c r="K1279" t="str">
        <f>VLOOKUP(A1279, [1]Orders!A:E, 5, FALSE)</f>
        <v>Pune</v>
      </c>
    </row>
    <row r="1280" spans="1:11" x14ac:dyDescent="0.5">
      <c r="A1280" t="s">
        <v>123</v>
      </c>
      <c r="B1280">
        <v>624</v>
      </c>
      <c r="C1280">
        <v>37</v>
      </c>
      <c r="D1280">
        <v>2</v>
      </c>
      <c r="E1280" t="s">
        <v>8</v>
      </c>
      <c r="F1280" t="s">
        <v>9</v>
      </c>
      <c r="G1280" t="s">
        <v>82</v>
      </c>
      <c r="H1280" s="1">
        <f>VLOOKUP(A1280, [1]Orders!A:B, 2, FALSE)</f>
        <v>43231</v>
      </c>
      <c r="I1280" t="str">
        <f>VLOOKUP(A1280, [1]Orders!A:E, 3, FALSE)</f>
        <v>Priyanka</v>
      </c>
      <c r="J1280" t="str">
        <f>VLOOKUP(A1280, [1]Orders!A:E, 4, FALSE)</f>
        <v>Maharashtra</v>
      </c>
      <c r="K1280" t="str">
        <f>VLOOKUP(A1280, [1]Orders!A:E, 5, FALSE)</f>
        <v>Pune</v>
      </c>
    </row>
    <row r="1281" spans="1:11" x14ac:dyDescent="0.5">
      <c r="A1281" t="s">
        <v>385</v>
      </c>
      <c r="B1281">
        <v>28</v>
      </c>
      <c r="C1281">
        <v>4</v>
      </c>
      <c r="D1281">
        <v>1</v>
      </c>
      <c r="E1281" t="s">
        <v>23</v>
      </c>
      <c r="F1281" t="s">
        <v>81</v>
      </c>
      <c r="G1281" t="s">
        <v>10</v>
      </c>
      <c r="H1281" s="1">
        <f>VLOOKUP(A1281, [1]Orders!A:B, 2, FALSE)</f>
        <v>43457</v>
      </c>
      <c r="I1281" t="str">
        <f>VLOOKUP(A1281, [1]Orders!A:E, 3, FALSE)</f>
        <v>Neha</v>
      </c>
      <c r="J1281" t="str">
        <f>VLOOKUP(A1281, [1]Orders!A:E, 4, FALSE)</f>
        <v>Rajasthan</v>
      </c>
      <c r="K1281" t="str">
        <f>VLOOKUP(A1281, [1]Orders!A:E, 5, FALSE)</f>
        <v>Udaipur</v>
      </c>
    </row>
    <row r="1282" spans="1:11" x14ac:dyDescent="0.5">
      <c r="A1282" t="s">
        <v>276</v>
      </c>
      <c r="B1282">
        <v>584</v>
      </c>
      <c r="C1282">
        <v>-444</v>
      </c>
      <c r="D1282">
        <v>7</v>
      </c>
      <c r="E1282" t="s">
        <v>8</v>
      </c>
      <c r="F1282" t="s">
        <v>18</v>
      </c>
      <c r="G1282" t="s">
        <v>28</v>
      </c>
      <c r="H1282" s="1">
        <f>VLOOKUP(A1282, [1]Orders!A:B, 2, FALSE)</f>
        <v>43357</v>
      </c>
      <c r="I1282" t="str">
        <f>VLOOKUP(A1282, [1]Orders!A:E, 3, FALSE)</f>
        <v>Rutuja</v>
      </c>
      <c r="J1282" t="str">
        <f>VLOOKUP(A1282, [1]Orders!A:E, 4, FALSE)</f>
        <v>Gujarat</v>
      </c>
      <c r="K1282" t="str">
        <f>VLOOKUP(A1282, [1]Orders!A:E, 5, FALSE)</f>
        <v>Ahmedabad</v>
      </c>
    </row>
    <row r="1283" spans="1:11" x14ac:dyDescent="0.5">
      <c r="A1283" t="s">
        <v>178</v>
      </c>
      <c r="B1283">
        <v>28</v>
      </c>
      <c r="C1283">
        <v>6</v>
      </c>
      <c r="D1283">
        <v>4</v>
      </c>
      <c r="E1283" t="s">
        <v>23</v>
      </c>
      <c r="F1283" t="s">
        <v>43</v>
      </c>
      <c r="G1283" t="s">
        <v>10</v>
      </c>
      <c r="H1283" s="1">
        <f>VLOOKUP(A1283, [1]Orders!A:B, 2, FALSE)</f>
        <v>43442</v>
      </c>
      <c r="I1283" t="str">
        <f>VLOOKUP(A1283, [1]Orders!A:E, 3, FALSE)</f>
        <v>Aishwarya</v>
      </c>
      <c r="J1283" t="str">
        <f>VLOOKUP(A1283, [1]Orders!A:E, 4, FALSE)</f>
        <v>Uttar Pradesh</v>
      </c>
      <c r="K1283" t="str">
        <f>VLOOKUP(A1283, [1]Orders!A:E, 5, FALSE)</f>
        <v>Prayagraj</v>
      </c>
    </row>
    <row r="1284" spans="1:11" x14ac:dyDescent="0.5">
      <c r="A1284" t="s">
        <v>17</v>
      </c>
      <c r="B1284">
        <v>33</v>
      </c>
      <c r="C1284">
        <v>-1</v>
      </c>
      <c r="D1284">
        <v>1</v>
      </c>
      <c r="E1284" t="s">
        <v>23</v>
      </c>
      <c r="F1284" t="s">
        <v>26</v>
      </c>
      <c r="G1284" t="s">
        <v>19</v>
      </c>
      <c r="H1284" s="1">
        <f>VLOOKUP(A1284, [1]Orders!A:B, 2, FALSE)</f>
        <v>43186</v>
      </c>
      <c r="I1284" t="str">
        <f>VLOOKUP(A1284, [1]Orders!A:E, 3, FALSE)</f>
        <v>Sarita</v>
      </c>
      <c r="J1284" t="str">
        <f>VLOOKUP(A1284, [1]Orders!A:E, 4, FALSE)</f>
        <v>Maharashtra</v>
      </c>
      <c r="K1284" t="str">
        <f>VLOOKUP(A1284, [1]Orders!A:E, 5, FALSE)</f>
        <v>Pune</v>
      </c>
    </row>
    <row r="1285" spans="1:11" x14ac:dyDescent="0.5">
      <c r="A1285" t="s">
        <v>288</v>
      </c>
      <c r="B1285">
        <v>27</v>
      </c>
      <c r="C1285">
        <v>-20</v>
      </c>
      <c r="D1285">
        <v>2</v>
      </c>
      <c r="E1285" t="s">
        <v>23</v>
      </c>
      <c r="F1285" t="s">
        <v>30</v>
      </c>
      <c r="G1285" t="s">
        <v>10</v>
      </c>
      <c r="H1285" s="1">
        <f>VLOOKUP(A1285, [1]Orders!A:B, 2, FALSE)</f>
        <v>43329</v>
      </c>
      <c r="I1285" t="str">
        <f>VLOOKUP(A1285, [1]Orders!A:E, 3, FALSE)</f>
        <v>Shivam</v>
      </c>
      <c r="J1285" t="str">
        <f>VLOOKUP(A1285, [1]Orders!A:E, 4, FALSE)</f>
        <v>Uttar Pradesh</v>
      </c>
      <c r="K1285" t="str">
        <f>VLOOKUP(A1285, [1]Orders!A:E, 5, FALSE)</f>
        <v>Lucknow</v>
      </c>
    </row>
    <row r="1286" spans="1:11" x14ac:dyDescent="0.5">
      <c r="A1286" t="s">
        <v>187</v>
      </c>
      <c r="B1286">
        <v>27</v>
      </c>
      <c r="C1286">
        <v>5</v>
      </c>
      <c r="D1286">
        <v>2</v>
      </c>
      <c r="E1286" t="s">
        <v>23</v>
      </c>
      <c r="F1286" t="s">
        <v>43</v>
      </c>
      <c r="G1286" t="s">
        <v>10</v>
      </c>
      <c r="H1286" s="1">
        <f>VLOOKUP(A1286, [1]Orders!A:B, 2, FALSE)</f>
        <v>43417</v>
      </c>
      <c r="I1286" t="str">
        <f>VLOOKUP(A1286, [1]Orders!A:E, 3, FALSE)</f>
        <v>Uudhav</v>
      </c>
      <c r="J1286" t="str">
        <f>VLOOKUP(A1286, [1]Orders!A:E, 4, FALSE)</f>
        <v>Maharashtra</v>
      </c>
      <c r="K1286" t="str">
        <f>VLOOKUP(A1286, [1]Orders!A:E, 5, FALSE)</f>
        <v>Mumbai</v>
      </c>
    </row>
    <row r="1287" spans="1:11" x14ac:dyDescent="0.5">
      <c r="A1287" t="s">
        <v>91</v>
      </c>
      <c r="B1287">
        <v>27</v>
      </c>
      <c r="C1287">
        <v>4</v>
      </c>
      <c r="D1287">
        <v>3</v>
      </c>
      <c r="E1287" t="s">
        <v>23</v>
      </c>
      <c r="F1287" t="s">
        <v>43</v>
      </c>
      <c r="G1287" t="s">
        <v>10</v>
      </c>
      <c r="H1287" s="1">
        <f>VLOOKUP(A1287, [1]Orders!A:B, 2, FALSE)</f>
        <v>43338</v>
      </c>
      <c r="I1287" t="str">
        <f>VLOOKUP(A1287, [1]Orders!A:E, 3, FALSE)</f>
        <v>Anudeep</v>
      </c>
      <c r="J1287" t="str">
        <f>VLOOKUP(A1287, [1]Orders!A:E, 4, FALSE)</f>
        <v>Madhya Pradesh</v>
      </c>
      <c r="K1287" t="str">
        <f>VLOOKUP(A1287, [1]Orders!A:E, 5, FALSE)</f>
        <v>Indore</v>
      </c>
    </row>
    <row r="1288" spans="1:11" x14ac:dyDescent="0.5">
      <c r="A1288" t="s">
        <v>298</v>
      </c>
      <c r="B1288">
        <v>635</v>
      </c>
      <c r="C1288">
        <v>-349</v>
      </c>
      <c r="D1288">
        <v>5</v>
      </c>
      <c r="E1288" t="s">
        <v>23</v>
      </c>
      <c r="F1288" t="s">
        <v>26</v>
      </c>
      <c r="G1288" t="s">
        <v>82</v>
      </c>
      <c r="H1288" s="1">
        <f>VLOOKUP(A1288, [1]Orders!A:B, 2, FALSE)</f>
        <v>43213</v>
      </c>
      <c r="I1288" t="str">
        <f>VLOOKUP(A1288, [1]Orders!A:E, 3, FALSE)</f>
        <v>Pinky</v>
      </c>
      <c r="J1288" t="str">
        <f>VLOOKUP(A1288, [1]Orders!A:E, 4, FALSE)</f>
        <v>Jammu and Kashmir</v>
      </c>
      <c r="K1288" t="str">
        <f>VLOOKUP(A1288, [1]Orders!A:E, 5, FALSE)</f>
        <v>Kashmir</v>
      </c>
    </row>
    <row r="1289" spans="1:11" x14ac:dyDescent="0.5">
      <c r="A1289" t="s">
        <v>291</v>
      </c>
      <c r="B1289">
        <v>598</v>
      </c>
      <c r="C1289">
        <v>166</v>
      </c>
      <c r="D1289">
        <v>4</v>
      </c>
      <c r="E1289" t="s">
        <v>12</v>
      </c>
      <c r="F1289" t="s">
        <v>16</v>
      </c>
      <c r="G1289" t="s">
        <v>28</v>
      </c>
      <c r="H1289" s="1">
        <f>VLOOKUP(A1289, [1]Orders!A:B, 2, FALSE)</f>
        <v>43414</v>
      </c>
      <c r="I1289" t="str">
        <f>VLOOKUP(A1289, [1]Orders!A:E, 3, FALSE)</f>
        <v>Anand</v>
      </c>
      <c r="J1289" t="str">
        <f>VLOOKUP(A1289, [1]Orders!A:E, 4, FALSE)</f>
        <v>Madhya Pradesh</v>
      </c>
      <c r="K1289" t="str">
        <f>VLOOKUP(A1289, [1]Orders!A:E, 5, FALSE)</f>
        <v>Indore</v>
      </c>
    </row>
    <row r="1290" spans="1:11" x14ac:dyDescent="0.5">
      <c r="A1290" t="s">
        <v>385</v>
      </c>
      <c r="B1290">
        <v>636</v>
      </c>
      <c r="C1290">
        <v>-204</v>
      </c>
      <c r="D1290">
        <v>2</v>
      </c>
      <c r="E1290" t="s">
        <v>8</v>
      </c>
      <c r="F1290" t="s">
        <v>18</v>
      </c>
      <c r="G1290" t="s">
        <v>82</v>
      </c>
      <c r="H1290" s="1">
        <f>VLOOKUP(A1290, [1]Orders!A:B, 2, FALSE)</f>
        <v>43457</v>
      </c>
      <c r="I1290" t="str">
        <f>VLOOKUP(A1290, [1]Orders!A:E, 3, FALSE)</f>
        <v>Neha</v>
      </c>
      <c r="J1290" t="str">
        <f>VLOOKUP(A1290, [1]Orders!A:E, 4, FALSE)</f>
        <v>Rajasthan</v>
      </c>
      <c r="K1290" t="str">
        <f>VLOOKUP(A1290, [1]Orders!A:E, 5, FALSE)</f>
        <v>Udaipur</v>
      </c>
    </row>
    <row r="1291" spans="1:11" x14ac:dyDescent="0.5">
      <c r="A1291" t="s">
        <v>382</v>
      </c>
      <c r="B1291">
        <v>27</v>
      </c>
      <c r="C1291">
        <v>9</v>
      </c>
      <c r="D1291">
        <v>2</v>
      </c>
      <c r="E1291" t="s">
        <v>23</v>
      </c>
      <c r="F1291" t="s">
        <v>30</v>
      </c>
      <c r="G1291" t="s">
        <v>10</v>
      </c>
      <c r="H1291" s="1">
        <f>VLOOKUP(A1291, [1]Orders!A:B, 2, FALSE)</f>
        <v>43419</v>
      </c>
      <c r="I1291" t="str">
        <f>VLOOKUP(A1291, [1]Orders!A:E, 3, FALSE)</f>
        <v>Aromal</v>
      </c>
      <c r="J1291" t="str">
        <f>VLOOKUP(A1291, [1]Orders!A:E, 4, FALSE)</f>
        <v>Maharashtra</v>
      </c>
      <c r="K1291" t="str">
        <f>VLOOKUP(A1291, [1]Orders!A:E, 5, FALSE)</f>
        <v>Mumbai</v>
      </c>
    </row>
    <row r="1292" spans="1:11" x14ac:dyDescent="0.5">
      <c r="A1292" t="s">
        <v>182</v>
      </c>
      <c r="B1292">
        <v>27</v>
      </c>
      <c r="C1292">
        <v>-6</v>
      </c>
      <c r="D1292">
        <v>4</v>
      </c>
      <c r="E1292" t="s">
        <v>23</v>
      </c>
      <c r="F1292" t="s">
        <v>30</v>
      </c>
      <c r="G1292" t="s">
        <v>10</v>
      </c>
      <c r="H1292" s="1">
        <f>VLOOKUP(A1292, [1]Orders!A:B, 2, FALSE)</f>
        <v>43274</v>
      </c>
      <c r="I1292" t="str">
        <f>VLOOKUP(A1292, [1]Orders!A:E, 3, FALSE)</f>
        <v>Amisha</v>
      </c>
      <c r="J1292" t="str">
        <f>VLOOKUP(A1292, [1]Orders!A:E, 4, FALSE)</f>
        <v>Tamil Nadu</v>
      </c>
      <c r="K1292" t="str">
        <f>VLOOKUP(A1292, [1]Orders!A:E, 5, FALSE)</f>
        <v>Chennai</v>
      </c>
    </row>
    <row r="1293" spans="1:11" x14ac:dyDescent="0.5">
      <c r="A1293" t="s">
        <v>157</v>
      </c>
      <c r="B1293">
        <v>637</v>
      </c>
      <c r="C1293">
        <v>212</v>
      </c>
      <c r="D1293">
        <v>8</v>
      </c>
      <c r="E1293" t="s">
        <v>8</v>
      </c>
      <c r="F1293" t="s">
        <v>21</v>
      </c>
      <c r="G1293" t="s">
        <v>82</v>
      </c>
      <c r="H1293" s="1">
        <f>VLOOKUP(A1293, [1]Orders!A:B, 2, FALSE)</f>
        <v>43118</v>
      </c>
      <c r="I1293" t="str">
        <f>VLOOKUP(A1293, [1]Orders!A:E, 3, FALSE)</f>
        <v>Muskan</v>
      </c>
      <c r="J1293" t="str">
        <f>VLOOKUP(A1293, [1]Orders!A:E, 4, FALSE)</f>
        <v>Madhya Pradesh</v>
      </c>
      <c r="K1293" t="str">
        <f>VLOOKUP(A1293, [1]Orders!A:E, 5, FALSE)</f>
        <v>Indore</v>
      </c>
    </row>
    <row r="1294" spans="1:11" x14ac:dyDescent="0.5">
      <c r="A1294" t="s">
        <v>253</v>
      </c>
      <c r="B1294">
        <v>290</v>
      </c>
      <c r="C1294">
        <v>110</v>
      </c>
      <c r="D1294">
        <v>9</v>
      </c>
      <c r="E1294" t="s">
        <v>23</v>
      </c>
      <c r="F1294" t="s">
        <v>57</v>
      </c>
      <c r="G1294" t="s">
        <v>28</v>
      </c>
      <c r="H1294" s="1">
        <f>VLOOKUP(A1294, [1]Orders!A:B, 2, FALSE)</f>
        <v>43180</v>
      </c>
      <c r="I1294" t="str">
        <f>VLOOKUP(A1294, [1]Orders!A:E, 3, FALSE)</f>
        <v>Pournamasi</v>
      </c>
      <c r="J1294" t="str">
        <f>VLOOKUP(A1294, [1]Orders!A:E, 4, FALSE)</f>
        <v>Madhya Pradesh</v>
      </c>
      <c r="K1294" t="str">
        <f>VLOOKUP(A1294, [1]Orders!A:E, 5, FALSE)</f>
        <v>Indore</v>
      </c>
    </row>
    <row r="1295" spans="1:11" x14ac:dyDescent="0.5">
      <c r="A1295" t="s">
        <v>506</v>
      </c>
      <c r="B1295">
        <v>27</v>
      </c>
      <c r="C1295">
        <v>-25</v>
      </c>
      <c r="D1295">
        <v>2</v>
      </c>
      <c r="E1295" t="s">
        <v>23</v>
      </c>
      <c r="F1295" t="s">
        <v>57</v>
      </c>
      <c r="G1295" t="s">
        <v>10</v>
      </c>
      <c r="H1295" s="1">
        <f>VLOOKUP(A1295, [1]Orders!A:B, 2, FALSE)</f>
        <v>43225</v>
      </c>
      <c r="I1295" t="str">
        <f>VLOOKUP(A1295, [1]Orders!A:E, 3, FALSE)</f>
        <v>Rachna</v>
      </c>
      <c r="J1295" t="str">
        <f>VLOOKUP(A1295, [1]Orders!A:E, 4, FALSE)</f>
        <v>Haryana</v>
      </c>
      <c r="K1295" t="str">
        <f>VLOOKUP(A1295, [1]Orders!A:E, 5, FALSE)</f>
        <v>Chandigarh</v>
      </c>
    </row>
    <row r="1296" spans="1:11" x14ac:dyDescent="0.5">
      <c r="A1296" t="s">
        <v>507</v>
      </c>
      <c r="B1296">
        <v>632</v>
      </c>
      <c r="C1296">
        <v>-114</v>
      </c>
      <c r="D1296">
        <v>4</v>
      </c>
      <c r="E1296" t="s">
        <v>12</v>
      </c>
      <c r="F1296" t="s">
        <v>45</v>
      </c>
      <c r="G1296" t="s">
        <v>28</v>
      </c>
      <c r="H1296" s="1">
        <f>VLOOKUP(A1296, [1]Orders!A:B, 2, FALSE)</f>
        <v>43379</v>
      </c>
      <c r="I1296" t="str">
        <f>VLOOKUP(A1296, [1]Orders!A:E, 3, FALSE)</f>
        <v>Dhanraj</v>
      </c>
      <c r="J1296" t="str">
        <f>VLOOKUP(A1296, [1]Orders!A:E, 4, FALSE)</f>
        <v>Madhya Pradesh</v>
      </c>
      <c r="K1296" t="str">
        <f>VLOOKUP(A1296, [1]Orders!A:E, 5, FALSE)</f>
        <v>Indore</v>
      </c>
    </row>
    <row r="1297" spans="1:11" x14ac:dyDescent="0.5">
      <c r="A1297" t="s">
        <v>36</v>
      </c>
      <c r="B1297">
        <v>643</v>
      </c>
      <c r="C1297">
        <v>-45</v>
      </c>
      <c r="D1297">
        <v>2</v>
      </c>
      <c r="E1297" t="s">
        <v>8</v>
      </c>
      <c r="F1297" t="s">
        <v>18</v>
      </c>
      <c r="G1297" t="s">
        <v>82</v>
      </c>
      <c r="H1297" s="1">
        <f>VLOOKUP(A1297, [1]Orders!A:B, 2, FALSE)</f>
        <v>43332</v>
      </c>
      <c r="I1297" t="str">
        <f>VLOOKUP(A1297, [1]Orders!A:E, 3, FALSE)</f>
        <v>Mohan</v>
      </c>
      <c r="J1297" t="str">
        <f>VLOOKUP(A1297, [1]Orders!A:E, 4, FALSE)</f>
        <v>Maharashtra</v>
      </c>
      <c r="K1297" t="str">
        <f>VLOOKUP(A1297, [1]Orders!A:E, 5, FALSE)</f>
        <v>Mumbai</v>
      </c>
    </row>
    <row r="1298" spans="1:11" x14ac:dyDescent="0.5">
      <c r="A1298" t="s">
        <v>60</v>
      </c>
      <c r="B1298">
        <v>652</v>
      </c>
      <c r="C1298">
        <v>13</v>
      </c>
      <c r="D1298">
        <v>6</v>
      </c>
      <c r="E1298" t="s">
        <v>12</v>
      </c>
      <c r="F1298" t="s">
        <v>131</v>
      </c>
      <c r="G1298" t="s">
        <v>82</v>
      </c>
      <c r="H1298" s="1">
        <f>VLOOKUP(A1298, [1]Orders!A:B, 2, FALSE)</f>
        <v>43139</v>
      </c>
      <c r="I1298" t="str">
        <f>VLOOKUP(A1298, [1]Orders!A:E, 3, FALSE)</f>
        <v>Hitesh</v>
      </c>
      <c r="J1298" t="str">
        <f>VLOOKUP(A1298, [1]Orders!A:E, 4, FALSE)</f>
        <v>Madhya Pradesh</v>
      </c>
      <c r="K1298" t="str">
        <f>VLOOKUP(A1298, [1]Orders!A:E, 5, FALSE)</f>
        <v>Bhopal</v>
      </c>
    </row>
    <row r="1299" spans="1:11" x14ac:dyDescent="0.5">
      <c r="A1299" t="s">
        <v>127</v>
      </c>
      <c r="B1299">
        <v>33</v>
      </c>
      <c r="C1299">
        <v>-27</v>
      </c>
      <c r="D1299">
        <v>1</v>
      </c>
      <c r="E1299" t="s">
        <v>12</v>
      </c>
      <c r="F1299" t="s">
        <v>13</v>
      </c>
      <c r="G1299" t="s">
        <v>19</v>
      </c>
      <c r="H1299" s="1">
        <f>VLOOKUP(A1299, [1]Orders!A:B, 2, FALSE)</f>
        <v>43326</v>
      </c>
      <c r="I1299" t="str">
        <f>VLOOKUP(A1299, [1]Orders!A:E, 3, FALSE)</f>
        <v>Vaibhav</v>
      </c>
      <c r="J1299" t="str">
        <f>VLOOKUP(A1299, [1]Orders!A:E, 4, FALSE)</f>
        <v>Madhya Pradesh</v>
      </c>
      <c r="K1299" t="str">
        <f>VLOOKUP(A1299, [1]Orders!A:E, 5, FALSE)</f>
        <v>Indore</v>
      </c>
    </row>
    <row r="1300" spans="1:11" x14ac:dyDescent="0.5">
      <c r="A1300" t="s">
        <v>388</v>
      </c>
      <c r="B1300">
        <v>26</v>
      </c>
      <c r="C1300">
        <v>2</v>
      </c>
      <c r="D1300">
        <v>2</v>
      </c>
      <c r="E1300" t="s">
        <v>23</v>
      </c>
      <c r="F1300" t="s">
        <v>30</v>
      </c>
      <c r="G1300" t="s">
        <v>10</v>
      </c>
      <c r="H1300" s="1">
        <f>VLOOKUP(A1300, [1]Orders!A:B, 2, FALSE)</f>
        <v>43358</v>
      </c>
      <c r="I1300" t="str">
        <f>VLOOKUP(A1300, [1]Orders!A:E, 3, FALSE)</f>
        <v>Shivangi</v>
      </c>
      <c r="J1300" t="str">
        <f>VLOOKUP(A1300, [1]Orders!A:E, 4, FALSE)</f>
        <v>Madhya Pradesh</v>
      </c>
      <c r="K1300" t="str">
        <f>VLOOKUP(A1300, [1]Orders!A:E, 5, FALSE)</f>
        <v>Indore</v>
      </c>
    </row>
    <row r="1301" spans="1:11" x14ac:dyDescent="0.5">
      <c r="A1301" t="s">
        <v>371</v>
      </c>
      <c r="B1301">
        <v>633</v>
      </c>
      <c r="C1301">
        <v>-633</v>
      </c>
      <c r="D1301">
        <v>11</v>
      </c>
      <c r="E1301" t="s">
        <v>8</v>
      </c>
      <c r="F1301" t="s">
        <v>73</v>
      </c>
      <c r="G1301" t="s">
        <v>28</v>
      </c>
      <c r="H1301" s="1">
        <f>VLOOKUP(A1301, [1]Orders!A:B, 2, FALSE)</f>
        <v>43378</v>
      </c>
      <c r="I1301" t="str">
        <f>VLOOKUP(A1301, [1]Orders!A:E, 3, FALSE)</f>
        <v>Yash</v>
      </c>
      <c r="J1301" t="str">
        <f>VLOOKUP(A1301, [1]Orders!A:E, 4, FALSE)</f>
        <v>Maharashtra</v>
      </c>
      <c r="K1301" t="str">
        <f>VLOOKUP(A1301, [1]Orders!A:E, 5, FALSE)</f>
        <v>Mumbai</v>
      </c>
    </row>
    <row r="1302" spans="1:11" x14ac:dyDescent="0.5">
      <c r="A1302" t="s">
        <v>22</v>
      </c>
      <c r="B1302">
        <v>26</v>
      </c>
      <c r="C1302">
        <v>9</v>
      </c>
      <c r="D1302">
        <v>2</v>
      </c>
      <c r="E1302" t="s">
        <v>23</v>
      </c>
      <c r="F1302" t="s">
        <v>63</v>
      </c>
      <c r="G1302" t="s">
        <v>10</v>
      </c>
      <c r="H1302" s="1">
        <f>VLOOKUP(A1302, [1]Orders!A:B, 2, FALSE)</f>
        <v>43429</v>
      </c>
      <c r="I1302" t="str">
        <f>VLOOKUP(A1302, [1]Orders!A:E, 3, FALSE)</f>
        <v>Lalita</v>
      </c>
      <c r="J1302" t="str">
        <f>VLOOKUP(A1302, [1]Orders!A:E, 4, FALSE)</f>
        <v>Uttar Pradesh</v>
      </c>
      <c r="K1302" t="str">
        <f>VLOOKUP(A1302, [1]Orders!A:E, 5, FALSE)</f>
        <v>Mathura</v>
      </c>
    </row>
    <row r="1303" spans="1:11" x14ac:dyDescent="0.5">
      <c r="A1303" t="s">
        <v>115</v>
      </c>
      <c r="B1303">
        <v>191</v>
      </c>
      <c r="C1303">
        <v>93</v>
      </c>
      <c r="D1303">
        <v>4</v>
      </c>
      <c r="E1303" t="s">
        <v>23</v>
      </c>
      <c r="F1303" t="s">
        <v>142</v>
      </c>
      <c r="G1303" t="s">
        <v>28</v>
      </c>
      <c r="H1303" s="1">
        <f>VLOOKUP(A1303, [1]Orders!A:B, 2, FALSE)</f>
        <v>43441</v>
      </c>
      <c r="I1303" t="str">
        <f>VLOOKUP(A1303, [1]Orders!A:E, 3, FALSE)</f>
        <v>Abhishek</v>
      </c>
      <c r="J1303" t="str">
        <f>VLOOKUP(A1303, [1]Orders!A:E, 4, FALSE)</f>
        <v>Rajasthan</v>
      </c>
      <c r="K1303" t="str">
        <f>VLOOKUP(A1303, [1]Orders!A:E, 5, FALSE)</f>
        <v>Udaipur</v>
      </c>
    </row>
    <row r="1304" spans="1:11" x14ac:dyDescent="0.5">
      <c r="A1304" t="s">
        <v>25</v>
      </c>
      <c r="B1304">
        <v>887</v>
      </c>
      <c r="C1304">
        <v>80</v>
      </c>
      <c r="D1304">
        <v>3</v>
      </c>
      <c r="E1304" t="s">
        <v>8</v>
      </c>
      <c r="F1304" t="s">
        <v>18</v>
      </c>
      <c r="G1304" t="s">
        <v>28</v>
      </c>
      <c r="H1304" s="1">
        <f>VLOOKUP(A1304, [1]Orders!A:B, 2, FALSE)</f>
        <v>43272</v>
      </c>
      <c r="I1304" t="str">
        <f>VLOOKUP(A1304, [1]Orders!A:E, 3, FALSE)</f>
        <v>Noopur</v>
      </c>
      <c r="J1304" t="str">
        <f>VLOOKUP(A1304, [1]Orders!A:E, 4, FALSE)</f>
        <v>Karnataka</v>
      </c>
      <c r="K1304" t="str">
        <f>VLOOKUP(A1304, [1]Orders!A:E, 5, FALSE)</f>
        <v>Bangalore</v>
      </c>
    </row>
    <row r="1305" spans="1:11" x14ac:dyDescent="0.5">
      <c r="A1305" t="s">
        <v>508</v>
      </c>
      <c r="B1305">
        <v>637</v>
      </c>
      <c r="C1305">
        <v>261</v>
      </c>
      <c r="D1305">
        <v>2</v>
      </c>
      <c r="E1305" t="s">
        <v>8</v>
      </c>
      <c r="F1305" t="s">
        <v>18</v>
      </c>
      <c r="G1305" t="s">
        <v>10</v>
      </c>
      <c r="H1305" s="1">
        <f>VLOOKUP(A1305, [1]Orders!A:B, 2, FALSE)</f>
        <v>43395</v>
      </c>
      <c r="I1305" t="str">
        <f>VLOOKUP(A1305, [1]Orders!A:E, 3, FALSE)</f>
        <v>Tanushree</v>
      </c>
      <c r="J1305" t="str">
        <f>VLOOKUP(A1305, [1]Orders!A:E, 4, FALSE)</f>
        <v>Maharashtra</v>
      </c>
      <c r="K1305" t="str">
        <f>VLOOKUP(A1305, [1]Orders!A:E, 5, FALSE)</f>
        <v>Mumbai</v>
      </c>
    </row>
    <row r="1306" spans="1:11" x14ac:dyDescent="0.5">
      <c r="A1306" t="s">
        <v>252</v>
      </c>
      <c r="B1306">
        <v>670</v>
      </c>
      <c r="C1306">
        <v>15</v>
      </c>
      <c r="D1306">
        <v>5</v>
      </c>
      <c r="E1306" t="s">
        <v>12</v>
      </c>
      <c r="F1306" t="s">
        <v>16</v>
      </c>
      <c r="G1306" t="s">
        <v>82</v>
      </c>
      <c r="H1306" s="1">
        <f>VLOOKUP(A1306, [1]Orders!A:B, 2, FALSE)</f>
        <v>43321</v>
      </c>
      <c r="I1306" t="str">
        <f>VLOOKUP(A1306, [1]Orders!A:E, 3, FALSE)</f>
        <v>Kartik</v>
      </c>
      <c r="J1306" t="str">
        <f>VLOOKUP(A1306, [1]Orders!A:E, 4, FALSE)</f>
        <v>Gujarat</v>
      </c>
      <c r="K1306" t="str">
        <f>VLOOKUP(A1306, [1]Orders!A:E, 5, FALSE)</f>
        <v>Ahmedabad</v>
      </c>
    </row>
    <row r="1307" spans="1:11" x14ac:dyDescent="0.5">
      <c r="A1307" t="s">
        <v>72</v>
      </c>
      <c r="B1307">
        <v>26</v>
      </c>
      <c r="C1307">
        <v>7</v>
      </c>
      <c r="D1307">
        <v>4</v>
      </c>
      <c r="E1307" t="s">
        <v>23</v>
      </c>
      <c r="F1307" t="s">
        <v>30</v>
      </c>
      <c r="G1307" t="s">
        <v>10</v>
      </c>
      <c r="H1307" s="1">
        <f>VLOOKUP(A1307, [1]Orders!A:B, 2, FALSE)</f>
        <v>43109</v>
      </c>
      <c r="I1307" t="str">
        <f>VLOOKUP(A1307, [1]Orders!A:E, 3, FALSE)</f>
        <v>Shardul</v>
      </c>
      <c r="J1307" t="str">
        <f>VLOOKUP(A1307, [1]Orders!A:E, 4, FALSE)</f>
        <v>Gujarat</v>
      </c>
      <c r="K1307" t="str">
        <f>VLOOKUP(A1307, [1]Orders!A:E, 5, FALSE)</f>
        <v>Ahmedabad</v>
      </c>
    </row>
    <row r="1308" spans="1:11" x14ac:dyDescent="0.5">
      <c r="A1308" t="s">
        <v>88</v>
      </c>
      <c r="B1308">
        <v>676</v>
      </c>
      <c r="C1308">
        <v>195</v>
      </c>
      <c r="D1308">
        <v>5</v>
      </c>
      <c r="E1308" t="s">
        <v>12</v>
      </c>
      <c r="F1308" t="s">
        <v>16</v>
      </c>
      <c r="G1308" t="s">
        <v>82</v>
      </c>
      <c r="H1308" s="1">
        <f>VLOOKUP(A1308, [1]Orders!A:B, 2, FALSE)</f>
        <v>43166</v>
      </c>
      <c r="I1308" t="str">
        <f>VLOOKUP(A1308, [1]Orders!A:E, 3, FALSE)</f>
        <v>Parishi</v>
      </c>
      <c r="J1308" t="str">
        <f>VLOOKUP(A1308, [1]Orders!A:E, 4, FALSE)</f>
        <v>West Bengal</v>
      </c>
      <c r="K1308" t="str">
        <f>VLOOKUP(A1308, [1]Orders!A:E, 5, FALSE)</f>
        <v>Kolkata</v>
      </c>
    </row>
    <row r="1309" spans="1:11" x14ac:dyDescent="0.5">
      <c r="A1309" t="s">
        <v>509</v>
      </c>
      <c r="B1309">
        <v>26</v>
      </c>
      <c r="C1309">
        <v>12</v>
      </c>
      <c r="D1309">
        <v>3</v>
      </c>
      <c r="E1309" t="s">
        <v>23</v>
      </c>
      <c r="F1309" t="s">
        <v>30</v>
      </c>
      <c r="G1309" t="s">
        <v>10</v>
      </c>
      <c r="H1309" s="1">
        <f>VLOOKUP(A1309, [1]Orders!A:B, 2, FALSE)</f>
        <v>43212</v>
      </c>
      <c r="I1309" t="str">
        <f>VLOOKUP(A1309, [1]Orders!A:E, 3, FALSE)</f>
        <v>Vini</v>
      </c>
      <c r="J1309" t="str">
        <f>VLOOKUP(A1309, [1]Orders!A:E, 4, FALSE)</f>
        <v>Karnataka</v>
      </c>
      <c r="K1309" t="str">
        <f>VLOOKUP(A1309, [1]Orders!A:E, 5, FALSE)</f>
        <v>Bangalore</v>
      </c>
    </row>
    <row r="1310" spans="1:11" x14ac:dyDescent="0.5">
      <c r="A1310" t="s">
        <v>66</v>
      </c>
      <c r="B1310">
        <v>26</v>
      </c>
      <c r="C1310">
        <v>-24</v>
      </c>
      <c r="D1310">
        <v>1</v>
      </c>
      <c r="E1310" t="s">
        <v>23</v>
      </c>
      <c r="F1310" t="s">
        <v>57</v>
      </c>
      <c r="G1310" t="s">
        <v>10</v>
      </c>
      <c r="H1310" s="1">
        <f>VLOOKUP(A1310, [1]Orders!A:B, 2, FALSE)</f>
        <v>43299</v>
      </c>
      <c r="I1310" t="str">
        <f>VLOOKUP(A1310, [1]Orders!A:E, 3, FALSE)</f>
        <v>Wale</v>
      </c>
      <c r="J1310" t="str">
        <f>VLOOKUP(A1310, [1]Orders!A:E, 4, FALSE)</f>
        <v>Maharashtra</v>
      </c>
      <c r="K1310" t="str">
        <f>VLOOKUP(A1310, [1]Orders!A:E, 5, FALSE)</f>
        <v>Mumbai</v>
      </c>
    </row>
    <row r="1311" spans="1:11" x14ac:dyDescent="0.5">
      <c r="A1311" t="s">
        <v>122</v>
      </c>
      <c r="B1311">
        <v>25</v>
      </c>
      <c r="C1311">
        <v>7</v>
      </c>
      <c r="D1311">
        <v>2</v>
      </c>
      <c r="E1311" t="s">
        <v>23</v>
      </c>
      <c r="F1311" t="s">
        <v>57</v>
      </c>
      <c r="G1311" t="s">
        <v>10</v>
      </c>
      <c r="H1311" s="1">
        <f>VLOOKUP(A1311, [1]Orders!A:B, 2, FALSE)</f>
        <v>43167</v>
      </c>
      <c r="I1311" t="str">
        <f>VLOOKUP(A1311, [1]Orders!A:E, 3, FALSE)</f>
        <v>Ajay</v>
      </c>
      <c r="J1311" t="str">
        <f>VLOOKUP(A1311, [1]Orders!A:E, 4, FALSE)</f>
        <v>Karnataka</v>
      </c>
      <c r="K1311" t="str">
        <f>VLOOKUP(A1311, [1]Orders!A:E, 5, FALSE)</f>
        <v>Bangalore</v>
      </c>
    </row>
    <row r="1312" spans="1:11" x14ac:dyDescent="0.5">
      <c r="A1312" t="s">
        <v>149</v>
      </c>
      <c r="B1312">
        <v>24</v>
      </c>
      <c r="C1312">
        <v>-30</v>
      </c>
      <c r="D1312">
        <v>1</v>
      </c>
      <c r="E1312" t="s">
        <v>12</v>
      </c>
      <c r="F1312" t="s">
        <v>13</v>
      </c>
      <c r="G1312" t="s">
        <v>10</v>
      </c>
      <c r="H1312" s="1">
        <f>VLOOKUP(A1312, [1]Orders!A:B, 2, FALSE)</f>
        <v>43193</v>
      </c>
      <c r="I1312" t="str">
        <f>VLOOKUP(A1312, [1]Orders!A:E, 3, FALSE)</f>
        <v>Jahan</v>
      </c>
      <c r="J1312" t="str">
        <f>VLOOKUP(A1312, [1]Orders!A:E, 4, FALSE)</f>
        <v>Madhya Pradesh</v>
      </c>
      <c r="K1312" t="str">
        <f>VLOOKUP(A1312, [1]Orders!A:E, 5, FALSE)</f>
        <v>Bhopal</v>
      </c>
    </row>
    <row r="1313" spans="1:11" x14ac:dyDescent="0.5">
      <c r="A1313" t="s">
        <v>223</v>
      </c>
      <c r="B1313">
        <v>32</v>
      </c>
      <c r="C1313">
        <v>-12</v>
      </c>
      <c r="D1313">
        <v>1</v>
      </c>
      <c r="E1313" t="s">
        <v>12</v>
      </c>
      <c r="F1313" t="s">
        <v>13</v>
      </c>
      <c r="G1313" t="s">
        <v>19</v>
      </c>
      <c r="H1313" s="1">
        <f>VLOOKUP(A1313, [1]Orders!A:B, 2, FALSE)</f>
        <v>43130</v>
      </c>
      <c r="I1313" t="str">
        <f>VLOOKUP(A1313, [1]Orders!A:E, 3, FALSE)</f>
        <v>Atul</v>
      </c>
      <c r="J1313" t="str">
        <f>VLOOKUP(A1313, [1]Orders!A:E, 4, FALSE)</f>
        <v>Delhi</v>
      </c>
      <c r="K1313" t="str">
        <f>VLOOKUP(A1313, [1]Orders!A:E, 5, FALSE)</f>
        <v>Delhi</v>
      </c>
    </row>
    <row r="1314" spans="1:11" x14ac:dyDescent="0.5">
      <c r="A1314" t="s">
        <v>135</v>
      </c>
      <c r="B1314">
        <v>31</v>
      </c>
      <c r="C1314">
        <v>-2</v>
      </c>
      <c r="D1314">
        <v>2</v>
      </c>
      <c r="E1314" t="s">
        <v>23</v>
      </c>
      <c r="F1314" t="s">
        <v>26</v>
      </c>
      <c r="G1314" t="s">
        <v>19</v>
      </c>
      <c r="H1314" s="1">
        <f>VLOOKUP(A1314, [1]Orders!A:B, 2, FALSE)</f>
        <v>43226</v>
      </c>
      <c r="I1314" t="str">
        <f>VLOOKUP(A1314, [1]Orders!A:E, 3, FALSE)</f>
        <v>Chirag</v>
      </c>
      <c r="J1314" t="str">
        <f>VLOOKUP(A1314, [1]Orders!A:E, 4, FALSE)</f>
        <v>Maharashtra</v>
      </c>
      <c r="K1314" t="str">
        <f>VLOOKUP(A1314, [1]Orders!A:E, 5, FALSE)</f>
        <v>Mumbai</v>
      </c>
    </row>
    <row r="1315" spans="1:11" x14ac:dyDescent="0.5">
      <c r="A1315" t="s">
        <v>123</v>
      </c>
      <c r="B1315">
        <v>651</v>
      </c>
      <c r="C1315">
        <v>169</v>
      </c>
      <c r="D1315">
        <v>5</v>
      </c>
      <c r="E1315" t="s">
        <v>8</v>
      </c>
      <c r="F1315" t="s">
        <v>18</v>
      </c>
      <c r="G1315" t="s">
        <v>10</v>
      </c>
      <c r="H1315" s="1">
        <f>VLOOKUP(A1315, [1]Orders!A:B, 2, FALSE)</f>
        <v>43231</v>
      </c>
      <c r="I1315" t="str">
        <f>VLOOKUP(A1315, [1]Orders!A:E, 3, FALSE)</f>
        <v>Priyanka</v>
      </c>
      <c r="J1315" t="str">
        <f>VLOOKUP(A1315, [1]Orders!A:E, 4, FALSE)</f>
        <v>Maharashtra</v>
      </c>
      <c r="K1315" t="str">
        <f>VLOOKUP(A1315, [1]Orders!A:E, 5, FALSE)</f>
        <v>Pune</v>
      </c>
    </row>
    <row r="1316" spans="1:11" x14ac:dyDescent="0.5">
      <c r="A1316" t="s">
        <v>309</v>
      </c>
      <c r="B1316">
        <v>326</v>
      </c>
      <c r="C1316">
        <v>107</v>
      </c>
      <c r="D1316">
        <v>3</v>
      </c>
      <c r="E1316" t="s">
        <v>12</v>
      </c>
      <c r="F1316" t="s">
        <v>131</v>
      </c>
      <c r="G1316" t="s">
        <v>28</v>
      </c>
      <c r="H1316" s="1">
        <f>VLOOKUP(A1316, [1]Orders!A:B, 2, FALSE)</f>
        <v>43145</v>
      </c>
      <c r="I1316" t="str">
        <f>VLOOKUP(A1316, [1]Orders!A:E, 3, FALSE)</f>
        <v>Aarushi</v>
      </c>
      <c r="J1316" t="str">
        <f>VLOOKUP(A1316, [1]Orders!A:E, 4, FALSE)</f>
        <v>Tamil Nadu</v>
      </c>
      <c r="K1316" t="str">
        <f>VLOOKUP(A1316, [1]Orders!A:E, 5, FALSE)</f>
        <v>Chennai</v>
      </c>
    </row>
    <row r="1317" spans="1:11" x14ac:dyDescent="0.5">
      <c r="A1317" t="s">
        <v>388</v>
      </c>
      <c r="B1317">
        <v>30</v>
      </c>
      <c r="C1317">
        <v>-6</v>
      </c>
      <c r="D1317">
        <v>2</v>
      </c>
      <c r="E1317" t="s">
        <v>23</v>
      </c>
      <c r="F1317" t="s">
        <v>30</v>
      </c>
      <c r="G1317" t="s">
        <v>28</v>
      </c>
      <c r="H1317" s="1">
        <f>VLOOKUP(A1317, [1]Orders!A:B, 2, FALSE)</f>
        <v>43358</v>
      </c>
      <c r="I1317" t="str">
        <f>VLOOKUP(A1317, [1]Orders!A:E, 3, FALSE)</f>
        <v>Shivangi</v>
      </c>
      <c r="J1317" t="str">
        <f>VLOOKUP(A1317, [1]Orders!A:E, 4, FALSE)</f>
        <v>Madhya Pradesh</v>
      </c>
      <c r="K1317" t="str">
        <f>VLOOKUP(A1317, [1]Orders!A:E, 5, FALSE)</f>
        <v>Indore</v>
      </c>
    </row>
    <row r="1318" spans="1:11" x14ac:dyDescent="0.5">
      <c r="A1318" t="s">
        <v>179</v>
      </c>
      <c r="B1318">
        <v>30</v>
      </c>
      <c r="C1318">
        <v>5</v>
      </c>
      <c r="D1318">
        <v>2</v>
      </c>
      <c r="E1318" t="s">
        <v>23</v>
      </c>
      <c r="F1318" t="s">
        <v>32</v>
      </c>
      <c r="G1318" t="s">
        <v>28</v>
      </c>
      <c r="H1318" s="1">
        <f>VLOOKUP(A1318, [1]Orders!A:B, 2, FALSE)</f>
        <v>43113</v>
      </c>
      <c r="I1318" t="str">
        <f>VLOOKUP(A1318, [1]Orders!A:E, 3, FALSE)</f>
        <v>Jesal</v>
      </c>
      <c r="J1318" t="str">
        <f>VLOOKUP(A1318, [1]Orders!A:E, 4, FALSE)</f>
        <v>West Bengal</v>
      </c>
      <c r="K1318" t="str">
        <f>VLOOKUP(A1318, [1]Orders!A:E, 5, FALSE)</f>
        <v>Kolkata</v>
      </c>
    </row>
    <row r="1319" spans="1:11" x14ac:dyDescent="0.5">
      <c r="A1319" t="s">
        <v>510</v>
      </c>
      <c r="B1319">
        <v>662</v>
      </c>
      <c r="C1319">
        <v>240</v>
      </c>
      <c r="D1319">
        <v>2</v>
      </c>
      <c r="E1319" t="s">
        <v>12</v>
      </c>
      <c r="F1319" t="s">
        <v>16</v>
      </c>
      <c r="G1319" t="s">
        <v>10</v>
      </c>
      <c r="H1319" s="1">
        <f>VLOOKUP(A1319, [1]Orders!A:B, 2, FALSE)</f>
        <v>43125</v>
      </c>
      <c r="I1319" t="str">
        <f>VLOOKUP(A1319, [1]Orders!A:E, 3, FALSE)</f>
        <v>Manisha</v>
      </c>
      <c r="J1319" t="str">
        <f>VLOOKUP(A1319, [1]Orders!A:E, 4, FALSE)</f>
        <v>Rajasthan</v>
      </c>
      <c r="K1319" t="str">
        <f>VLOOKUP(A1319, [1]Orders!A:E, 5, FALSE)</f>
        <v>Udaipur</v>
      </c>
    </row>
    <row r="1320" spans="1:11" x14ac:dyDescent="0.5">
      <c r="A1320" t="s">
        <v>54</v>
      </c>
      <c r="B1320">
        <v>30</v>
      </c>
      <c r="C1320">
        <v>-23</v>
      </c>
      <c r="D1320">
        <v>2</v>
      </c>
      <c r="E1320" t="s">
        <v>23</v>
      </c>
      <c r="F1320" t="s">
        <v>26</v>
      </c>
      <c r="G1320" t="s">
        <v>28</v>
      </c>
      <c r="H1320" s="1">
        <f>VLOOKUP(A1320, [1]Orders!A:B, 2, FALSE)</f>
        <v>43330</v>
      </c>
      <c r="I1320" t="str">
        <f>VLOOKUP(A1320, [1]Orders!A:E, 3, FALSE)</f>
        <v>Akshay</v>
      </c>
      <c r="J1320" t="str">
        <f>VLOOKUP(A1320, [1]Orders!A:E, 4, FALSE)</f>
        <v>Bihar</v>
      </c>
      <c r="K1320" t="str">
        <f>VLOOKUP(A1320, [1]Orders!A:E, 5, FALSE)</f>
        <v>Patna</v>
      </c>
    </row>
    <row r="1321" spans="1:11" x14ac:dyDescent="0.5">
      <c r="A1321" t="s">
        <v>253</v>
      </c>
      <c r="B1321">
        <v>29</v>
      </c>
      <c r="C1321">
        <v>9</v>
      </c>
      <c r="D1321">
        <v>3</v>
      </c>
      <c r="E1321" t="s">
        <v>23</v>
      </c>
      <c r="F1321" t="s">
        <v>26</v>
      </c>
      <c r="G1321" t="s">
        <v>28</v>
      </c>
      <c r="H1321" s="1">
        <f>VLOOKUP(A1321, [1]Orders!A:B, 2, FALSE)</f>
        <v>43180</v>
      </c>
      <c r="I1321" t="str">
        <f>VLOOKUP(A1321, [1]Orders!A:E, 3, FALSE)</f>
        <v>Pournamasi</v>
      </c>
      <c r="J1321" t="str">
        <f>VLOOKUP(A1321, [1]Orders!A:E, 4, FALSE)</f>
        <v>Madhya Pradesh</v>
      </c>
      <c r="K1321" t="str">
        <f>VLOOKUP(A1321, [1]Orders!A:E, 5, FALSE)</f>
        <v>Indore</v>
      </c>
    </row>
    <row r="1322" spans="1:11" x14ac:dyDescent="0.5">
      <c r="A1322" t="s">
        <v>163</v>
      </c>
      <c r="B1322">
        <v>28</v>
      </c>
      <c r="C1322">
        <v>1</v>
      </c>
      <c r="D1322">
        <v>1</v>
      </c>
      <c r="E1322" t="s">
        <v>8</v>
      </c>
      <c r="F1322" t="s">
        <v>73</v>
      </c>
      <c r="G1322" t="s">
        <v>28</v>
      </c>
      <c r="H1322" s="1">
        <f>VLOOKUP(A1322, [1]Orders!A:B, 2, FALSE)</f>
        <v>43367</v>
      </c>
      <c r="I1322" t="str">
        <f>VLOOKUP(A1322, [1]Orders!A:E, 3, FALSE)</f>
        <v>Sukrith</v>
      </c>
      <c r="J1322" t="str">
        <f>VLOOKUP(A1322, [1]Orders!A:E, 4, FALSE)</f>
        <v>Maharashtra</v>
      </c>
      <c r="K1322" t="str">
        <f>VLOOKUP(A1322, [1]Orders!A:E, 5, FALSE)</f>
        <v>Mumbai</v>
      </c>
    </row>
    <row r="1323" spans="1:11" x14ac:dyDescent="0.5">
      <c r="A1323" t="s">
        <v>117</v>
      </c>
      <c r="B1323">
        <v>28</v>
      </c>
      <c r="C1323">
        <v>-3</v>
      </c>
      <c r="D1323">
        <v>2</v>
      </c>
      <c r="E1323" t="s">
        <v>23</v>
      </c>
      <c r="F1323" t="s">
        <v>26</v>
      </c>
      <c r="G1323" t="s">
        <v>28</v>
      </c>
      <c r="H1323" s="1">
        <f>VLOOKUP(A1323, [1]Orders!A:B, 2, FALSE)</f>
        <v>43228</v>
      </c>
      <c r="I1323" t="str">
        <f>VLOOKUP(A1323, [1]Orders!A:E, 3, FALSE)</f>
        <v>Farah</v>
      </c>
      <c r="J1323" t="str">
        <f>VLOOKUP(A1323, [1]Orders!A:E, 4, FALSE)</f>
        <v>Nagaland</v>
      </c>
      <c r="K1323" t="str">
        <f>VLOOKUP(A1323, [1]Orders!A:E, 5, FALSE)</f>
        <v>Kohima</v>
      </c>
    </row>
    <row r="1324" spans="1:11" x14ac:dyDescent="0.5">
      <c r="A1324" t="s">
        <v>511</v>
      </c>
      <c r="B1324">
        <v>24</v>
      </c>
      <c r="C1324">
        <v>2</v>
      </c>
      <c r="D1324">
        <v>4</v>
      </c>
      <c r="E1324" t="s">
        <v>23</v>
      </c>
      <c r="F1324" t="s">
        <v>30</v>
      </c>
      <c r="G1324" t="s">
        <v>10</v>
      </c>
      <c r="H1324" s="1">
        <f>VLOOKUP(A1324, [1]Orders!A:B, 2, FALSE)</f>
        <v>43432</v>
      </c>
      <c r="I1324" t="str">
        <f>VLOOKUP(A1324, [1]Orders!A:E, 3, FALSE)</f>
        <v>Sumeet</v>
      </c>
      <c r="J1324" t="str">
        <f>VLOOKUP(A1324, [1]Orders!A:E, 4, FALSE)</f>
        <v>Maharashtra</v>
      </c>
      <c r="K1324" t="str">
        <f>VLOOKUP(A1324, [1]Orders!A:E, 5, FALSE)</f>
        <v>Mumbai</v>
      </c>
    </row>
    <row r="1325" spans="1:11" x14ac:dyDescent="0.5">
      <c r="A1325" t="s">
        <v>135</v>
      </c>
      <c r="B1325">
        <v>28</v>
      </c>
      <c r="C1325">
        <v>-26</v>
      </c>
      <c r="D1325">
        <v>2</v>
      </c>
      <c r="E1325" t="s">
        <v>23</v>
      </c>
      <c r="F1325" t="s">
        <v>57</v>
      </c>
      <c r="G1325" t="s">
        <v>28</v>
      </c>
      <c r="H1325" s="1">
        <f>VLOOKUP(A1325, [1]Orders!A:B, 2, FALSE)</f>
        <v>43226</v>
      </c>
      <c r="I1325" t="str">
        <f>VLOOKUP(A1325, [1]Orders!A:E, 3, FALSE)</f>
        <v>Chirag</v>
      </c>
      <c r="J1325" t="str">
        <f>VLOOKUP(A1325, [1]Orders!A:E, 4, FALSE)</f>
        <v>Maharashtra</v>
      </c>
      <c r="K1325" t="str">
        <f>VLOOKUP(A1325, [1]Orders!A:E, 5, FALSE)</f>
        <v>Mumbai</v>
      </c>
    </row>
    <row r="1326" spans="1:11" x14ac:dyDescent="0.5">
      <c r="A1326" t="s">
        <v>275</v>
      </c>
      <c r="B1326">
        <v>27</v>
      </c>
      <c r="C1326">
        <v>5</v>
      </c>
      <c r="D1326">
        <v>1</v>
      </c>
      <c r="E1326" t="s">
        <v>23</v>
      </c>
      <c r="F1326" t="s">
        <v>57</v>
      </c>
      <c r="G1326" t="s">
        <v>28</v>
      </c>
      <c r="H1326" s="1">
        <f>VLOOKUP(A1326, [1]Orders!A:B, 2, FALSE)</f>
        <v>43162</v>
      </c>
      <c r="I1326" t="str">
        <f>VLOOKUP(A1326, [1]Orders!A:E, 3, FALSE)</f>
        <v>Nidhi</v>
      </c>
      <c r="J1326" t="str">
        <f>VLOOKUP(A1326, [1]Orders!A:E, 4, FALSE)</f>
        <v>Nagaland</v>
      </c>
      <c r="K1326" t="str">
        <f>VLOOKUP(A1326, [1]Orders!A:E, 5, FALSE)</f>
        <v>Kohima</v>
      </c>
    </row>
    <row r="1327" spans="1:11" x14ac:dyDescent="0.5">
      <c r="A1327" t="s">
        <v>512</v>
      </c>
      <c r="B1327">
        <v>27</v>
      </c>
      <c r="C1327">
        <v>-15</v>
      </c>
      <c r="D1327">
        <v>1</v>
      </c>
      <c r="E1327" t="s">
        <v>23</v>
      </c>
      <c r="F1327" t="s">
        <v>57</v>
      </c>
      <c r="G1327" t="s">
        <v>28</v>
      </c>
      <c r="H1327" s="1">
        <f>VLOOKUP(A1327, [1]Orders!A:B, 2, FALSE)</f>
        <v>43248</v>
      </c>
      <c r="I1327" t="str">
        <f>VLOOKUP(A1327, [1]Orders!A:E, 3, FALSE)</f>
        <v>Akanksha</v>
      </c>
      <c r="J1327" t="str">
        <f>VLOOKUP(A1327, [1]Orders!A:E, 4, FALSE)</f>
        <v>Andhra Pradesh</v>
      </c>
      <c r="K1327" t="str">
        <f>VLOOKUP(A1327, [1]Orders!A:E, 5, FALSE)</f>
        <v>Hyderabad</v>
      </c>
    </row>
    <row r="1328" spans="1:11" x14ac:dyDescent="0.5">
      <c r="A1328" t="s">
        <v>383</v>
      </c>
      <c r="B1328">
        <v>24</v>
      </c>
      <c r="C1328">
        <v>11</v>
      </c>
      <c r="D1328">
        <v>3</v>
      </c>
      <c r="E1328" t="s">
        <v>23</v>
      </c>
      <c r="F1328" t="s">
        <v>30</v>
      </c>
      <c r="G1328" t="s">
        <v>10</v>
      </c>
      <c r="H1328" s="1">
        <f>VLOOKUP(A1328, [1]Orders!A:B, 2, FALSE)</f>
        <v>43113</v>
      </c>
      <c r="I1328" t="str">
        <f>VLOOKUP(A1328, [1]Orders!A:E, 3, FALSE)</f>
        <v>Shantanu</v>
      </c>
      <c r="J1328" t="str">
        <f>VLOOKUP(A1328, [1]Orders!A:E, 4, FALSE)</f>
        <v>Maharashtra</v>
      </c>
      <c r="K1328" t="str">
        <f>VLOOKUP(A1328, [1]Orders!A:E, 5, FALSE)</f>
        <v>Mumbai</v>
      </c>
    </row>
    <row r="1329" spans="1:11" x14ac:dyDescent="0.5">
      <c r="A1329" t="s">
        <v>266</v>
      </c>
      <c r="B1329">
        <v>23</v>
      </c>
      <c r="C1329">
        <v>-6</v>
      </c>
      <c r="D1329">
        <v>4</v>
      </c>
      <c r="E1329" t="s">
        <v>23</v>
      </c>
      <c r="F1329" t="s">
        <v>30</v>
      </c>
      <c r="G1329" t="s">
        <v>10</v>
      </c>
      <c r="H1329" s="1">
        <f>VLOOKUP(A1329, [1]Orders!A:B, 2, FALSE)</f>
        <v>43309</v>
      </c>
      <c r="I1329" t="str">
        <f>VLOOKUP(A1329, [1]Orders!A:E, 3, FALSE)</f>
        <v>Dhirajendu</v>
      </c>
      <c r="J1329" t="str">
        <f>VLOOKUP(A1329, [1]Orders!A:E, 4, FALSE)</f>
        <v>Maharashtra</v>
      </c>
      <c r="K1329" t="str">
        <f>VLOOKUP(A1329, [1]Orders!A:E, 5, FALSE)</f>
        <v>Mumbai</v>
      </c>
    </row>
    <row r="1330" spans="1:11" x14ac:dyDescent="0.5">
      <c r="A1330" t="s">
        <v>99</v>
      </c>
      <c r="B1330">
        <v>322</v>
      </c>
      <c r="C1330">
        <v>193</v>
      </c>
      <c r="D1330">
        <v>5</v>
      </c>
      <c r="E1330" t="s">
        <v>8</v>
      </c>
      <c r="F1330" t="s">
        <v>18</v>
      </c>
      <c r="G1330" t="s">
        <v>10</v>
      </c>
      <c r="H1330" s="1">
        <f>VLOOKUP(A1330, [1]Orders!A:B, 2, FALSE)</f>
        <v>43273</v>
      </c>
      <c r="I1330" t="str">
        <f>VLOOKUP(A1330, [1]Orders!A:E, 3, FALSE)</f>
        <v>Vijay</v>
      </c>
      <c r="J1330" t="str">
        <f>VLOOKUP(A1330, [1]Orders!A:E, 4, FALSE)</f>
        <v>Jammu and Kashmir</v>
      </c>
      <c r="K1330" t="str">
        <f>VLOOKUP(A1330, [1]Orders!A:E, 5, FALSE)</f>
        <v>Kashmir</v>
      </c>
    </row>
    <row r="1331" spans="1:11" x14ac:dyDescent="0.5">
      <c r="A1331" t="s">
        <v>202</v>
      </c>
      <c r="B1331">
        <v>688</v>
      </c>
      <c r="C1331">
        <v>-103</v>
      </c>
      <c r="D1331">
        <v>6</v>
      </c>
      <c r="E1331" t="s">
        <v>8</v>
      </c>
      <c r="F1331" t="s">
        <v>73</v>
      </c>
      <c r="G1331" t="s">
        <v>82</v>
      </c>
      <c r="H1331" s="1">
        <f>VLOOKUP(A1331, [1]Orders!A:B, 2, FALSE)</f>
        <v>43438</v>
      </c>
      <c r="I1331" t="str">
        <f>VLOOKUP(A1331, [1]Orders!A:E, 3, FALSE)</f>
        <v>Vrinda</v>
      </c>
      <c r="J1331" t="str">
        <f>VLOOKUP(A1331, [1]Orders!A:E, 4, FALSE)</f>
        <v>Uttar Pradesh</v>
      </c>
      <c r="K1331" t="str">
        <f>VLOOKUP(A1331, [1]Orders!A:E, 5, FALSE)</f>
        <v>Mathura</v>
      </c>
    </row>
    <row r="1332" spans="1:11" x14ac:dyDescent="0.5">
      <c r="A1332" t="s">
        <v>371</v>
      </c>
      <c r="B1332">
        <v>23</v>
      </c>
      <c r="C1332">
        <v>-3</v>
      </c>
      <c r="D1332">
        <v>1</v>
      </c>
      <c r="E1332" t="s">
        <v>23</v>
      </c>
      <c r="F1332" t="s">
        <v>142</v>
      </c>
      <c r="G1332" t="s">
        <v>10</v>
      </c>
      <c r="H1332" s="1">
        <f>VLOOKUP(A1332, [1]Orders!A:B, 2, FALSE)</f>
        <v>43378</v>
      </c>
      <c r="I1332" t="str">
        <f>VLOOKUP(A1332, [1]Orders!A:E, 3, FALSE)</f>
        <v>Yash</v>
      </c>
      <c r="J1332" t="str">
        <f>VLOOKUP(A1332, [1]Orders!A:E, 4, FALSE)</f>
        <v>Maharashtra</v>
      </c>
      <c r="K1332" t="str">
        <f>VLOOKUP(A1332, [1]Orders!A:E, 5, FALSE)</f>
        <v>Mumbai</v>
      </c>
    </row>
    <row r="1333" spans="1:11" x14ac:dyDescent="0.5">
      <c r="A1333" t="s">
        <v>209</v>
      </c>
      <c r="B1333">
        <v>26</v>
      </c>
      <c r="C1333">
        <v>3</v>
      </c>
      <c r="D1333">
        <v>3</v>
      </c>
      <c r="E1333" t="s">
        <v>23</v>
      </c>
      <c r="F1333" t="s">
        <v>43</v>
      </c>
      <c r="G1333" t="s">
        <v>28</v>
      </c>
      <c r="H1333" s="1">
        <f>VLOOKUP(A1333, [1]Orders!A:B, 2, FALSE)</f>
        <v>43118</v>
      </c>
      <c r="I1333" t="str">
        <f>VLOOKUP(A1333, [1]Orders!A:E, 3, FALSE)</f>
        <v>Surbhi</v>
      </c>
      <c r="J1333" t="str">
        <f>VLOOKUP(A1333, [1]Orders!A:E, 4, FALSE)</f>
        <v>Gujarat</v>
      </c>
      <c r="K1333" t="str">
        <f>VLOOKUP(A1333, [1]Orders!A:E, 5, FALSE)</f>
        <v>Ahmedabad</v>
      </c>
    </row>
    <row r="1334" spans="1:11" x14ac:dyDescent="0.5">
      <c r="A1334" t="s">
        <v>262</v>
      </c>
      <c r="B1334">
        <v>68</v>
      </c>
      <c r="C1334">
        <v>-56</v>
      </c>
      <c r="D1334">
        <v>2</v>
      </c>
      <c r="E1334" t="s">
        <v>8</v>
      </c>
      <c r="F1334" t="s">
        <v>21</v>
      </c>
      <c r="G1334" t="s">
        <v>10</v>
      </c>
      <c r="H1334" s="1">
        <f>VLOOKUP(A1334, [1]Orders!A:B, 2, FALSE)</f>
        <v>43326</v>
      </c>
      <c r="I1334" t="str">
        <f>VLOOKUP(A1334, [1]Orders!A:E, 3, FALSE)</f>
        <v>Nishant</v>
      </c>
      <c r="J1334" t="str">
        <f>VLOOKUP(A1334, [1]Orders!A:E, 4, FALSE)</f>
        <v>Maharashtra</v>
      </c>
      <c r="K1334" t="str">
        <f>VLOOKUP(A1334, [1]Orders!A:E, 5, FALSE)</f>
        <v>Mumbai</v>
      </c>
    </row>
    <row r="1335" spans="1:11" x14ac:dyDescent="0.5">
      <c r="A1335" t="s">
        <v>392</v>
      </c>
      <c r="B1335">
        <v>462</v>
      </c>
      <c r="C1335">
        <v>169</v>
      </c>
      <c r="D1335">
        <v>4</v>
      </c>
      <c r="E1335" t="s">
        <v>23</v>
      </c>
      <c r="F1335" t="s">
        <v>26</v>
      </c>
      <c r="G1335" t="s">
        <v>10</v>
      </c>
      <c r="H1335" s="1">
        <f>VLOOKUP(A1335, [1]Orders!A:B, 2, FALSE)</f>
        <v>43383</v>
      </c>
      <c r="I1335" t="str">
        <f>VLOOKUP(A1335, [1]Orders!A:E, 3, FALSE)</f>
        <v>Swapnil</v>
      </c>
      <c r="J1335" t="str">
        <f>VLOOKUP(A1335, [1]Orders!A:E, 4, FALSE)</f>
        <v>Madhya Pradesh</v>
      </c>
      <c r="K1335" t="str">
        <f>VLOOKUP(A1335, [1]Orders!A:E, 5, FALSE)</f>
        <v>Indore</v>
      </c>
    </row>
    <row r="1336" spans="1:11" x14ac:dyDescent="0.5">
      <c r="A1336" t="s">
        <v>469</v>
      </c>
      <c r="B1336">
        <v>941</v>
      </c>
      <c r="C1336">
        <v>203</v>
      </c>
      <c r="D1336">
        <v>3</v>
      </c>
      <c r="E1336" t="s">
        <v>12</v>
      </c>
      <c r="F1336" t="s">
        <v>45</v>
      </c>
      <c r="G1336" t="s">
        <v>28</v>
      </c>
      <c r="H1336" s="1">
        <f>VLOOKUP(A1336, [1]Orders!A:B, 2, FALSE)</f>
        <v>43278</v>
      </c>
      <c r="I1336" t="str">
        <f>VLOOKUP(A1336, [1]Orders!A:E, 3, FALSE)</f>
        <v>Shaily</v>
      </c>
      <c r="J1336" t="str">
        <f>VLOOKUP(A1336, [1]Orders!A:E, 4, FALSE)</f>
        <v>Maharashtra</v>
      </c>
      <c r="K1336" t="str">
        <f>VLOOKUP(A1336, [1]Orders!A:E, 5, FALSE)</f>
        <v>Mumbai</v>
      </c>
    </row>
    <row r="1337" spans="1:11" x14ac:dyDescent="0.5">
      <c r="A1337" t="s">
        <v>191</v>
      </c>
      <c r="B1337">
        <v>23</v>
      </c>
      <c r="C1337">
        <v>4</v>
      </c>
      <c r="D1337">
        <v>2</v>
      </c>
      <c r="E1337" t="s">
        <v>23</v>
      </c>
      <c r="F1337" t="s">
        <v>43</v>
      </c>
      <c r="G1337" t="s">
        <v>10</v>
      </c>
      <c r="H1337" s="1">
        <f>VLOOKUP(A1337, [1]Orders!A:B, 2, FALSE)</f>
        <v>43439</v>
      </c>
      <c r="I1337" t="str">
        <f>VLOOKUP(A1337, [1]Orders!A:E, 3, FALSE)</f>
        <v>Aman</v>
      </c>
      <c r="J1337" t="str">
        <f>VLOOKUP(A1337, [1]Orders!A:E, 4, FALSE)</f>
        <v>Maharashtra</v>
      </c>
      <c r="K1337" t="str">
        <f>VLOOKUP(A1337, [1]Orders!A:E, 5, FALSE)</f>
        <v>Mumbai</v>
      </c>
    </row>
    <row r="1338" spans="1:11" x14ac:dyDescent="0.5">
      <c r="A1338" t="s">
        <v>436</v>
      </c>
      <c r="B1338">
        <v>720</v>
      </c>
      <c r="C1338">
        <v>43</v>
      </c>
      <c r="D1338">
        <v>2</v>
      </c>
      <c r="E1338" t="s">
        <v>8</v>
      </c>
      <c r="F1338" t="s">
        <v>18</v>
      </c>
      <c r="G1338" t="s">
        <v>28</v>
      </c>
      <c r="H1338" s="1">
        <f>VLOOKUP(A1338, [1]Orders!A:B, 2, FALSE)</f>
        <v>43121</v>
      </c>
      <c r="I1338" t="str">
        <f>VLOOKUP(A1338, [1]Orders!A:E, 3, FALSE)</f>
        <v>Shreyshi</v>
      </c>
      <c r="J1338" t="str">
        <f>VLOOKUP(A1338, [1]Orders!A:E, 4, FALSE)</f>
        <v>Gujarat</v>
      </c>
      <c r="K1338" t="str">
        <f>VLOOKUP(A1338, [1]Orders!A:E, 5, FALSE)</f>
        <v>Surat</v>
      </c>
    </row>
    <row r="1339" spans="1:11" x14ac:dyDescent="0.5">
      <c r="A1339" t="s">
        <v>52</v>
      </c>
      <c r="B1339">
        <v>724</v>
      </c>
      <c r="C1339">
        <v>-447</v>
      </c>
      <c r="D1339">
        <v>4</v>
      </c>
      <c r="E1339" t="s">
        <v>8</v>
      </c>
      <c r="F1339" t="s">
        <v>9</v>
      </c>
      <c r="G1339" t="s">
        <v>28</v>
      </c>
      <c r="H1339" s="1">
        <f>VLOOKUP(A1339, [1]Orders!A:B, 2, FALSE)</f>
        <v>43354</v>
      </c>
      <c r="I1339" t="str">
        <f>VLOOKUP(A1339, [1]Orders!A:E, 3, FALSE)</f>
        <v>Surabhi</v>
      </c>
      <c r="J1339" t="str">
        <f>VLOOKUP(A1339, [1]Orders!A:E, 4, FALSE)</f>
        <v>Maharashtra</v>
      </c>
      <c r="K1339" t="str">
        <f>VLOOKUP(A1339, [1]Orders!A:E, 5, FALSE)</f>
        <v>Mumbai</v>
      </c>
    </row>
    <row r="1340" spans="1:11" x14ac:dyDescent="0.5">
      <c r="A1340" t="s">
        <v>513</v>
      </c>
      <c r="B1340">
        <v>724</v>
      </c>
      <c r="C1340">
        <v>253</v>
      </c>
      <c r="D1340">
        <v>2</v>
      </c>
      <c r="E1340" t="s">
        <v>12</v>
      </c>
      <c r="F1340" t="s">
        <v>16</v>
      </c>
      <c r="G1340" t="s">
        <v>28</v>
      </c>
      <c r="H1340" s="1">
        <f>VLOOKUP(A1340, [1]Orders!A:B, 2, FALSE)</f>
        <v>43418</v>
      </c>
      <c r="I1340" t="str">
        <f>VLOOKUP(A1340, [1]Orders!A:E, 3, FALSE)</f>
        <v>Chikku</v>
      </c>
      <c r="J1340" t="str">
        <f>VLOOKUP(A1340, [1]Orders!A:E, 4, FALSE)</f>
        <v>Madhya Pradesh</v>
      </c>
      <c r="K1340" t="str">
        <f>VLOOKUP(A1340, [1]Orders!A:E, 5, FALSE)</f>
        <v>Indore</v>
      </c>
    </row>
    <row r="1341" spans="1:11" x14ac:dyDescent="0.5">
      <c r="A1341" t="s">
        <v>79</v>
      </c>
      <c r="B1341">
        <v>26</v>
      </c>
      <c r="C1341">
        <v>10</v>
      </c>
      <c r="D1341">
        <v>4</v>
      </c>
      <c r="E1341" t="s">
        <v>23</v>
      </c>
      <c r="F1341" t="s">
        <v>30</v>
      </c>
      <c r="G1341" t="s">
        <v>28</v>
      </c>
      <c r="H1341" s="1">
        <f>VLOOKUP(A1341, [1]Orders!A:B, 2, FALSE)</f>
        <v>43383</v>
      </c>
      <c r="I1341" t="str">
        <f>VLOOKUP(A1341, [1]Orders!A:E, 3, FALSE)</f>
        <v>Nripraj</v>
      </c>
      <c r="J1341" t="str">
        <f>VLOOKUP(A1341, [1]Orders!A:E, 4, FALSE)</f>
        <v>Punjab</v>
      </c>
      <c r="K1341" t="str">
        <f>VLOOKUP(A1341, [1]Orders!A:E, 5, FALSE)</f>
        <v>Chandigarh</v>
      </c>
    </row>
    <row r="1342" spans="1:11" x14ac:dyDescent="0.5">
      <c r="A1342" t="s">
        <v>107</v>
      </c>
      <c r="B1342">
        <v>22</v>
      </c>
      <c r="C1342">
        <v>-2</v>
      </c>
      <c r="D1342">
        <v>3</v>
      </c>
      <c r="E1342" t="s">
        <v>23</v>
      </c>
      <c r="F1342" t="s">
        <v>30</v>
      </c>
      <c r="G1342" t="s">
        <v>10</v>
      </c>
      <c r="H1342" s="1">
        <f>VLOOKUP(A1342, [1]Orders!A:B, 2, FALSE)</f>
        <v>43205</v>
      </c>
      <c r="I1342" t="str">
        <f>VLOOKUP(A1342, [1]Orders!A:E, 3, FALSE)</f>
        <v>Kanak</v>
      </c>
      <c r="J1342" t="str">
        <f>VLOOKUP(A1342, [1]Orders!A:E, 4, FALSE)</f>
        <v>Goa</v>
      </c>
      <c r="K1342" t="str">
        <f>VLOOKUP(A1342, [1]Orders!A:E, 5, FALSE)</f>
        <v>Goa</v>
      </c>
    </row>
    <row r="1343" spans="1:11" x14ac:dyDescent="0.5">
      <c r="A1343" t="s">
        <v>189</v>
      </c>
      <c r="B1343">
        <v>711</v>
      </c>
      <c r="C1343">
        <v>-8</v>
      </c>
      <c r="D1343">
        <v>4</v>
      </c>
      <c r="E1343" t="s">
        <v>23</v>
      </c>
      <c r="F1343" t="s">
        <v>26</v>
      </c>
      <c r="G1343" t="s">
        <v>82</v>
      </c>
      <c r="H1343" s="1">
        <f>VLOOKUP(A1343, [1]Orders!A:B, 2, FALSE)</f>
        <v>43216</v>
      </c>
      <c r="I1343" t="str">
        <f>VLOOKUP(A1343, [1]Orders!A:E, 3, FALSE)</f>
        <v>Amit</v>
      </c>
      <c r="J1343" t="str">
        <f>VLOOKUP(A1343, [1]Orders!A:E, 4, FALSE)</f>
        <v>Sikkim</v>
      </c>
      <c r="K1343" t="str">
        <f>VLOOKUP(A1343, [1]Orders!A:E, 5, FALSE)</f>
        <v>Gangtok</v>
      </c>
    </row>
    <row r="1344" spans="1:11" x14ac:dyDescent="0.5">
      <c r="A1344" t="s">
        <v>288</v>
      </c>
      <c r="B1344">
        <v>107</v>
      </c>
      <c r="C1344">
        <v>31</v>
      </c>
      <c r="D1344">
        <v>5</v>
      </c>
      <c r="E1344" t="s">
        <v>23</v>
      </c>
      <c r="F1344" t="s">
        <v>81</v>
      </c>
      <c r="G1344" t="s">
        <v>10</v>
      </c>
      <c r="H1344" s="1">
        <f>VLOOKUP(A1344, [1]Orders!A:B, 2, FALSE)</f>
        <v>43329</v>
      </c>
      <c r="I1344" t="str">
        <f>VLOOKUP(A1344, [1]Orders!A:E, 3, FALSE)</f>
        <v>Shivam</v>
      </c>
      <c r="J1344" t="str">
        <f>VLOOKUP(A1344, [1]Orders!A:E, 4, FALSE)</f>
        <v>Uttar Pradesh</v>
      </c>
      <c r="K1344" t="str">
        <f>VLOOKUP(A1344, [1]Orders!A:E, 5, FALSE)</f>
        <v>Lucknow</v>
      </c>
    </row>
    <row r="1345" spans="1:11" x14ac:dyDescent="0.5">
      <c r="A1345" t="s">
        <v>341</v>
      </c>
      <c r="B1345">
        <v>765</v>
      </c>
      <c r="C1345">
        <v>-153</v>
      </c>
      <c r="D1345">
        <v>2</v>
      </c>
      <c r="E1345" t="s">
        <v>8</v>
      </c>
      <c r="F1345" t="s">
        <v>21</v>
      </c>
      <c r="G1345" t="s">
        <v>82</v>
      </c>
      <c r="H1345" s="1">
        <f>VLOOKUP(A1345, [1]Orders!A:B, 2, FALSE)</f>
        <v>43340</v>
      </c>
      <c r="I1345" t="str">
        <f>VLOOKUP(A1345, [1]Orders!A:E, 3, FALSE)</f>
        <v>Sanjova</v>
      </c>
      <c r="J1345" t="str">
        <f>VLOOKUP(A1345, [1]Orders!A:E, 4, FALSE)</f>
        <v>Maharashtra</v>
      </c>
      <c r="K1345" t="str">
        <f>VLOOKUP(A1345, [1]Orders!A:E, 5, FALSE)</f>
        <v>Pune</v>
      </c>
    </row>
    <row r="1346" spans="1:11" x14ac:dyDescent="0.5">
      <c r="A1346" t="s">
        <v>382</v>
      </c>
      <c r="B1346">
        <v>22</v>
      </c>
      <c r="C1346">
        <v>8</v>
      </c>
      <c r="D1346">
        <v>2</v>
      </c>
      <c r="E1346" t="s">
        <v>23</v>
      </c>
      <c r="F1346" t="s">
        <v>63</v>
      </c>
      <c r="G1346" t="s">
        <v>10</v>
      </c>
      <c r="H1346" s="1">
        <f>VLOOKUP(A1346, [1]Orders!A:B, 2, FALSE)</f>
        <v>43419</v>
      </c>
      <c r="I1346" t="str">
        <f>VLOOKUP(A1346, [1]Orders!A:E, 3, FALSE)</f>
        <v>Aromal</v>
      </c>
      <c r="J1346" t="str">
        <f>VLOOKUP(A1346, [1]Orders!A:E, 4, FALSE)</f>
        <v>Maharashtra</v>
      </c>
      <c r="K1346" t="str">
        <f>VLOOKUP(A1346, [1]Orders!A:E, 5, FALSE)</f>
        <v>Mumbai</v>
      </c>
    </row>
    <row r="1347" spans="1:11" x14ac:dyDescent="0.5">
      <c r="A1347" t="s">
        <v>418</v>
      </c>
      <c r="B1347">
        <v>26</v>
      </c>
      <c r="C1347">
        <v>-5</v>
      </c>
      <c r="D1347">
        <v>2</v>
      </c>
      <c r="E1347" t="s">
        <v>23</v>
      </c>
      <c r="F1347" t="s">
        <v>57</v>
      </c>
      <c r="G1347" t="s">
        <v>28</v>
      </c>
      <c r="H1347" s="1">
        <f>VLOOKUP(A1347, [1]Orders!A:B, 2, FALSE)</f>
        <v>43301</v>
      </c>
      <c r="I1347" t="str">
        <f>VLOOKUP(A1347, [1]Orders!A:E, 3, FALSE)</f>
        <v>Anisha</v>
      </c>
      <c r="J1347" t="str">
        <f>VLOOKUP(A1347, [1]Orders!A:E, 4, FALSE)</f>
        <v>Nagaland</v>
      </c>
      <c r="K1347" t="str">
        <f>VLOOKUP(A1347, [1]Orders!A:E, 5, FALSE)</f>
        <v>Kohima</v>
      </c>
    </row>
    <row r="1348" spans="1:11" x14ac:dyDescent="0.5">
      <c r="A1348" t="s">
        <v>187</v>
      </c>
      <c r="B1348">
        <v>22</v>
      </c>
      <c r="C1348">
        <v>8</v>
      </c>
      <c r="D1348">
        <v>3</v>
      </c>
      <c r="E1348" t="s">
        <v>23</v>
      </c>
      <c r="F1348" t="s">
        <v>30</v>
      </c>
      <c r="G1348" t="s">
        <v>10</v>
      </c>
      <c r="H1348" s="1">
        <f>VLOOKUP(A1348, [1]Orders!A:B, 2, FALSE)</f>
        <v>43417</v>
      </c>
      <c r="I1348" t="str">
        <f>VLOOKUP(A1348, [1]Orders!A:E, 3, FALSE)</f>
        <v>Uudhav</v>
      </c>
      <c r="J1348" t="str">
        <f>VLOOKUP(A1348, [1]Orders!A:E, 4, FALSE)</f>
        <v>Maharashtra</v>
      </c>
      <c r="K1348" t="str">
        <f>VLOOKUP(A1348, [1]Orders!A:E, 5, FALSE)</f>
        <v>Mumbai</v>
      </c>
    </row>
    <row r="1349" spans="1:11" x14ac:dyDescent="0.5">
      <c r="A1349" t="s">
        <v>514</v>
      </c>
      <c r="B1349">
        <v>743</v>
      </c>
      <c r="C1349">
        <v>89</v>
      </c>
      <c r="D1349">
        <v>5</v>
      </c>
      <c r="E1349" t="s">
        <v>8</v>
      </c>
      <c r="F1349" t="s">
        <v>18</v>
      </c>
      <c r="G1349" t="s">
        <v>28</v>
      </c>
      <c r="H1349" s="1">
        <f>VLOOKUP(A1349, [1]Orders!A:B, 2, FALSE)</f>
        <v>43386</v>
      </c>
      <c r="I1349" t="str">
        <f>VLOOKUP(A1349, [1]Orders!A:E, 3, FALSE)</f>
        <v>Praneet</v>
      </c>
      <c r="J1349" t="str">
        <f>VLOOKUP(A1349, [1]Orders!A:E, 4, FALSE)</f>
        <v>Maharashtra</v>
      </c>
      <c r="K1349" t="str">
        <f>VLOOKUP(A1349, [1]Orders!A:E, 5, FALSE)</f>
        <v>Mumbai</v>
      </c>
    </row>
    <row r="1350" spans="1:11" x14ac:dyDescent="0.5">
      <c r="A1350" t="s">
        <v>33</v>
      </c>
      <c r="B1350">
        <v>22</v>
      </c>
      <c r="C1350">
        <v>-15</v>
      </c>
      <c r="D1350">
        <v>4</v>
      </c>
      <c r="E1350" t="s">
        <v>23</v>
      </c>
      <c r="F1350" t="s">
        <v>32</v>
      </c>
      <c r="G1350" t="s">
        <v>10</v>
      </c>
      <c r="H1350" s="1">
        <f>VLOOKUP(A1350, [1]Orders!A:B, 2, FALSE)</f>
        <v>43279</v>
      </c>
      <c r="I1350" t="str">
        <f>VLOOKUP(A1350, [1]Orders!A:E, 3, FALSE)</f>
        <v>Ekta</v>
      </c>
      <c r="J1350" t="str">
        <f>VLOOKUP(A1350, [1]Orders!A:E, 4, FALSE)</f>
        <v>Madhya Pradesh</v>
      </c>
      <c r="K1350" t="str">
        <f>VLOOKUP(A1350, [1]Orders!A:E, 5, FALSE)</f>
        <v>Indore</v>
      </c>
    </row>
    <row r="1351" spans="1:11" x14ac:dyDescent="0.5">
      <c r="A1351" t="s">
        <v>265</v>
      </c>
      <c r="B1351">
        <v>781</v>
      </c>
      <c r="C1351">
        <v>594</v>
      </c>
      <c r="D1351">
        <v>6</v>
      </c>
      <c r="E1351" t="s">
        <v>8</v>
      </c>
      <c r="F1351" t="s">
        <v>18</v>
      </c>
      <c r="G1351" t="s">
        <v>82</v>
      </c>
      <c r="H1351" s="1">
        <f>VLOOKUP(A1351, [1]Orders!A:B, 2, FALSE)</f>
        <v>43199</v>
      </c>
      <c r="I1351" t="str">
        <f>VLOOKUP(A1351, [1]Orders!A:E, 3, FALSE)</f>
        <v>Yogesh</v>
      </c>
      <c r="J1351" t="str">
        <f>VLOOKUP(A1351, [1]Orders!A:E, 4, FALSE)</f>
        <v>Bihar</v>
      </c>
      <c r="K1351" t="str">
        <f>VLOOKUP(A1351, [1]Orders!A:E, 5, FALSE)</f>
        <v>Patna</v>
      </c>
    </row>
    <row r="1352" spans="1:11" x14ac:dyDescent="0.5">
      <c r="A1352" t="s">
        <v>308</v>
      </c>
      <c r="B1352">
        <v>25</v>
      </c>
      <c r="C1352">
        <v>-2</v>
      </c>
      <c r="D1352">
        <v>5</v>
      </c>
      <c r="E1352" t="s">
        <v>23</v>
      </c>
      <c r="F1352" t="s">
        <v>30</v>
      </c>
      <c r="G1352" t="s">
        <v>28</v>
      </c>
      <c r="H1352" s="1">
        <f>VLOOKUP(A1352, [1]Orders!A:B, 2, FALSE)</f>
        <v>43228</v>
      </c>
      <c r="I1352" t="str">
        <f>VLOOKUP(A1352, [1]Orders!A:E, 3, FALSE)</f>
        <v>Tushina</v>
      </c>
      <c r="J1352" t="str">
        <f>VLOOKUP(A1352, [1]Orders!A:E, 4, FALSE)</f>
        <v>Goa</v>
      </c>
      <c r="K1352" t="str">
        <f>VLOOKUP(A1352, [1]Orders!A:E, 5, FALSE)</f>
        <v>Goa</v>
      </c>
    </row>
    <row r="1353" spans="1:11" x14ac:dyDescent="0.5">
      <c r="A1353" t="s">
        <v>237</v>
      </c>
      <c r="B1353">
        <v>25</v>
      </c>
      <c r="C1353">
        <v>2</v>
      </c>
      <c r="D1353">
        <v>2</v>
      </c>
      <c r="E1353" t="s">
        <v>23</v>
      </c>
      <c r="F1353" t="s">
        <v>30</v>
      </c>
      <c r="G1353" t="s">
        <v>28</v>
      </c>
      <c r="H1353" s="1">
        <f>VLOOKUP(A1353, [1]Orders!A:B, 2, FALSE)</f>
        <v>43438</v>
      </c>
      <c r="I1353" t="str">
        <f>VLOOKUP(A1353, [1]Orders!A:E, 3, FALSE)</f>
        <v>Shivani</v>
      </c>
      <c r="J1353" t="str">
        <f>VLOOKUP(A1353, [1]Orders!A:E, 4, FALSE)</f>
        <v>Madhya Pradesh</v>
      </c>
      <c r="K1353" t="str">
        <f>VLOOKUP(A1353, [1]Orders!A:E, 5, FALSE)</f>
        <v>Indore</v>
      </c>
    </row>
    <row r="1354" spans="1:11" x14ac:dyDescent="0.5">
      <c r="A1354" t="s">
        <v>341</v>
      </c>
      <c r="B1354">
        <v>119</v>
      </c>
      <c r="C1354">
        <v>43</v>
      </c>
      <c r="D1354">
        <v>5</v>
      </c>
      <c r="E1354" t="s">
        <v>23</v>
      </c>
      <c r="F1354" t="s">
        <v>81</v>
      </c>
      <c r="G1354" t="s">
        <v>10</v>
      </c>
      <c r="H1354" s="1">
        <f>VLOOKUP(A1354, [1]Orders!A:B, 2, FALSE)</f>
        <v>43340</v>
      </c>
      <c r="I1354" t="str">
        <f>VLOOKUP(A1354, [1]Orders!A:E, 3, FALSE)</f>
        <v>Sanjova</v>
      </c>
      <c r="J1354" t="str">
        <f>VLOOKUP(A1354, [1]Orders!A:E, 4, FALSE)</f>
        <v>Maharashtra</v>
      </c>
      <c r="K1354" t="str">
        <f>VLOOKUP(A1354, [1]Orders!A:E, 5, FALSE)</f>
        <v>Pune</v>
      </c>
    </row>
    <row r="1355" spans="1:11" x14ac:dyDescent="0.5">
      <c r="A1355" t="s">
        <v>246</v>
      </c>
      <c r="B1355">
        <v>785</v>
      </c>
      <c r="C1355">
        <v>52</v>
      </c>
      <c r="D1355">
        <v>2</v>
      </c>
      <c r="E1355" t="s">
        <v>8</v>
      </c>
      <c r="F1355" t="s">
        <v>21</v>
      </c>
      <c r="G1355" t="s">
        <v>82</v>
      </c>
      <c r="H1355" s="1">
        <f>VLOOKUP(A1355, [1]Orders!A:B, 2, FALSE)</f>
        <v>43240</v>
      </c>
      <c r="I1355" t="str">
        <f>VLOOKUP(A1355, [1]Orders!A:E, 3, FALSE)</f>
        <v>Pratyusmita</v>
      </c>
      <c r="J1355" t="str">
        <f>VLOOKUP(A1355, [1]Orders!A:E, 4, FALSE)</f>
        <v>Bihar</v>
      </c>
      <c r="K1355" t="str">
        <f>VLOOKUP(A1355, [1]Orders!A:E, 5, FALSE)</f>
        <v>Patna</v>
      </c>
    </row>
    <row r="1356" spans="1:11" x14ac:dyDescent="0.5">
      <c r="A1356" t="s">
        <v>258</v>
      </c>
      <c r="B1356">
        <v>183</v>
      </c>
      <c r="C1356">
        <v>-66</v>
      </c>
      <c r="D1356">
        <v>5</v>
      </c>
      <c r="E1356" t="s">
        <v>8</v>
      </c>
      <c r="F1356" t="s">
        <v>21</v>
      </c>
      <c r="G1356" t="s">
        <v>28</v>
      </c>
      <c r="H1356" s="1">
        <f>VLOOKUP(A1356, [1]Orders!A:B, 2, FALSE)</f>
        <v>43221</v>
      </c>
      <c r="I1356" t="str">
        <f>VLOOKUP(A1356, [1]Orders!A:E, 3, FALSE)</f>
        <v>Yaanvi</v>
      </c>
      <c r="J1356" t="str">
        <f>VLOOKUP(A1356, [1]Orders!A:E, 4, FALSE)</f>
        <v>Madhya Pradesh</v>
      </c>
      <c r="K1356" t="str">
        <f>VLOOKUP(A1356, [1]Orders!A:E, 5, FALSE)</f>
        <v>Indore</v>
      </c>
    </row>
    <row r="1357" spans="1:11" x14ac:dyDescent="0.5">
      <c r="A1357" t="s">
        <v>332</v>
      </c>
      <c r="B1357">
        <v>22</v>
      </c>
      <c r="C1357">
        <v>4</v>
      </c>
      <c r="D1357">
        <v>1</v>
      </c>
      <c r="E1357" t="s">
        <v>23</v>
      </c>
      <c r="F1357" t="s">
        <v>57</v>
      </c>
      <c r="G1357" t="s">
        <v>10</v>
      </c>
      <c r="H1357" s="1">
        <f>VLOOKUP(A1357, [1]Orders!A:B, 2, FALSE)</f>
        <v>43140</v>
      </c>
      <c r="I1357" t="str">
        <f>VLOOKUP(A1357, [1]Orders!A:E, 3, FALSE)</f>
        <v>Kalyani</v>
      </c>
      <c r="J1357" t="str">
        <f>VLOOKUP(A1357, [1]Orders!A:E, 4, FALSE)</f>
        <v>Tamil Nadu</v>
      </c>
      <c r="K1357" t="str">
        <f>VLOOKUP(A1357, [1]Orders!A:E, 5, FALSE)</f>
        <v>Chennai</v>
      </c>
    </row>
    <row r="1358" spans="1:11" x14ac:dyDescent="0.5">
      <c r="A1358" t="s">
        <v>106</v>
      </c>
      <c r="B1358">
        <v>642</v>
      </c>
      <c r="C1358">
        <v>180</v>
      </c>
      <c r="D1358">
        <v>5</v>
      </c>
      <c r="E1358" t="s">
        <v>23</v>
      </c>
      <c r="F1358" t="s">
        <v>26</v>
      </c>
      <c r="G1358" t="s">
        <v>10</v>
      </c>
      <c r="H1358" s="1">
        <f>VLOOKUP(A1358, [1]Orders!A:B, 2, FALSE)</f>
        <v>43173</v>
      </c>
      <c r="I1358" t="str">
        <f>VLOOKUP(A1358, [1]Orders!A:E, 3, FALSE)</f>
        <v>Anurag</v>
      </c>
      <c r="J1358" t="str">
        <f>VLOOKUP(A1358, [1]Orders!A:E, 4, FALSE)</f>
        <v>Madhya Pradesh</v>
      </c>
      <c r="K1358" t="str">
        <f>VLOOKUP(A1358, [1]Orders!A:E, 5, FALSE)</f>
        <v>Indore</v>
      </c>
    </row>
    <row r="1359" spans="1:11" x14ac:dyDescent="0.5">
      <c r="A1359" t="s">
        <v>276</v>
      </c>
      <c r="B1359">
        <v>767</v>
      </c>
      <c r="C1359">
        <v>-353</v>
      </c>
      <c r="D1359">
        <v>5</v>
      </c>
      <c r="E1359" t="s">
        <v>23</v>
      </c>
      <c r="F1359" t="s">
        <v>24</v>
      </c>
      <c r="G1359" t="s">
        <v>10</v>
      </c>
      <c r="H1359" s="1">
        <f>VLOOKUP(A1359, [1]Orders!A:B, 2, FALSE)</f>
        <v>43357</v>
      </c>
      <c r="I1359" t="str">
        <f>VLOOKUP(A1359, [1]Orders!A:E, 3, FALSE)</f>
        <v>Rutuja</v>
      </c>
      <c r="J1359" t="str">
        <f>VLOOKUP(A1359, [1]Orders!A:E, 4, FALSE)</f>
        <v>Gujarat</v>
      </c>
      <c r="K1359" t="str">
        <f>VLOOKUP(A1359, [1]Orders!A:E, 5, FALSE)</f>
        <v>Ahmedabad</v>
      </c>
    </row>
    <row r="1360" spans="1:11" x14ac:dyDescent="0.5">
      <c r="A1360" t="s">
        <v>292</v>
      </c>
      <c r="B1360">
        <v>770</v>
      </c>
      <c r="C1360">
        <v>323</v>
      </c>
      <c r="D1360">
        <v>3</v>
      </c>
      <c r="E1360" t="s">
        <v>8</v>
      </c>
      <c r="F1360" t="s">
        <v>73</v>
      </c>
      <c r="G1360" t="s">
        <v>10</v>
      </c>
      <c r="H1360" s="1">
        <f>VLOOKUP(A1360, [1]Orders!A:B, 2, FALSE)</f>
        <v>43136</v>
      </c>
      <c r="I1360" t="str">
        <f>VLOOKUP(A1360, [1]Orders!A:E, 3, FALSE)</f>
        <v>Diwakar</v>
      </c>
      <c r="J1360" t="str">
        <f>VLOOKUP(A1360, [1]Orders!A:E, 4, FALSE)</f>
        <v>Delhi</v>
      </c>
      <c r="K1360" t="str">
        <f>VLOOKUP(A1360, [1]Orders!A:E, 5, FALSE)</f>
        <v>Delhi</v>
      </c>
    </row>
    <row r="1361" spans="1:11" x14ac:dyDescent="0.5">
      <c r="A1361" t="s">
        <v>388</v>
      </c>
      <c r="B1361">
        <v>21</v>
      </c>
      <c r="C1361">
        <v>-17</v>
      </c>
      <c r="D1361">
        <v>3</v>
      </c>
      <c r="E1361" t="s">
        <v>23</v>
      </c>
      <c r="F1361" t="s">
        <v>142</v>
      </c>
      <c r="G1361" t="s">
        <v>10</v>
      </c>
      <c r="H1361" s="1">
        <f>VLOOKUP(A1361, [1]Orders!A:B, 2, FALSE)</f>
        <v>43358</v>
      </c>
      <c r="I1361" t="str">
        <f>VLOOKUP(A1361, [1]Orders!A:E, 3, FALSE)</f>
        <v>Shivangi</v>
      </c>
      <c r="J1361" t="str">
        <f>VLOOKUP(A1361, [1]Orders!A:E, 4, FALSE)</f>
        <v>Madhya Pradesh</v>
      </c>
      <c r="K1361" t="str">
        <f>VLOOKUP(A1361, [1]Orders!A:E, 5, FALSE)</f>
        <v>Indore</v>
      </c>
    </row>
    <row r="1362" spans="1:11" x14ac:dyDescent="0.5">
      <c r="A1362" t="s">
        <v>337</v>
      </c>
      <c r="B1362">
        <v>21</v>
      </c>
      <c r="C1362">
        <v>-6</v>
      </c>
      <c r="D1362">
        <v>3</v>
      </c>
      <c r="E1362" t="s">
        <v>23</v>
      </c>
      <c r="F1362" t="s">
        <v>63</v>
      </c>
      <c r="G1362" t="s">
        <v>10</v>
      </c>
      <c r="H1362" s="1">
        <f>VLOOKUP(A1362, [1]Orders!A:B, 2, FALSE)</f>
        <v>43374</v>
      </c>
      <c r="I1362" t="str">
        <f>VLOOKUP(A1362, [1]Orders!A:E, 3, FALSE)</f>
        <v>Ishit</v>
      </c>
      <c r="J1362" t="str">
        <f>VLOOKUP(A1362, [1]Orders!A:E, 4, FALSE)</f>
        <v>Maharashtra</v>
      </c>
      <c r="K1362" t="str">
        <f>VLOOKUP(A1362, [1]Orders!A:E, 5, FALSE)</f>
        <v>Pune</v>
      </c>
    </row>
    <row r="1363" spans="1:11" x14ac:dyDescent="0.5">
      <c r="A1363" t="s">
        <v>17</v>
      </c>
      <c r="B1363">
        <v>492</v>
      </c>
      <c r="C1363">
        <v>187</v>
      </c>
      <c r="D1363">
        <v>2</v>
      </c>
      <c r="E1363" t="s">
        <v>8</v>
      </c>
      <c r="F1363" t="s">
        <v>73</v>
      </c>
      <c r="G1363" t="s">
        <v>28</v>
      </c>
      <c r="H1363" s="1">
        <f>VLOOKUP(A1363, [1]Orders!A:B, 2, FALSE)</f>
        <v>43186</v>
      </c>
      <c r="I1363" t="str">
        <f>VLOOKUP(A1363, [1]Orders!A:E, 3, FALSE)</f>
        <v>Sarita</v>
      </c>
      <c r="J1363" t="str">
        <f>VLOOKUP(A1363, [1]Orders!A:E, 4, FALSE)</f>
        <v>Maharashtra</v>
      </c>
      <c r="K1363" t="str">
        <f>VLOOKUP(A1363, [1]Orders!A:E, 5, FALSE)</f>
        <v>Pune</v>
      </c>
    </row>
    <row r="1364" spans="1:11" x14ac:dyDescent="0.5">
      <c r="A1364" t="s">
        <v>359</v>
      </c>
      <c r="B1364">
        <v>816</v>
      </c>
      <c r="C1364">
        <v>-96</v>
      </c>
      <c r="D1364">
        <v>3</v>
      </c>
      <c r="E1364" t="s">
        <v>8</v>
      </c>
      <c r="F1364" t="s">
        <v>18</v>
      </c>
      <c r="G1364" t="s">
        <v>82</v>
      </c>
      <c r="H1364" s="1">
        <f>VLOOKUP(A1364, [1]Orders!A:B, 2, FALSE)</f>
        <v>43216</v>
      </c>
      <c r="I1364" t="str">
        <f>VLOOKUP(A1364, [1]Orders!A:E, 3, FALSE)</f>
        <v>Parth</v>
      </c>
      <c r="J1364" t="str">
        <f>VLOOKUP(A1364, [1]Orders!A:E, 4, FALSE)</f>
        <v>Maharashtra</v>
      </c>
      <c r="K1364" t="str">
        <f>VLOOKUP(A1364, [1]Orders!A:E, 5, FALSE)</f>
        <v>Pune</v>
      </c>
    </row>
    <row r="1365" spans="1:11" x14ac:dyDescent="0.5">
      <c r="A1365" t="s">
        <v>270</v>
      </c>
      <c r="B1365">
        <v>25</v>
      </c>
      <c r="C1365">
        <v>2</v>
      </c>
      <c r="D1365">
        <v>3</v>
      </c>
      <c r="E1365" t="s">
        <v>23</v>
      </c>
      <c r="F1365" t="s">
        <v>32</v>
      </c>
      <c r="G1365" t="s">
        <v>19</v>
      </c>
      <c r="H1365" s="1">
        <f>VLOOKUP(A1365, [1]Orders!A:B, 2, FALSE)</f>
        <v>43150</v>
      </c>
      <c r="I1365" t="str">
        <f>VLOOKUP(A1365, [1]Orders!A:E, 3, FALSE)</f>
        <v>Kanak</v>
      </c>
      <c r="J1365" t="str">
        <f>VLOOKUP(A1365, [1]Orders!A:E, 4, FALSE)</f>
        <v>Goa</v>
      </c>
      <c r="K1365" t="str">
        <f>VLOOKUP(A1365, [1]Orders!A:E, 5, FALSE)</f>
        <v>Goa</v>
      </c>
    </row>
    <row r="1366" spans="1:11" x14ac:dyDescent="0.5">
      <c r="A1366" t="s">
        <v>306</v>
      </c>
      <c r="B1366">
        <v>802</v>
      </c>
      <c r="C1366">
        <v>120</v>
      </c>
      <c r="D1366">
        <v>7</v>
      </c>
      <c r="E1366" t="s">
        <v>8</v>
      </c>
      <c r="F1366" t="s">
        <v>73</v>
      </c>
      <c r="G1366" t="s">
        <v>10</v>
      </c>
      <c r="H1366" s="1">
        <f>VLOOKUP(A1366, [1]Orders!A:B, 2, FALSE)</f>
        <v>43444</v>
      </c>
      <c r="I1366" t="str">
        <f>VLOOKUP(A1366, [1]Orders!A:E, 3, FALSE)</f>
        <v>Ishpreet</v>
      </c>
      <c r="J1366" t="str">
        <f>VLOOKUP(A1366, [1]Orders!A:E, 4, FALSE)</f>
        <v>Maharashtra</v>
      </c>
      <c r="K1366" t="str">
        <f>VLOOKUP(A1366, [1]Orders!A:E, 5, FALSE)</f>
        <v>Mumbai</v>
      </c>
    </row>
    <row r="1367" spans="1:11" x14ac:dyDescent="0.5">
      <c r="A1367" t="s">
        <v>515</v>
      </c>
      <c r="B1367">
        <v>811</v>
      </c>
      <c r="C1367">
        <v>154</v>
      </c>
      <c r="D1367">
        <v>7</v>
      </c>
      <c r="E1367" t="s">
        <v>8</v>
      </c>
      <c r="F1367" t="s">
        <v>73</v>
      </c>
      <c r="G1367" t="s">
        <v>28</v>
      </c>
      <c r="H1367" s="1">
        <f>VLOOKUP(A1367, [1]Orders!A:B, 2, FALSE)</f>
        <v>43121</v>
      </c>
      <c r="I1367" t="str">
        <f>VLOOKUP(A1367, [1]Orders!A:E, 3, FALSE)</f>
        <v>Paromita</v>
      </c>
      <c r="J1367" t="str">
        <f>VLOOKUP(A1367, [1]Orders!A:E, 4, FALSE)</f>
        <v>Punjab</v>
      </c>
      <c r="K1367" t="str">
        <f>VLOOKUP(A1367, [1]Orders!A:E, 5, FALSE)</f>
        <v>Amritsar</v>
      </c>
    </row>
    <row r="1368" spans="1:11" x14ac:dyDescent="0.5">
      <c r="A1368" t="s">
        <v>458</v>
      </c>
      <c r="B1368">
        <v>835</v>
      </c>
      <c r="C1368">
        <v>267</v>
      </c>
      <c r="D1368">
        <v>5</v>
      </c>
      <c r="E1368" t="s">
        <v>8</v>
      </c>
      <c r="F1368" t="s">
        <v>21</v>
      </c>
      <c r="G1368" t="s">
        <v>82</v>
      </c>
      <c r="H1368" s="1">
        <f>VLOOKUP(A1368, [1]Orders!A:B, 2, FALSE)</f>
        <v>43189</v>
      </c>
      <c r="I1368" t="str">
        <f>VLOOKUP(A1368, [1]Orders!A:E, 3, FALSE)</f>
        <v>Bhishm</v>
      </c>
      <c r="J1368" t="str">
        <f>VLOOKUP(A1368, [1]Orders!A:E, 4, FALSE)</f>
        <v>Maharashtra</v>
      </c>
      <c r="K1368" t="str">
        <f>VLOOKUP(A1368, [1]Orders!A:E, 5, FALSE)</f>
        <v>Mumbai</v>
      </c>
    </row>
    <row r="1369" spans="1:11" x14ac:dyDescent="0.5">
      <c r="A1369" t="s">
        <v>279</v>
      </c>
      <c r="B1369">
        <v>21</v>
      </c>
      <c r="C1369">
        <v>-5</v>
      </c>
      <c r="D1369">
        <v>1</v>
      </c>
      <c r="E1369" t="s">
        <v>8</v>
      </c>
      <c r="F1369" t="s">
        <v>73</v>
      </c>
      <c r="G1369" t="s">
        <v>10</v>
      </c>
      <c r="H1369" s="1">
        <f>VLOOKUP(A1369, [1]Orders!A:B, 2, FALSE)</f>
        <v>43275</v>
      </c>
      <c r="I1369" t="str">
        <f>VLOOKUP(A1369, [1]Orders!A:E, 3, FALSE)</f>
        <v>Kritika</v>
      </c>
      <c r="J1369" t="str">
        <f>VLOOKUP(A1369, [1]Orders!A:E, 4, FALSE)</f>
        <v>Uttar Pradesh</v>
      </c>
      <c r="K1369" t="str">
        <f>VLOOKUP(A1369, [1]Orders!A:E, 5, FALSE)</f>
        <v>Lucknow</v>
      </c>
    </row>
    <row r="1370" spans="1:11" x14ac:dyDescent="0.5">
      <c r="A1370" t="s">
        <v>294</v>
      </c>
      <c r="B1370">
        <v>450</v>
      </c>
      <c r="C1370">
        <v>-190</v>
      </c>
      <c r="D1370">
        <v>4</v>
      </c>
      <c r="E1370" t="s">
        <v>12</v>
      </c>
      <c r="F1370" t="s">
        <v>16</v>
      </c>
      <c r="G1370" t="s">
        <v>10</v>
      </c>
      <c r="H1370" s="1">
        <f>VLOOKUP(A1370, [1]Orders!A:B, 2, FALSE)</f>
        <v>43180</v>
      </c>
      <c r="I1370" t="str">
        <f>VLOOKUP(A1370, [1]Orders!A:E, 3, FALSE)</f>
        <v>Jahan</v>
      </c>
      <c r="J1370" t="str">
        <f>VLOOKUP(A1370, [1]Orders!A:E, 4, FALSE)</f>
        <v>Madhya Pradesh</v>
      </c>
      <c r="K1370" t="str">
        <f>VLOOKUP(A1370, [1]Orders!A:E, 5, FALSE)</f>
        <v>Bhopal</v>
      </c>
    </row>
    <row r="1371" spans="1:11" x14ac:dyDescent="0.5">
      <c r="A1371" t="s">
        <v>307</v>
      </c>
      <c r="B1371">
        <v>24</v>
      </c>
      <c r="C1371">
        <v>-1</v>
      </c>
      <c r="D1371">
        <v>4</v>
      </c>
      <c r="E1371" t="s">
        <v>23</v>
      </c>
      <c r="F1371" t="s">
        <v>43</v>
      </c>
      <c r="G1371" t="s">
        <v>19</v>
      </c>
      <c r="H1371" s="1">
        <f>VLOOKUP(A1371, [1]Orders!A:B, 2, FALSE)</f>
        <v>43367</v>
      </c>
      <c r="I1371" t="str">
        <f>VLOOKUP(A1371, [1]Orders!A:E, 3, FALSE)</f>
        <v>Siddharth</v>
      </c>
      <c r="J1371" t="str">
        <f>VLOOKUP(A1371, [1]Orders!A:E, 4, FALSE)</f>
        <v>Madhya Pradesh</v>
      </c>
      <c r="K1371" t="str">
        <f>VLOOKUP(A1371, [1]Orders!A:E, 5, FALSE)</f>
        <v>Indore</v>
      </c>
    </row>
    <row r="1372" spans="1:11" x14ac:dyDescent="0.5">
      <c r="A1372" t="s">
        <v>516</v>
      </c>
      <c r="B1372">
        <v>832</v>
      </c>
      <c r="C1372">
        <v>0</v>
      </c>
      <c r="D1372">
        <v>3</v>
      </c>
      <c r="E1372" t="s">
        <v>23</v>
      </c>
      <c r="F1372" t="s">
        <v>24</v>
      </c>
      <c r="G1372" t="s">
        <v>28</v>
      </c>
      <c r="H1372" s="1">
        <f>VLOOKUP(A1372, [1]Orders!A:B, 2, FALSE)</f>
        <v>43247</v>
      </c>
      <c r="I1372" t="str">
        <f>VLOOKUP(A1372, [1]Orders!A:E, 3, FALSE)</f>
        <v>Mitali</v>
      </c>
      <c r="J1372" t="str">
        <f>VLOOKUP(A1372, [1]Orders!A:E, 4, FALSE)</f>
        <v>Nagaland</v>
      </c>
      <c r="K1372" t="str">
        <f>VLOOKUP(A1372, [1]Orders!A:E, 5, FALSE)</f>
        <v>Kohima</v>
      </c>
    </row>
    <row r="1373" spans="1:11" x14ac:dyDescent="0.5">
      <c r="A1373" t="s">
        <v>361</v>
      </c>
      <c r="B1373">
        <v>833</v>
      </c>
      <c r="C1373">
        <v>93</v>
      </c>
      <c r="D1373">
        <v>3</v>
      </c>
      <c r="E1373" t="s">
        <v>23</v>
      </c>
      <c r="F1373" t="s">
        <v>24</v>
      </c>
      <c r="G1373" t="s">
        <v>28</v>
      </c>
      <c r="H1373" s="1">
        <f>VLOOKUP(A1373, [1]Orders!A:B, 2, FALSE)</f>
        <v>43157</v>
      </c>
      <c r="I1373" t="str">
        <f>VLOOKUP(A1373, [1]Orders!A:E, 3, FALSE)</f>
        <v>Sahil</v>
      </c>
      <c r="J1373" t="str">
        <f>VLOOKUP(A1373, [1]Orders!A:E, 4, FALSE)</f>
        <v>Punjab</v>
      </c>
      <c r="K1373" t="str">
        <f>VLOOKUP(A1373, [1]Orders!A:E, 5, FALSE)</f>
        <v>Chandigarh</v>
      </c>
    </row>
    <row r="1374" spans="1:11" x14ac:dyDescent="0.5">
      <c r="A1374" t="s">
        <v>517</v>
      </c>
      <c r="B1374">
        <v>20</v>
      </c>
      <c r="C1374">
        <v>6</v>
      </c>
      <c r="D1374">
        <v>1</v>
      </c>
      <c r="E1374" t="s">
        <v>23</v>
      </c>
      <c r="F1374" t="s">
        <v>81</v>
      </c>
      <c r="G1374" t="s">
        <v>10</v>
      </c>
      <c r="H1374" s="1">
        <f>VLOOKUP(A1374, [1]Orders!A:B, 2, FALSE)</f>
        <v>43171</v>
      </c>
      <c r="I1374" t="str">
        <f>VLOOKUP(A1374, [1]Orders!A:E, 3, FALSE)</f>
        <v>Rachna</v>
      </c>
      <c r="J1374" t="str">
        <f>VLOOKUP(A1374, [1]Orders!A:E, 4, FALSE)</f>
        <v>Haryana</v>
      </c>
      <c r="K1374" t="str">
        <f>VLOOKUP(A1374, [1]Orders!A:E, 5, FALSE)</f>
        <v>Chandigarh</v>
      </c>
    </row>
    <row r="1375" spans="1:11" x14ac:dyDescent="0.5">
      <c r="A1375" t="s">
        <v>418</v>
      </c>
      <c r="B1375">
        <v>23</v>
      </c>
      <c r="C1375">
        <v>-5</v>
      </c>
      <c r="D1375">
        <v>7</v>
      </c>
      <c r="E1375" t="s">
        <v>23</v>
      </c>
      <c r="F1375" t="s">
        <v>30</v>
      </c>
      <c r="G1375" t="s">
        <v>19</v>
      </c>
      <c r="H1375" s="1">
        <f>VLOOKUP(A1375, [1]Orders!A:B, 2, FALSE)</f>
        <v>43301</v>
      </c>
      <c r="I1375" t="str">
        <f>VLOOKUP(A1375, [1]Orders!A:E, 3, FALSE)</f>
        <v>Anisha</v>
      </c>
      <c r="J1375" t="str">
        <f>VLOOKUP(A1375, [1]Orders!A:E, 4, FALSE)</f>
        <v>Nagaland</v>
      </c>
      <c r="K1375" t="str">
        <f>VLOOKUP(A1375, [1]Orders!A:E, 5, FALSE)</f>
        <v>Kohima</v>
      </c>
    </row>
    <row r="1376" spans="1:11" x14ac:dyDescent="0.5">
      <c r="A1376" t="s">
        <v>171</v>
      </c>
      <c r="B1376">
        <v>550</v>
      </c>
      <c r="C1376">
        <v>-242</v>
      </c>
      <c r="D1376">
        <v>5</v>
      </c>
      <c r="E1376" t="s">
        <v>12</v>
      </c>
      <c r="F1376" t="s">
        <v>131</v>
      </c>
      <c r="G1376" t="s">
        <v>28</v>
      </c>
      <c r="H1376" s="1">
        <f>VLOOKUP(A1376, [1]Orders!A:B, 2, FALSE)</f>
        <v>43412</v>
      </c>
      <c r="I1376" t="str">
        <f>VLOOKUP(A1376, [1]Orders!A:E, 3, FALSE)</f>
        <v>Abhijeet</v>
      </c>
      <c r="J1376" t="str">
        <f>VLOOKUP(A1376, [1]Orders!A:E, 4, FALSE)</f>
        <v>Madhya Pradesh</v>
      </c>
      <c r="K1376" t="str">
        <f>VLOOKUP(A1376, [1]Orders!A:E, 5, FALSE)</f>
        <v>Bhopal</v>
      </c>
    </row>
    <row r="1377" spans="1:11" x14ac:dyDescent="0.5">
      <c r="A1377" t="s">
        <v>344</v>
      </c>
      <c r="B1377">
        <v>148</v>
      </c>
      <c r="C1377">
        <v>-91</v>
      </c>
      <c r="D1377">
        <v>2</v>
      </c>
      <c r="E1377" t="s">
        <v>8</v>
      </c>
      <c r="F1377" t="s">
        <v>21</v>
      </c>
      <c r="G1377" t="s">
        <v>10</v>
      </c>
      <c r="H1377" s="1">
        <f>VLOOKUP(A1377, [1]Orders!A:B, 2, FALSE)</f>
        <v>43314</v>
      </c>
      <c r="I1377" t="str">
        <f>VLOOKUP(A1377, [1]Orders!A:E, 3, FALSE)</f>
        <v>Ayush</v>
      </c>
      <c r="J1377" t="str">
        <f>VLOOKUP(A1377, [1]Orders!A:E, 4, FALSE)</f>
        <v>Punjab</v>
      </c>
      <c r="K1377" t="str">
        <f>VLOOKUP(A1377, [1]Orders!A:E, 5, FALSE)</f>
        <v>Chandigarh</v>
      </c>
    </row>
    <row r="1378" spans="1:11" x14ac:dyDescent="0.5">
      <c r="A1378" t="s">
        <v>178</v>
      </c>
      <c r="B1378">
        <v>846</v>
      </c>
      <c r="C1378">
        <v>9</v>
      </c>
      <c r="D1378">
        <v>2</v>
      </c>
      <c r="E1378" t="s">
        <v>12</v>
      </c>
      <c r="F1378" t="s">
        <v>13</v>
      </c>
      <c r="G1378" t="s">
        <v>82</v>
      </c>
      <c r="H1378" s="1">
        <f>VLOOKUP(A1378, [1]Orders!A:B, 2, FALSE)</f>
        <v>43442</v>
      </c>
      <c r="I1378" t="str">
        <f>VLOOKUP(A1378, [1]Orders!A:E, 3, FALSE)</f>
        <v>Aishwarya</v>
      </c>
      <c r="J1378" t="str">
        <f>VLOOKUP(A1378, [1]Orders!A:E, 4, FALSE)</f>
        <v>Uttar Pradesh</v>
      </c>
      <c r="K1378" t="str">
        <f>VLOOKUP(A1378, [1]Orders!A:E, 5, FALSE)</f>
        <v>Prayagraj</v>
      </c>
    </row>
    <row r="1379" spans="1:11" x14ac:dyDescent="0.5">
      <c r="A1379" t="s">
        <v>87</v>
      </c>
      <c r="B1379">
        <v>856</v>
      </c>
      <c r="C1379">
        <v>385</v>
      </c>
      <c r="D1379">
        <v>6</v>
      </c>
      <c r="E1379" t="s">
        <v>8</v>
      </c>
      <c r="F1379" t="s">
        <v>18</v>
      </c>
      <c r="G1379" t="s">
        <v>10</v>
      </c>
      <c r="H1379" s="1">
        <f>VLOOKUP(A1379, [1]Orders!A:B, 2, FALSE)</f>
        <v>43198</v>
      </c>
      <c r="I1379" t="str">
        <f>VLOOKUP(A1379, [1]Orders!A:E, 3, FALSE)</f>
        <v>Aarushi</v>
      </c>
      <c r="J1379" t="str">
        <f>VLOOKUP(A1379, [1]Orders!A:E, 4, FALSE)</f>
        <v>Tamil Nadu</v>
      </c>
      <c r="K1379" t="str">
        <f>VLOOKUP(A1379, [1]Orders!A:E, 5, FALSE)</f>
        <v>Chennai</v>
      </c>
    </row>
    <row r="1380" spans="1:11" x14ac:dyDescent="0.5">
      <c r="A1380" t="s">
        <v>374</v>
      </c>
      <c r="B1380">
        <v>871</v>
      </c>
      <c r="C1380">
        <v>131</v>
      </c>
      <c r="D1380">
        <v>2</v>
      </c>
      <c r="E1380" t="s">
        <v>12</v>
      </c>
      <c r="F1380" t="s">
        <v>16</v>
      </c>
      <c r="G1380" t="s">
        <v>28</v>
      </c>
      <c r="H1380" s="1">
        <f>VLOOKUP(A1380, [1]Orders!A:B, 2, FALSE)</f>
        <v>43444</v>
      </c>
      <c r="I1380" t="str">
        <f>VLOOKUP(A1380, [1]Orders!A:E, 3, FALSE)</f>
        <v>Swapnil</v>
      </c>
      <c r="J1380" t="str">
        <f>VLOOKUP(A1380, [1]Orders!A:E, 4, FALSE)</f>
        <v>Delhi</v>
      </c>
      <c r="K1380" t="str">
        <f>VLOOKUP(A1380, [1]Orders!A:E, 5, FALSE)</f>
        <v>Delhi</v>
      </c>
    </row>
    <row r="1381" spans="1:11" x14ac:dyDescent="0.5">
      <c r="A1381" t="s">
        <v>211</v>
      </c>
      <c r="B1381">
        <v>19</v>
      </c>
      <c r="C1381">
        <v>-18</v>
      </c>
      <c r="D1381">
        <v>4</v>
      </c>
      <c r="E1381" t="s">
        <v>23</v>
      </c>
      <c r="F1381" t="s">
        <v>32</v>
      </c>
      <c r="G1381" t="s">
        <v>10</v>
      </c>
      <c r="H1381" s="1">
        <f>VLOOKUP(A1381, [1]Orders!A:B, 2, FALSE)</f>
        <v>43169</v>
      </c>
      <c r="I1381" t="str">
        <f>VLOOKUP(A1381, [1]Orders!A:E, 3, FALSE)</f>
        <v>Sonal</v>
      </c>
      <c r="J1381" t="str">
        <f>VLOOKUP(A1381, [1]Orders!A:E, 4, FALSE)</f>
        <v>Bihar</v>
      </c>
      <c r="K1381" t="str">
        <f>VLOOKUP(A1381, [1]Orders!A:E, 5, FALSE)</f>
        <v>Patna</v>
      </c>
    </row>
    <row r="1382" spans="1:11" x14ac:dyDescent="0.5">
      <c r="A1382" t="s">
        <v>518</v>
      </c>
      <c r="B1382">
        <v>610</v>
      </c>
      <c r="C1382">
        <v>-66</v>
      </c>
      <c r="D1382">
        <v>2</v>
      </c>
      <c r="E1382" t="s">
        <v>12</v>
      </c>
      <c r="F1382" t="s">
        <v>45</v>
      </c>
      <c r="G1382" t="s">
        <v>10</v>
      </c>
      <c r="H1382" s="1">
        <f>VLOOKUP(A1382, [1]Orders!A:B, 2, FALSE)</f>
        <v>43245</v>
      </c>
      <c r="I1382" t="str">
        <f>VLOOKUP(A1382, [1]Orders!A:E, 3, FALSE)</f>
        <v>Piyali</v>
      </c>
      <c r="J1382" t="str">
        <f>VLOOKUP(A1382, [1]Orders!A:E, 4, FALSE)</f>
        <v>Sikkim</v>
      </c>
      <c r="K1382" t="str">
        <f>VLOOKUP(A1382, [1]Orders!A:E, 5, FALSE)</f>
        <v>Gangtok</v>
      </c>
    </row>
    <row r="1383" spans="1:11" x14ac:dyDescent="0.5">
      <c r="A1383" t="s">
        <v>359</v>
      </c>
      <c r="B1383">
        <v>880</v>
      </c>
      <c r="C1383">
        <v>97</v>
      </c>
      <c r="D1383">
        <v>8</v>
      </c>
      <c r="E1383" t="s">
        <v>12</v>
      </c>
      <c r="F1383" t="s">
        <v>131</v>
      </c>
      <c r="G1383" t="s">
        <v>82</v>
      </c>
      <c r="H1383" s="1">
        <f>VLOOKUP(A1383, [1]Orders!A:B, 2, FALSE)</f>
        <v>43216</v>
      </c>
      <c r="I1383" t="str">
        <f>VLOOKUP(A1383, [1]Orders!A:E, 3, FALSE)</f>
        <v>Parth</v>
      </c>
      <c r="J1383" t="str">
        <f>VLOOKUP(A1383, [1]Orders!A:E, 4, FALSE)</f>
        <v>Maharashtra</v>
      </c>
      <c r="K1383" t="str">
        <f>VLOOKUP(A1383, [1]Orders!A:E, 5, FALSE)</f>
        <v>Pune</v>
      </c>
    </row>
    <row r="1384" spans="1:11" x14ac:dyDescent="0.5">
      <c r="A1384" t="s">
        <v>132</v>
      </c>
      <c r="B1384">
        <v>22</v>
      </c>
      <c r="C1384">
        <v>-8</v>
      </c>
      <c r="D1384">
        <v>4</v>
      </c>
      <c r="E1384" t="s">
        <v>23</v>
      </c>
      <c r="F1384" t="s">
        <v>30</v>
      </c>
      <c r="G1384" t="s">
        <v>19</v>
      </c>
      <c r="H1384" s="1">
        <f>VLOOKUP(A1384, [1]Orders!A:B, 2, FALSE)</f>
        <v>43114</v>
      </c>
      <c r="I1384" t="str">
        <f>VLOOKUP(A1384, [1]Orders!A:E, 3, FALSE)</f>
        <v>Krutika</v>
      </c>
      <c r="J1384" t="str">
        <f>VLOOKUP(A1384, [1]Orders!A:E, 4, FALSE)</f>
        <v>Andhra Pradesh</v>
      </c>
      <c r="K1384" t="str">
        <f>VLOOKUP(A1384, [1]Orders!A:E, 5, FALSE)</f>
        <v>Hyderabad</v>
      </c>
    </row>
    <row r="1385" spans="1:11" x14ac:dyDescent="0.5">
      <c r="A1385" t="s">
        <v>519</v>
      </c>
      <c r="B1385">
        <v>22</v>
      </c>
      <c r="C1385">
        <v>11</v>
      </c>
      <c r="D1385">
        <v>2</v>
      </c>
      <c r="E1385" t="s">
        <v>23</v>
      </c>
      <c r="F1385" t="s">
        <v>43</v>
      </c>
      <c r="G1385" t="s">
        <v>19</v>
      </c>
      <c r="H1385" s="1">
        <f>VLOOKUP(A1385, [1]Orders!A:B, 2, FALSE)</f>
        <v>43405</v>
      </c>
      <c r="I1385" t="str">
        <f>VLOOKUP(A1385, [1]Orders!A:E, 3, FALSE)</f>
        <v>Ashvini</v>
      </c>
      <c r="J1385" t="str">
        <f>VLOOKUP(A1385, [1]Orders!A:E, 4, FALSE)</f>
        <v>Maharashtra</v>
      </c>
      <c r="K1385" t="str">
        <f>VLOOKUP(A1385, [1]Orders!A:E, 5, FALSE)</f>
        <v>Mumbai</v>
      </c>
    </row>
    <row r="1386" spans="1:11" x14ac:dyDescent="0.5">
      <c r="A1386" t="s">
        <v>520</v>
      </c>
      <c r="B1386">
        <v>21</v>
      </c>
      <c r="C1386">
        <v>4</v>
      </c>
      <c r="D1386">
        <v>3</v>
      </c>
      <c r="E1386" t="s">
        <v>23</v>
      </c>
      <c r="F1386" t="s">
        <v>30</v>
      </c>
      <c r="G1386" t="s">
        <v>19</v>
      </c>
      <c r="H1386" s="1">
        <f>VLOOKUP(A1386, [1]Orders!A:B, 2, FALSE)</f>
        <v>43178</v>
      </c>
      <c r="I1386" t="str">
        <f>VLOOKUP(A1386, [1]Orders!A:E, 3, FALSE)</f>
        <v>Subhashree</v>
      </c>
      <c r="J1386" t="str">
        <f>VLOOKUP(A1386, [1]Orders!A:E, 4, FALSE)</f>
        <v>Jammu and Kashmir</v>
      </c>
      <c r="K1386" t="str">
        <f>VLOOKUP(A1386, [1]Orders!A:E, 5, FALSE)</f>
        <v>Kashmir</v>
      </c>
    </row>
    <row r="1387" spans="1:11" x14ac:dyDescent="0.5">
      <c r="A1387" t="s">
        <v>307</v>
      </c>
      <c r="B1387">
        <v>18</v>
      </c>
      <c r="C1387">
        <v>1</v>
      </c>
      <c r="D1387">
        <v>3</v>
      </c>
      <c r="E1387" t="s">
        <v>23</v>
      </c>
      <c r="F1387" t="s">
        <v>30</v>
      </c>
      <c r="G1387" t="s">
        <v>10</v>
      </c>
      <c r="H1387" s="1">
        <f>VLOOKUP(A1387, [1]Orders!A:B, 2, FALSE)</f>
        <v>43367</v>
      </c>
      <c r="I1387" t="str">
        <f>VLOOKUP(A1387, [1]Orders!A:E, 3, FALSE)</f>
        <v>Siddharth</v>
      </c>
      <c r="J1387" t="str">
        <f>VLOOKUP(A1387, [1]Orders!A:E, 4, FALSE)</f>
        <v>Madhya Pradesh</v>
      </c>
      <c r="K1387" t="str">
        <f>VLOOKUP(A1387, [1]Orders!A:E, 5, FALSE)</f>
        <v>Indore</v>
      </c>
    </row>
    <row r="1388" spans="1:11" x14ac:dyDescent="0.5">
      <c r="A1388" t="s">
        <v>521</v>
      </c>
      <c r="B1388">
        <v>911</v>
      </c>
      <c r="C1388">
        <v>202</v>
      </c>
      <c r="D1388">
        <v>7</v>
      </c>
      <c r="E1388" t="s">
        <v>12</v>
      </c>
      <c r="F1388" t="s">
        <v>13</v>
      </c>
      <c r="G1388" t="s">
        <v>10</v>
      </c>
      <c r="H1388" s="1">
        <f>VLOOKUP(A1388, [1]Orders!A:B, 2, FALSE)</f>
        <v>43383</v>
      </c>
      <c r="I1388" t="str">
        <f>VLOOKUP(A1388, [1]Orders!A:E, 3, FALSE)</f>
        <v>Hrisheekesh</v>
      </c>
      <c r="J1388" t="str">
        <f>VLOOKUP(A1388, [1]Orders!A:E, 4, FALSE)</f>
        <v>Maharashtra</v>
      </c>
      <c r="K1388" t="str">
        <f>VLOOKUP(A1388, [1]Orders!A:E, 5, FALSE)</f>
        <v>Mumbai</v>
      </c>
    </row>
    <row r="1389" spans="1:11" x14ac:dyDescent="0.5">
      <c r="A1389" t="s">
        <v>299</v>
      </c>
      <c r="B1389">
        <v>18</v>
      </c>
      <c r="C1389">
        <v>2</v>
      </c>
      <c r="D1389">
        <v>3</v>
      </c>
      <c r="E1389" t="s">
        <v>23</v>
      </c>
      <c r="F1389" t="s">
        <v>30</v>
      </c>
      <c r="G1389" t="s">
        <v>10</v>
      </c>
      <c r="H1389" s="1">
        <f>VLOOKUP(A1389, [1]Orders!A:B, 2, FALSE)</f>
        <v>43142</v>
      </c>
      <c r="I1389" t="str">
        <f>VLOOKUP(A1389, [1]Orders!A:E, 3, FALSE)</f>
        <v>Kartikay</v>
      </c>
      <c r="J1389" t="str">
        <f>VLOOKUP(A1389, [1]Orders!A:E, 4, FALSE)</f>
        <v>Bihar</v>
      </c>
      <c r="K1389" t="str">
        <f>VLOOKUP(A1389, [1]Orders!A:E, 5, FALSE)</f>
        <v>Patna</v>
      </c>
    </row>
    <row r="1390" spans="1:11" x14ac:dyDescent="0.5">
      <c r="A1390" t="s">
        <v>349</v>
      </c>
      <c r="B1390">
        <v>911</v>
      </c>
      <c r="C1390">
        <v>355</v>
      </c>
      <c r="D1390">
        <v>5</v>
      </c>
      <c r="E1390" t="s">
        <v>8</v>
      </c>
      <c r="F1390" t="s">
        <v>21</v>
      </c>
      <c r="G1390" t="s">
        <v>82</v>
      </c>
      <c r="H1390" s="1">
        <f>VLOOKUP(A1390, [1]Orders!A:B, 2, FALSE)</f>
        <v>43394</v>
      </c>
      <c r="I1390" t="str">
        <f>VLOOKUP(A1390, [1]Orders!A:E, 3, FALSE)</f>
        <v>Kartik</v>
      </c>
      <c r="J1390" t="str">
        <f>VLOOKUP(A1390, [1]Orders!A:E, 4, FALSE)</f>
        <v>Madhya Pradesh</v>
      </c>
      <c r="K1390" t="str">
        <f>VLOOKUP(A1390, [1]Orders!A:E, 5, FALSE)</f>
        <v>Indore</v>
      </c>
    </row>
    <row r="1391" spans="1:11" x14ac:dyDescent="0.5">
      <c r="A1391" t="s">
        <v>229</v>
      </c>
      <c r="B1391">
        <v>143</v>
      </c>
      <c r="C1391">
        <v>-129</v>
      </c>
      <c r="D1391">
        <v>2</v>
      </c>
      <c r="E1391" t="s">
        <v>8</v>
      </c>
      <c r="F1391" t="s">
        <v>21</v>
      </c>
      <c r="G1391" t="s">
        <v>10</v>
      </c>
      <c r="H1391" s="1">
        <f>VLOOKUP(A1391, [1]Orders!A:B, 2, FALSE)</f>
        <v>43214</v>
      </c>
      <c r="I1391" t="str">
        <f>VLOOKUP(A1391, [1]Orders!A:E, 3, FALSE)</f>
        <v>Sahil</v>
      </c>
      <c r="J1391" t="str">
        <f>VLOOKUP(A1391, [1]Orders!A:E, 4, FALSE)</f>
        <v>Punjab</v>
      </c>
      <c r="K1391" t="str">
        <f>VLOOKUP(A1391, [1]Orders!A:E, 5, FALSE)</f>
        <v>Chandigarh</v>
      </c>
    </row>
    <row r="1392" spans="1:11" x14ac:dyDescent="0.5">
      <c r="A1392" t="s">
        <v>130</v>
      </c>
      <c r="B1392">
        <v>918</v>
      </c>
      <c r="C1392">
        <v>22</v>
      </c>
      <c r="D1392">
        <v>9</v>
      </c>
      <c r="E1392" t="s">
        <v>8</v>
      </c>
      <c r="F1392" t="s">
        <v>9</v>
      </c>
      <c r="G1392" t="s">
        <v>10</v>
      </c>
      <c r="H1392" s="1">
        <f>VLOOKUP(A1392, [1]Orders!A:B, 2, FALSE)</f>
        <v>43131</v>
      </c>
      <c r="I1392" t="str">
        <f>VLOOKUP(A1392, [1]Orders!A:E, 3, FALSE)</f>
        <v>Shweta</v>
      </c>
      <c r="J1392" t="str">
        <f>VLOOKUP(A1392, [1]Orders!A:E, 4, FALSE)</f>
        <v>Rajasthan</v>
      </c>
      <c r="K1392" t="str">
        <f>VLOOKUP(A1392, [1]Orders!A:E, 5, FALSE)</f>
        <v>Udaipur</v>
      </c>
    </row>
    <row r="1393" spans="1:11" x14ac:dyDescent="0.5">
      <c r="A1393" t="s">
        <v>135</v>
      </c>
      <c r="B1393">
        <v>925</v>
      </c>
      <c r="C1393">
        <v>-447</v>
      </c>
      <c r="D1393">
        <v>5</v>
      </c>
      <c r="E1393" t="s">
        <v>8</v>
      </c>
      <c r="F1393" t="s">
        <v>9</v>
      </c>
      <c r="G1393" t="s">
        <v>10</v>
      </c>
      <c r="H1393" s="1">
        <f>VLOOKUP(A1393, [1]Orders!A:B, 2, FALSE)</f>
        <v>43226</v>
      </c>
      <c r="I1393" t="str">
        <f>VLOOKUP(A1393, [1]Orders!A:E, 3, FALSE)</f>
        <v>Chirag</v>
      </c>
      <c r="J1393" t="str">
        <f>VLOOKUP(A1393, [1]Orders!A:E, 4, FALSE)</f>
        <v>Maharashtra</v>
      </c>
      <c r="K1393" t="str">
        <f>VLOOKUP(A1393, [1]Orders!A:E, 5, FALSE)</f>
        <v>Mumbai</v>
      </c>
    </row>
    <row r="1394" spans="1:11" x14ac:dyDescent="0.5">
      <c r="A1394" t="s">
        <v>174</v>
      </c>
      <c r="B1394">
        <v>17</v>
      </c>
      <c r="C1394">
        <v>8</v>
      </c>
      <c r="D1394">
        <v>2</v>
      </c>
      <c r="E1394" t="s">
        <v>23</v>
      </c>
      <c r="F1394" t="s">
        <v>43</v>
      </c>
      <c r="G1394" t="s">
        <v>10</v>
      </c>
      <c r="H1394" s="1">
        <f>VLOOKUP(A1394, [1]Orders!A:B, 2, FALSE)</f>
        <v>43181</v>
      </c>
      <c r="I1394" t="str">
        <f>VLOOKUP(A1394, [1]Orders!A:E, 3, FALSE)</f>
        <v>Kasheen</v>
      </c>
      <c r="J1394" t="str">
        <f>VLOOKUP(A1394, [1]Orders!A:E, 4, FALSE)</f>
        <v>West Bengal</v>
      </c>
      <c r="K1394" t="str">
        <f>VLOOKUP(A1394, [1]Orders!A:E, 5, FALSE)</f>
        <v>Kolkata</v>
      </c>
    </row>
    <row r="1395" spans="1:11" x14ac:dyDescent="0.5">
      <c r="A1395" t="s">
        <v>522</v>
      </c>
      <c r="B1395">
        <v>465</v>
      </c>
      <c r="C1395">
        <v>207</v>
      </c>
      <c r="D1395">
        <v>9</v>
      </c>
      <c r="E1395" t="s">
        <v>23</v>
      </c>
      <c r="F1395" t="s">
        <v>26</v>
      </c>
      <c r="G1395" t="s">
        <v>10</v>
      </c>
      <c r="H1395" s="1">
        <f>VLOOKUP(A1395, [1]Orders!A:B, 2, FALSE)</f>
        <v>43438</v>
      </c>
      <c r="I1395" t="str">
        <f>VLOOKUP(A1395, [1]Orders!A:E, 3, FALSE)</f>
        <v>Divyansha</v>
      </c>
      <c r="J1395" t="str">
        <f>VLOOKUP(A1395, [1]Orders!A:E, 4, FALSE)</f>
        <v>Maharashtra</v>
      </c>
      <c r="K1395" t="str">
        <f>VLOOKUP(A1395, [1]Orders!A:E, 5, FALSE)</f>
        <v>Mumbai</v>
      </c>
    </row>
    <row r="1396" spans="1:11" x14ac:dyDescent="0.5">
      <c r="A1396" t="s">
        <v>150</v>
      </c>
      <c r="B1396">
        <v>17</v>
      </c>
      <c r="C1396">
        <v>-9</v>
      </c>
      <c r="D1396">
        <v>3</v>
      </c>
      <c r="E1396" t="s">
        <v>23</v>
      </c>
      <c r="F1396" t="s">
        <v>57</v>
      </c>
      <c r="G1396" t="s">
        <v>10</v>
      </c>
      <c r="H1396" s="1">
        <f>VLOOKUP(A1396, [1]Orders!A:B, 2, FALSE)</f>
        <v>43267</v>
      </c>
      <c r="I1396" t="str">
        <f>VLOOKUP(A1396, [1]Orders!A:E, 3, FALSE)</f>
        <v>Akancha</v>
      </c>
      <c r="J1396" t="str">
        <f>VLOOKUP(A1396, [1]Orders!A:E, 4, FALSE)</f>
        <v>Maharashtra</v>
      </c>
      <c r="K1396" t="str">
        <f>VLOOKUP(A1396, [1]Orders!A:E, 5, FALSE)</f>
        <v>Mumbai</v>
      </c>
    </row>
    <row r="1397" spans="1:11" x14ac:dyDescent="0.5">
      <c r="A1397" t="s">
        <v>133</v>
      </c>
      <c r="B1397">
        <v>935</v>
      </c>
      <c r="C1397">
        <v>114</v>
      </c>
      <c r="D1397">
        <v>4</v>
      </c>
      <c r="E1397" t="s">
        <v>8</v>
      </c>
      <c r="F1397" t="s">
        <v>9</v>
      </c>
      <c r="G1397" t="s">
        <v>28</v>
      </c>
      <c r="H1397" s="1">
        <f>VLOOKUP(A1397, [1]Orders!A:B, 2, FALSE)</f>
        <v>43113</v>
      </c>
      <c r="I1397" t="str">
        <f>VLOOKUP(A1397, [1]Orders!A:E, 3, FALSE)</f>
        <v>Priyanka</v>
      </c>
      <c r="J1397" t="str">
        <f>VLOOKUP(A1397, [1]Orders!A:E, 4, FALSE)</f>
        <v>Madhya Pradesh</v>
      </c>
      <c r="K1397" t="str">
        <f>VLOOKUP(A1397, [1]Orders!A:E, 5, FALSE)</f>
        <v>Indore</v>
      </c>
    </row>
    <row r="1398" spans="1:11" x14ac:dyDescent="0.5">
      <c r="A1398" t="s">
        <v>119</v>
      </c>
      <c r="B1398">
        <v>16</v>
      </c>
      <c r="C1398">
        <v>-10</v>
      </c>
      <c r="D1398">
        <v>2</v>
      </c>
      <c r="E1398" t="s">
        <v>23</v>
      </c>
      <c r="F1398" t="s">
        <v>81</v>
      </c>
      <c r="G1398" t="s">
        <v>10</v>
      </c>
      <c r="H1398" s="1">
        <f>VLOOKUP(A1398, [1]Orders!A:B, 2, FALSE)</f>
        <v>43227</v>
      </c>
      <c r="I1398" t="str">
        <f>VLOOKUP(A1398, [1]Orders!A:E, 3, FALSE)</f>
        <v>Anurag</v>
      </c>
      <c r="J1398" t="str">
        <f>VLOOKUP(A1398, [1]Orders!A:E, 4, FALSE)</f>
        <v>Madhya Pradesh</v>
      </c>
      <c r="K1398" t="str">
        <f>VLOOKUP(A1398, [1]Orders!A:E, 5, FALSE)</f>
        <v>Indore</v>
      </c>
    </row>
    <row r="1399" spans="1:11" x14ac:dyDescent="0.5">
      <c r="A1399" t="s">
        <v>15</v>
      </c>
      <c r="B1399">
        <v>954</v>
      </c>
      <c r="C1399">
        <v>95</v>
      </c>
      <c r="D1399">
        <v>3</v>
      </c>
      <c r="E1399" t="s">
        <v>8</v>
      </c>
      <c r="F1399" t="s">
        <v>18</v>
      </c>
      <c r="G1399" t="s">
        <v>28</v>
      </c>
      <c r="H1399" s="1">
        <f>VLOOKUP(A1399, [1]Orders!A:B, 2, FALSE)</f>
        <v>43116</v>
      </c>
      <c r="I1399" t="str">
        <f>VLOOKUP(A1399, [1]Orders!A:E, 3, FALSE)</f>
        <v>Shiva</v>
      </c>
      <c r="J1399" t="str">
        <f>VLOOKUP(A1399, [1]Orders!A:E, 4, FALSE)</f>
        <v>Maharashtra</v>
      </c>
      <c r="K1399" t="str">
        <f>VLOOKUP(A1399, [1]Orders!A:E, 5, FALSE)</f>
        <v>Pune</v>
      </c>
    </row>
    <row r="1400" spans="1:11" x14ac:dyDescent="0.5">
      <c r="A1400" t="s">
        <v>115</v>
      </c>
      <c r="B1400">
        <v>915</v>
      </c>
      <c r="C1400">
        <v>-99</v>
      </c>
      <c r="D1400">
        <v>3</v>
      </c>
      <c r="E1400" t="s">
        <v>12</v>
      </c>
      <c r="F1400" t="s">
        <v>45</v>
      </c>
      <c r="G1400" t="s">
        <v>82</v>
      </c>
      <c r="H1400" s="1">
        <f>VLOOKUP(A1400, [1]Orders!A:B, 2, FALSE)</f>
        <v>43441</v>
      </c>
      <c r="I1400" t="str">
        <f>VLOOKUP(A1400, [1]Orders!A:E, 3, FALSE)</f>
        <v>Abhishek</v>
      </c>
      <c r="J1400" t="str">
        <f>VLOOKUP(A1400, [1]Orders!A:E, 4, FALSE)</f>
        <v>Rajasthan</v>
      </c>
      <c r="K1400" t="str">
        <f>VLOOKUP(A1400, [1]Orders!A:E, 5, FALSE)</f>
        <v>Udaipur</v>
      </c>
    </row>
    <row r="1401" spans="1:11" x14ac:dyDescent="0.5">
      <c r="A1401" t="s">
        <v>330</v>
      </c>
      <c r="B1401">
        <v>955</v>
      </c>
      <c r="C1401">
        <v>305</v>
      </c>
      <c r="D1401">
        <v>3</v>
      </c>
      <c r="E1401" t="s">
        <v>8</v>
      </c>
      <c r="F1401" t="s">
        <v>18</v>
      </c>
      <c r="G1401" t="s">
        <v>82</v>
      </c>
      <c r="H1401" s="1">
        <f>VLOOKUP(A1401, [1]Orders!A:B, 2, FALSE)</f>
        <v>43402</v>
      </c>
      <c r="I1401" t="str">
        <f>VLOOKUP(A1401, [1]Orders!A:E, 3, FALSE)</f>
        <v>Sanjana</v>
      </c>
      <c r="J1401" t="str">
        <f>VLOOKUP(A1401, [1]Orders!A:E, 4, FALSE)</f>
        <v>Madhya Pradesh</v>
      </c>
      <c r="K1401" t="str">
        <f>VLOOKUP(A1401, [1]Orders!A:E, 5, FALSE)</f>
        <v>Indore</v>
      </c>
    </row>
    <row r="1402" spans="1:11" x14ac:dyDescent="0.5">
      <c r="A1402" t="s">
        <v>64</v>
      </c>
      <c r="B1402">
        <v>976</v>
      </c>
      <c r="C1402">
        <v>293</v>
      </c>
      <c r="D1402">
        <v>4</v>
      </c>
      <c r="E1402" t="s">
        <v>8</v>
      </c>
      <c r="F1402" t="s">
        <v>73</v>
      </c>
      <c r="G1402" t="s">
        <v>10</v>
      </c>
      <c r="H1402" s="1">
        <f>VLOOKUP(A1402, [1]Orders!A:B, 2, FALSE)</f>
        <v>43373</v>
      </c>
      <c r="I1402" t="str">
        <f>VLOOKUP(A1402, [1]Orders!A:E, 3, FALSE)</f>
        <v>Sauptik</v>
      </c>
      <c r="J1402" t="str">
        <f>VLOOKUP(A1402, [1]Orders!A:E, 4, FALSE)</f>
        <v>Madhya Pradesh</v>
      </c>
      <c r="K1402" t="str">
        <f>VLOOKUP(A1402, [1]Orders!A:E, 5, FALSE)</f>
        <v>Indore</v>
      </c>
    </row>
    <row r="1403" spans="1:11" x14ac:dyDescent="0.5">
      <c r="A1403" t="s">
        <v>344</v>
      </c>
      <c r="B1403">
        <v>1069</v>
      </c>
      <c r="C1403">
        <v>0</v>
      </c>
      <c r="D1403">
        <v>6</v>
      </c>
      <c r="E1403" t="s">
        <v>23</v>
      </c>
      <c r="F1403" t="s">
        <v>26</v>
      </c>
      <c r="G1403" t="s">
        <v>14</v>
      </c>
      <c r="H1403" s="1">
        <f>VLOOKUP(A1403, [1]Orders!A:B, 2, FALSE)</f>
        <v>43314</v>
      </c>
      <c r="I1403" t="str">
        <f>VLOOKUP(A1403, [1]Orders!A:E, 3, FALSE)</f>
        <v>Ayush</v>
      </c>
      <c r="J1403" t="str">
        <f>VLOOKUP(A1403, [1]Orders!A:E, 4, FALSE)</f>
        <v>Punjab</v>
      </c>
      <c r="K1403" t="str">
        <f>VLOOKUP(A1403, [1]Orders!A:E, 5, FALSE)</f>
        <v>Chandigarh</v>
      </c>
    </row>
    <row r="1404" spans="1:11" x14ac:dyDescent="0.5">
      <c r="A1404" t="s">
        <v>290</v>
      </c>
      <c r="B1404">
        <v>19</v>
      </c>
      <c r="C1404">
        <v>-15</v>
      </c>
      <c r="D1404">
        <v>3</v>
      </c>
      <c r="E1404" t="s">
        <v>23</v>
      </c>
      <c r="F1404" t="s">
        <v>30</v>
      </c>
      <c r="G1404" t="s">
        <v>19</v>
      </c>
      <c r="H1404" s="1">
        <f>VLOOKUP(A1404, [1]Orders!A:B, 2, FALSE)</f>
        <v>43237</v>
      </c>
      <c r="I1404" t="str">
        <f>VLOOKUP(A1404, [1]Orders!A:E, 3, FALSE)</f>
        <v>Subhashree</v>
      </c>
      <c r="J1404" t="str">
        <f>VLOOKUP(A1404, [1]Orders!A:E, 4, FALSE)</f>
        <v>Jammu and Kashmir</v>
      </c>
      <c r="K1404" t="str">
        <f>VLOOKUP(A1404, [1]Orders!A:E, 5, FALSE)</f>
        <v>Kashmir</v>
      </c>
    </row>
    <row r="1405" spans="1:11" x14ac:dyDescent="0.5">
      <c r="A1405" t="s">
        <v>321</v>
      </c>
      <c r="B1405">
        <v>16</v>
      </c>
      <c r="C1405">
        <v>6</v>
      </c>
      <c r="D1405">
        <v>3</v>
      </c>
      <c r="E1405" t="s">
        <v>23</v>
      </c>
      <c r="F1405" t="s">
        <v>30</v>
      </c>
      <c r="G1405" t="s">
        <v>10</v>
      </c>
      <c r="H1405" s="1">
        <f>VLOOKUP(A1405, [1]Orders!A:B, 2, FALSE)</f>
        <v>43135</v>
      </c>
      <c r="I1405" t="str">
        <f>VLOOKUP(A1405, [1]Orders!A:E, 3, FALSE)</f>
        <v>Yogesh</v>
      </c>
      <c r="J1405" t="str">
        <f>VLOOKUP(A1405, [1]Orders!A:E, 4, FALSE)</f>
        <v>Maharashtra</v>
      </c>
      <c r="K1405" t="str">
        <f>VLOOKUP(A1405, [1]Orders!A:E, 5, FALSE)</f>
        <v>Pune</v>
      </c>
    </row>
    <row r="1406" spans="1:11" x14ac:dyDescent="0.5">
      <c r="A1406" t="s">
        <v>100</v>
      </c>
      <c r="B1406">
        <v>1030</v>
      </c>
      <c r="C1406">
        <v>206</v>
      </c>
      <c r="D1406">
        <v>8</v>
      </c>
      <c r="E1406" t="s">
        <v>8</v>
      </c>
      <c r="F1406" t="s">
        <v>18</v>
      </c>
      <c r="G1406" t="s">
        <v>28</v>
      </c>
      <c r="H1406" s="1">
        <f>VLOOKUP(A1406, [1]Orders!A:B, 2, FALSE)</f>
        <v>43243</v>
      </c>
      <c r="I1406" t="str">
        <f>VLOOKUP(A1406, [1]Orders!A:E, 3, FALSE)</f>
        <v>Anjali</v>
      </c>
      <c r="J1406" t="str">
        <f>VLOOKUP(A1406, [1]Orders!A:E, 4, FALSE)</f>
        <v>Haryana</v>
      </c>
      <c r="K1406" t="str">
        <f>VLOOKUP(A1406, [1]Orders!A:E, 5, FALSE)</f>
        <v>Chandigarh</v>
      </c>
    </row>
    <row r="1407" spans="1:11" x14ac:dyDescent="0.5">
      <c r="A1407" t="s">
        <v>288</v>
      </c>
      <c r="B1407">
        <v>620</v>
      </c>
      <c r="C1407">
        <v>82</v>
      </c>
      <c r="D1407">
        <v>6</v>
      </c>
      <c r="E1407" t="s">
        <v>8</v>
      </c>
      <c r="F1407" t="s">
        <v>73</v>
      </c>
      <c r="G1407" t="s">
        <v>10</v>
      </c>
      <c r="H1407" s="1">
        <f>VLOOKUP(A1407, [1]Orders!A:B, 2, FALSE)</f>
        <v>43329</v>
      </c>
      <c r="I1407" t="str">
        <f>VLOOKUP(A1407, [1]Orders!A:E, 3, FALSE)</f>
        <v>Shivam</v>
      </c>
      <c r="J1407" t="str">
        <f>VLOOKUP(A1407, [1]Orders!A:E, 4, FALSE)</f>
        <v>Uttar Pradesh</v>
      </c>
      <c r="K1407" t="str">
        <f>VLOOKUP(A1407, [1]Orders!A:E, 5, FALSE)</f>
        <v>Lucknow</v>
      </c>
    </row>
    <row r="1408" spans="1:11" x14ac:dyDescent="0.5">
      <c r="A1408" t="s">
        <v>214</v>
      </c>
      <c r="B1408">
        <v>16</v>
      </c>
      <c r="C1408">
        <v>8</v>
      </c>
      <c r="D1408">
        <v>2</v>
      </c>
      <c r="E1408" t="s">
        <v>23</v>
      </c>
      <c r="F1408" t="s">
        <v>30</v>
      </c>
      <c r="G1408" t="s">
        <v>10</v>
      </c>
      <c r="H1408" s="1">
        <f>VLOOKUP(A1408, [1]Orders!A:B, 2, FALSE)</f>
        <v>43407</v>
      </c>
      <c r="I1408" t="str">
        <f>VLOOKUP(A1408, [1]Orders!A:E, 3, FALSE)</f>
        <v>Rohan</v>
      </c>
      <c r="J1408" t="str">
        <f>VLOOKUP(A1408, [1]Orders!A:E, 4, FALSE)</f>
        <v>Himachal Pradesh</v>
      </c>
      <c r="K1408" t="str">
        <f>VLOOKUP(A1408, [1]Orders!A:E, 5, FALSE)</f>
        <v>Simla</v>
      </c>
    </row>
    <row r="1409" spans="1:11" x14ac:dyDescent="0.5">
      <c r="A1409" t="s">
        <v>61</v>
      </c>
      <c r="B1409">
        <v>19</v>
      </c>
      <c r="C1409">
        <v>8</v>
      </c>
      <c r="D1409">
        <v>2</v>
      </c>
      <c r="E1409" t="s">
        <v>23</v>
      </c>
      <c r="F1409" t="s">
        <v>30</v>
      </c>
      <c r="G1409" t="s">
        <v>19</v>
      </c>
      <c r="H1409" s="1">
        <f>VLOOKUP(A1409, [1]Orders!A:B, 2, FALSE)</f>
        <v>43187</v>
      </c>
      <c r="I1409" t="str">
        <f>VLOOKUP(A1409, [1]Orders!A:E, 3, FALSE)</f>
        <v>Vini</v>
      </c>
      <c r="J1409" t="str">
        <f>VLOOKUP(A1409, [1]Orders!A:E, 4, FALSE)</f>
        <v>Karnataka</v>
      </c>
      <c r="K1409" t="str">
        <f>VLOOKUP(A1409, [1]Orders!A:E, 5, FALSE)</f>
        <v>Bangalore</v>
      </c>
    </row>
    <row r="1410" spans="1:11" x14ac:dyDescent="0.5">
      <c r="A1410" t="s">
        <v>189</v>
      </c>
      <c r="B1410">
        <v>249</v>
      </c>
      <c r="C1410">
        <v>-130</v>
      </c>
      <c r="D1410">
        <v>4</v>
      </c>
      <c r="E1410" t="s">
        <v>8</v>
      </c>
      <c r="F1410" t="s">
        <v>21</v>
      </c>
      <c r="G1410" t="s">
        <v>28</v>
      </c>
      <c r="H1410" s="1">
        <f>VLOOKUP(A1410, [1]Orders!A:B, 2, FALSE)</f>
        <v>43216</v>
      </c>
      <c r="I1410" t="str">
        <f>VLOOKUP(A1410, [1]Orders!A:E, 3, FALSE)</f>
        <v>Amit</v>
      </c>
      <c r="J1410" t="str">
        <f>VLOOKUP(A1410, [1]Orders!A:E, 4, FALSE)</f>
        <v>Sikkim</v>
      </c>
      <c r="K1410" t="str">
        <f>VLOOKUP(A1410, [1]Orders!A:E, 5, FALSE)</f>
        <v>Gangtok</v>
      </c>
    </row>
    <row r="1411" spans="1:11" x14ac:dyDescent="0.5">
      <c r="A1411" t="s">
        <v>523</v>
      </c>
      <c r="B1411">
        <v>16</v>
      </c>
      <c r="C1411">
        <v>6</v>
      </c>
      <c r="D1411">
        <v>1</v>
      </c>
      <c r="E1411" t="s">
        <v>23</v>
      </c>
      <c r="F1411" t="s">
        <v>57</v>
      </c>
      <c r="G1411" t="s">
        <v>10</v>
      </c>
      <c r="H1411" s="1">
        <f>VLOOKUP(A1411, [1]Orders!A:B, 2, FALSE)</f>
        <v>43380</v>
      </c>
      <c r="I1411" t="str">
        <f>VLOOKUP(A1411, [1]Orders!A:E, 3, FALSE)</f>
        <v>Vipul</v>
      </c>
      <c r="J1411" t="str">
        <f>VLOOKUP(A1411, [1]Orders!A:E, 4, FALSE)</f>
        <v>Uttar Pradesh</v>
      </c>
      <c r="K1411" t="str">
        <f>VLOOKUP(A1411, [1]Orders!A:E, 5, FALSE)</f>
        <v>Lucknow</v>
      </c>
    </row>
    <row r="1412" spans="1:11" x14ac:dyDescent="0.5">
      <c r="A1412" t="s">
        <v>127</v>
      </c>
      <c r="B1412">
        <v>1361</v>
      </c>
      <c r="C1412">
        <v>197</v>
      </c>
      <c r="D1412">
        <v>9</v>
      </c>
      <c r="E1412" t="s">
        <v>12</v>
      </c>
      <c r="F1412" t="s">
        <v>16</v>
      </c>
      <c r="G1412" t="s">
        <v>10</v>
      </c>
      <c r="H1412" s="1">
        <f>VLOOKUP(A1412, [1]Orders!A:B, 2, FALSE)</f>
        <v>43326</v>
      </c>
      <c r="I1412" t="str">
        <f>VLOOKUP(A1412, [1]Orders!A:E, 3, FALSE)</f>
        <v>Vaibhav</v>
      </c>
      <c r="J1412" t="str">
        <f>VLOOKUP(A1412, [1]Orders!A:E, 4, FALSE)</f>
        <v>Madhya Pradesh</v>
      </c>
      <c r="K1412" t="str">
        <f>VLOOKUP(A1412, [1]Orders!A:E, 5, FALSE)</f>
        <v>Indore</v>
      </c>
    </row>
    <row r="1413" spans="1:11" x14ac:dyDescent="0.5">
      <c r="A1413" t="s">
        <v>122</v>
      </c>
      <c r="B1413">
        <v>15</v>
      </c>
      <c r="C1413">
        <v>1</v>
      </c>
      <c r="D1413">
        <v>1</v>
      </c>
      <c r="E1413" t="s">
        <v>23</v>
      </c>
      <c r="F1413" t="s">
        <v>142</v>
      </c>
      <c r="G1413" t="s">
        <v>10</v>
      </c>
      <c r="H1413" s="1">
        <f>VLOOKUP(A1413, [1]Orders!A:B, 2, FALSE)</f>
        <v>43167</v>
      </c>
      <c r="I1413" t="str">
        <f>VLOOKUP(A1413, [1]Orders!A:E, 3, FALSE)</f>
        <v>Ajay</v>
      </c>
      <c r="J1413" t="str">
        <f>VLOOKUP(A1413, [1]Orders!A:E, 4, FALSE)</f>
        <v>Karnataka</v>
      </c>
      <c r="K1413" t="str">
        <f>VLOOKUP(A1413, [1]Orders!A:E, 5, FALSE)</f>
        <v>Bangalore</v>
      </c>
    </row>
    <row r="1414" spans="1:11" x14ac:dyDescent="0.5">
      <c r="A1414" t="s">
        <v>265</v>
      </c>
      <c r="B1414">
        <v>1076</v>
      </c>
      <c r="C1414">
        <v>-38</v>
      </c>
      <c r="D1414">
        <v>4</v>
      </c>
      <c r="E1414" t="s">
        <v>8</v>
      </c>
      <c r="F1414" t="s">
        <v>18</v>
      </c>
      <c r="G1414" t="s">
        <v>10</v>
      </c>
      <c r="H1414" s="1">
        <f>VLOOKUP(A1414, [1]Orders!A:B, 2, FALSE)</f>
        <v>43199</v>
      </c>
      <c r="I1414" t="str">
        <f>VLOOKUP(A1414, [1]Orders!A:E, 3, FALSE)</f>
        <v>Yogesh</v>
      </c>
      <c r="J1414" t="str">
        <f>VLOOKUP(A1414, [1]Orders!A:E, 4, FALSE)</f>
        <v>Bihar</v>
      </c>
      <c r="K1414" t="str">
        <f>VLOOKUP(A1414, [1]Orders!A:E, 5, FALSE)</f>
        <v>Patna</v>
      </c>
    </row>
    <row r="1415" spans="1:11" x14ac:dyDescent="0.5">
      <c r="A1415" t="s">
        <v>159</v>
      </c>
      <c r="B1415">
        <v>18</v>
      </c>
      <c r="C1415">
        <v>2</v>
      </c>
      <c r="D1415">
        <v>3</v>
      </c>
      <c r="E1415" t="s">
        <v>23</v>
      </c>
      <c r="F1415" t="s">
        <v>30</v>
      </c>
      <c r="G1415" t="s">
        <v>19</v>
      </c>
      <c r="H1415" s="1">
        <f>VLOOKUP(A1415, [1]Orders!A:B, 2, FALSE)</f>
        <v>43436</v>
      </c>
      <c r="I1415" t="str">
        <f>VLOOKUP(A1415, [1]Orders!A:E, 3, FALSE)</f>
        <v>Rohan</v>
      </c>
      <c r="J1415" t="str">
        <f>VLOOKUP(A1415, [1]Orders!A:E, 4, FALSE)</f>
        <v>Punjab</v>
      </c>
      <c r="K1415" t="str">
        <f>VLOOKUP(A1415, [1]Orders!A:E, 5, FALSE)</f>
        <v>Amritsar</v>
      </c>
    </row>
    <row r="1416" spans="1:11" x14ac:dyDescent="0.5">
      <c r="A1416" t="s">
        <v>524</v>
      </c>
      <c r="B1416">
        <v>1101</v>
      </c>
      <c r="C1416">
        <v>352</v>
      </c>
      <c r="D1416">
        <v>3</v>
      </c>
      <c r="E1416" t="s">
        <v>12</v>
      </c>
      <c r="F1416" t="s">
        <v>16</v>
      </c>
      <c r="G1416" t="s">
        <v>28</v>
      </c>
      <c r="H1416" s="1">
        <f>VLOOKUP(A1416, [1]Orders!A:B, 2, FALSE)</f>
        <v>43105</v>
      </c>
      <c r="I1416" t="str">
        <f>VLOOKUP(A1416, [1]Orders!A:E, 3, FALSE)</f>
        <v>Ankit</v>
      </c>
      <c r="J1416" t="str">
        <f>VLOOKUP(A1416, [1]Orders!A:E, 4, FALSE)</f>
        <v>Haryana</v>
      </c>
      <c r="K1416" t="str">
        <f>VLOOKUP(A1416, [1]Orders!A:E, 5, FALSE)</f>
        <v>Chandigarh</v>
      </c>
    </row>
    <row r="1417" spans="1:11" x14ac:dyDescent="0.5">
      <c r="A1417" t="s">
        <v>180</v>
      </c>
      <c r="B1417">
        <v>15</v>
      </c>
      <c r="C1417">
        <v>2</v>
      </c>
      <c r="D1417">
        <v>1</v>
      </c>
      <c r="E1417" t="s">
        <v>23</v>
      </c>
      <c r="F1417" t="s">
        <v>63</v>
      </c>
      <c r="G1417" t="s">
        <v>10</v>
      </c>
      <c r="H1417" s="1">
        <f>VLOOKUP(A1417, [1]Orders!A:B, 2, FALSE)</f>
        <v>43397</v>
      </c>
      <c r="I1417" t="str">
        <f>VLOOKUP(A1417, [1]Orders!A:E, 3, FALSE)</f>
        <v>Nikita</v>
      </c>
      <c r="J1417" t="str">
        <f>VLOOKUP(A1417, [1]Orders!A:E, 4, FALSE)</f>
        <v>Punjab</v>
      </c>
      <c r="K1417" t="str">
        <f>VLOOKUP(A1417, [1]Orders!A:E, 5, FALSE)</f>
        <v>Chandigarh</v>
      </c>
    </row>
    <row r="1418" spans="1:11" x14ac:dyDescent="0.5">
      <c r="A1418" t="s">
        <v>55</v>
      </c>
      <c r="B1418">
        <v>1104</v>
      </c>
      <c r="C1418">
        <v>209</v>
      </c>
      <c r="D1418">
        <v>4</v>
      </c>
      <c r="E1418" t="s">
        <v>23</v>
      </c>
      <c r="F1418" t="s">
        <v>24</v>
      </c>
      <c r="G1418" t="s">
        <v>28</v>
      </c>
      <c r="H1418" s="1">
        <f>VLOOKUP(A1418, [1]Orders!A:B, 2, FALSE)</f>
        <v>43163</v>
      </c>
      <c r="I1418" t="str">
        <f>VLOOKUP(A1418, [1]Orders!A:E, 3, FALSE)</f>
        <v>Parth</v>
      </c>
      <c r="J1418" t="str">
        <f>VLOOKUP(A1418, [1]Orders!A:E, 4, FALSE)</f>
        <v>Maharashtra</v>
      </c>
      <c r="K1418" t="str">
        <f>VLOOKUP(A1418, [1]Orders!A:E, 5, FALSE)</f>
        <v>Pune</v>
      </c>
    </row>
    <row r="1419" spans="1:11" x14ac:dyDescent="0.5">
      <c r="A1419" t="s">
        <v>155</v>
      </c>
      <c r="B1419">
        <v>14</v>
      </c>
      <c r="C1419">
        <v>2</v>
      </c>
      <c r="D1419">
        <v>1</v>
      </c>
      <c r="E1419" t="s">
        <v>23</v>
      </c>
      <c r="F1419" t="s">
        <v>30</v>
      </c>
      <c r="G1419" t="s">
        <v>10</v>
      </c>
      <c r="H1419" s="1">
        <f>VLOOKUP(A1419, [1]Orders!A:B, 2, FALSE)</f>
        <v>43245</v>
      </c>
      <c r="I1419" t="str">
        <f>VLOOKUP(A1419, [1]Orders!A:E, 3, FALSE)</f>
        <v>Charika</v>
      </c>
      <c r="J1419" t="str">
        <f>VLOOKUP(A1419, [1]Orders!A:E, 4, FALSE)</f>
        <v>Goa</v>
      </c>
      <c r="K1419" t="str">
        <f>VLOOKUP(A1419, [1]Orders!A:E, 5, FALSE)</f>
        <v>Goa</v>
      </c>
    </row>
    <row r="1420" spans="1:11" x14ac:dyDescent="0.5">
      <c r="A1420" t="s">
        <v>104</v>
      </c>
      <c r="B1420">
        <v>14</v>
      </c>
      <c r="C1420">
        <v>5</v>
      </c>
      <c r="D1420">
        <v>1</v>
      </c>
      <c r="E1420" t="s">
        <v>23</v>
      </c>
      <c r="F1420" t="s">
        <v>30</v>
      </c>
      <c r="G1420" t="s">
        <v>10</v>
      </c>
      <c r="H1420" s="1">
        <f>VLOOKUP(A1420, [1]Orders!A:B, 2, FALSE)</f>
        <v>43333</v>
      </c>
      <c r="I1420" t="str">
        <f>VLOOKUP(A1420, [1]Orders!A:E, 3, FALSE)</f>
        <v>Vishakha</v>
      </c>
      <c r="J1420" t="str">
        <f>VLOOKUP(A1420, [1]Orders!A:E, 4, FALSE)</f>
        <v>Madhya Pradesh</v>
      </c>
      <c r="K1420" t="str">
        <f>VLOOKUP(A1420, [1]Orders!A:E, 5, FALSE)</f>
        <v>Indore</v>
      </c>
    </row>
    <row r="1421" spans="1:11" x14ac:dyDescent="0.5">
      <c r="A1421" t="s">
        <v>262</v>
      </c>
      <c r="B1421">
        <v>14</v>
      </c>
      <c r="C1421">
        <v>-3</v>
      </c>
      <c r="D1421">
        <v>2</v>
      </c>
      <c r="E1421" t="s">
        <v>23</v>
      </c>
      <c r="F1421" t="s">
        <v>63</v>
      </c>
      <c r="G1421" t="s">
        <v>10</v>
      </c>
      <c r="H1421" s="1">
        <f>VLOOKUP(A1421, [1]Orders!A:B, 2, FALSE)</f>
        <v>43326</v>
      </c>
      <c r="I1421" t="str">
        <f>VLOOKUP(A1421, [1]Orders!A:E, 3, FALSE)</f>
        <v>Nishant</v>
      </c>
      <c r="J1421" t="str">
        <f>VLOOKUP(A1421, [1]Orders!A:E, 4, FALSE)</f>
        <v>Maharashtra</v>
      </c>
      <c r="K1421" t="str">
        <f>VLOOKUP(A1421, [1]Orders!A:E, 5, FALSE)</f>
        <v>Mumbai</v>
      </c>
    </row>
    <row r="1422" spans="1:11" x14ac:dyDescent="0.5">
      <c r="A1422" t="s">
        <v>27</v>
      </c>
      <c r="B1422">
        <v>14</v>
      </c>
      <c r="C1422">
        <v>-1</v>
      </c>
      <c r="D1422">
        <v>4</v>
      </c>
      <c r="E1422" t="s">
        <v>23</v>
      </c>
      <c r="F1422" t="s">
        <v>32</v>
      </c>
      <c r="G1422" t="s">
        <v>10</v>
      </c>
      <c r="H1422" s="1">
        <f>VLOOKUP(A1422, [1]Orders!A:B, 2, FALSE)</f>
        <v>43262</v>
      </c>
      <c r="I1422" t="str">
        <f>VLOOKUP(A1422, [1]Orders!A:E, 3, FALSE)</f>
        <v>Sanjna</v>
      </c>
      <c r="J1422" t="str">
        <f>VLOOKUP(A1422, [1]Orders!A:E, 4, FALSE)</f>
        <v>Maharashtra</v>
      </c>
      <c r="K1422" t="str">
        <f>VLOOKUP(A1422, [1]Orders!A:E, 5, FALSE)</f>
        <v>Mumbai</v>
      </c>
    </row>
    <row r="1423" spans="1:11" x14ac:dyDescent="0.5">
      <c r="A1423" t="s">
        <v>62</v>
      </c>
      <c r="B1423">
        <v>13</v>
      </c>
      <c r="C1423">
        <v>-8</v>
      </c>
      <c r="D1423">
        <v>1</v>
      </c>
      <c r="E1423" t="s">
        <v>23</v>
      </c>
      <c r="F1423" t="s">
        <v>81</v>
      </c>
      <c r="G1423" t="s">
        <v>10</v>
      </c>
      <c r="H1423" s="1">
        <f>VLOOKUP(A1423, [1]Orders!A:B, 2, FALSE)</f>
        <v>43286</v>
      </c>
      <c r="I1423" t="str">
        <f>VLOOKUP(A1423, [1]Orders!A:E, 3, FALSE)</f>
        <v>Megha</v>
      </c>
      <c r="J1423" t="str">
        <f>VLOOKUP(A1423, [1]Orders!A:E, 4, FALSE)</f>
        <v>Maharashtra</v>
      </c>
      <c r="K1423" t="str">
        <f>VLOOKUP(A1423, [1]Orders!A:E, 5, FALSE)</f>
        <v>Pune</v>
      </c>
    </row>
    <row r="1424" spans="1:11" x14ac:dyDescent="0.5">
      <c r="A1424" t="s">
        <v>123</v>
      </c>
      <c r="B1424">
        <v>13</v>
      </c>
      <c r="C1424">
        <v>-1</v>
      </c>
      <c r="D1424">
        <v>3</v>
      </c>
      <c r="E1424" t="s">
        <v>23</v>
      </c>
      <c r="F1424" t="s">
        <v>30</v>
      </c>
      <c r="G1424" t="s">
        <v>10</v>
      </c>
      <c r="H1424" s="1">
        <f>VLOOKUP(A1424, [1]Orders!A:B, 2, FALSE)</f>
        <v>43231</v>
      </c>
      <c r="I1424" t="str">
        <f>VLOOKUP(A1424, [1]Orders!A:E, 3, FALSE)</f>
        <v>Priyanka</v>
      </c>
      <c r="J1424" t="str">
        <f>VLOOKUP(A1424, [1]Orders!A:E, 4, FALSE)</f>
        <v>Maharashtra</v>
      </c>
      <c r="K1424" t="str">
        <f>VLOOKUP(A1424, [1]Orders!A:E, 5, FALSE)</f>
        <v>Pune</v>
      </c>
    </row>
    <row r="1425" spans="1:11" x14ac:dyDescent="0.5">
      <c r="A1425" t="s">
        <v>346</v>
      </c>
      <c r="B1425">
        <v>1275</v>
      </c>
      <c r="C1425">
        <v>1148</v>
      </c>
      <c r="D1425">
        <v>7</v>
      </c>
      <c r="E1425" t="s">
        <v>12</v>
      </c>
      <c r="F1425" t="s">
        <v>16</v>
      </c>
      <c r="G1425" t="s">
        <v>14</v>
      </c>
      <c r="H1425" s="1">
        <f>VLOOKUP(A1425, [1]Orders!A:B, 2, FALSE)</f>
        <v>43191</v>
      </c>
      <c r="I1425" t="str">
        <f>VLOOKUP(A1425, [1]Orders!A:E, 3, FALSE)</f>
        <v>Bharat</v>
      </c>
      <c r="J1425" t="str">
        <f>VLOOKUP(A1425, [1]Orders!A:E, 4, FALSE)</f>
        <v>Gujarat</v>
      </c>
      <c r="K1425" t="str">
        <f>VLOOKUP(A1425, [1]Orders!A:E, 5, FALSE)</f>
        <v>Ahmedabad</v>
      </c>
    </row>
    <row r="1426" spans="1:11" x14ac:dyDescent="0.5">
      <c r="A1426" t="s">
        <v>167</v>
      </c>
      <c r="B1426">
        <v>17</v>
      </c>
      <c r="C1426">
        <v>1</v>
      </c>
      <c r="D1426">
        <v>2</v>
      </c>
      <c r="E1426" t="s">
        <v>23</v>
      </c>
      <c r="F1426" t="s">
        <v>43</v>
      </c>
      <c r="G1426" t="s">
        <v>19</v>
      </c>
      <c r="H1426" s="1">
        <f>VLOOKUP(A1426, [1]Orders!A:B, 2, FALSE)</f>
        <v>43168</v>
      </c>
      <c r="I1426" t="str">
        <f>VLOOKUP(A1426, [1]Orders!A:E, 3, FALSE)</f>
        <v>Kirti</v>
      </c>
      <c r="J1426" t="str">
        <f>VLOOKUP(A1426, [1]Orders!A:E, 4, FALSE)</f>
        <v>Jammu and Kashmir</v>
      </c>
      <c r="K1426" t="str">
        <f>VLOOKUP(A1426, [1]Orders!A:E, 5, FALSE)</f>
        <v>Kashmir</v>
      </c>
    </row>
    <row r="1427" spans="1:11" x14ac:dyDescent="0.5">
      <c r="A1427" t="s">
        <v>49</v>
      </c>
      <c r="B1427">
        <v>13</v>
      </c>
      <c r="C1427">
        <v>0</v>
      </c>
      <c r="D1427">
        <v>2</v>
      </c>
      <c r="E1427" t="s">
        <v>23</v>
      </c>
      <c r="F1427" t="s">
        <v>30</v>
      </c>
      <c r="G1427" t="s">
        <v>10</v>
      </c>
      <c r="H1427" s="1">
        <f>VLOOKUP(A1427, [1]Orders!A:B, 2, FALSE)</f>
        <v>43138</v>
      </c>
      <c r="I1427" t="str">
        <f>VLOOKUP(A1427, [1]Orders!A:E, 3, FALSE)</f>
        <v>Patil</v>
      </c>
      <c r="J1427" t="str">
        <f>VLOOKUP(A1427, [1]Orders!A:E, 4, FALSE)</f>
        <v>Delhi</v>
      </c>
      <c r="K1427" t="str">
        <f>VLOOKUP(A1427, [1]Orders!A:E, 5, FALSE)</f>
        <v>Delhi</v>
      </c>
    </row>
    <row r="1428" spans="1:11" x14ac:dyDescent="0.5">
      <c r="A1428" t="s">
        <v>235</v>
      </c>
      <c r="B1428">
        <v>1270</v>
      </c>
      <c r="C1428">
        <v>546</v>
      </c>
      <c r="D1428">
        <v>11</v>
      </c>
      <c r="E1428" t="s">
        <v>8</v>
      </c>
      <c r="F1428" t="s">
        <v>9</v>
      </c>
      <c r="G1428" t="s">
        <v>14</v>
      </c>
      <c r="H1428" s="1">
        <f>VLOOKUP(A1428, [1]Orders!A:B, 2, FALSE)</f>
        <v>43120</v>
      </c>
      <c r="I1428" t="str">
        <f>VLOOKUP(A1428, [1]Orders!A:E, 3, FALSE)</f>
        <v>Oshin</v>
      </c>
      <c r="J1428" t="str">
        <f>VLOOKUP(A1428, [1]Orders!A:E, 4, FALSE)</f>
        <v>Maharashtra</v>
      </c>
      <c r="K1428" t="str">
        <f>VLOOKUP(A1428, [1]Orders!A:E, 5, FALSE)</f>
        <v>Pune</v>
      </c>
    </row>
    <row r="1429" spans="1:11" x14ac:dyDescent="0.5">
      <c r="A1429" t="s">
        <v>137</v>
      </c>
      <c r="B1429">
        <v>13</v>
      </c>
      <c r="C1429">
        <v>-2</v>
      </c>
      <c r="D1429">
        <v>1</v>
      </c>
      <c r="E1429" t="s">
        <v>23</v>
      </c>
      <c r="F1429" t="s">
        <v>57</v>
      </c>
      <c r="G1429" t="s">
        <v>10</v>
      </c>
      <c r="H1429" s="1">
        <f>VLOOKUP(A1429, [1]Orders!A:B, 2, FALSE)</f>
        <v>43174</v>
      </c>
      <c r="I1429" t="str">
        <f>VLOOKUP(A1429, [1]Orders!A:E, 3, FALSE)</f>
        <v>Tushina</v>
      </c>
      <c r="J1429" t="str">
        <f>VLOOKUP(A1429, [1]Orders!A:E, 4, FALSE)</f>
        <v>Goa</v>
      </c>
      <c r="K1429" t="str">
        <f>VLOOKUP(A1429, [1]Orders!A:E, 5, FALSE)</f>
        <v>Goa</v>
      </c>
    </row>
    <row r="1430" spans="1:11" x14ac:dyDescent="0.5">
      <c r="A1430" t="s">
        <v>525</v>
      </c>
      <c r="B1430">
        <v>13</v>
      </c>
      <c r="C1430">
        <v>3</v>
      </c>
      <c r="D1430">
        <v>1</v>
      </c>
      <c r="E1430" t="s">
        <v>23</v>
      </c>
      <c r="F1430" t="s">
        <v>63</v>
      </c>
      <c r="G1430" t="s">
        <v>10</v>
      </c>
      <c r="H1430" s="1">
        <f>VLOOKUP(A1430, [1]Orders!A:B, 2, FALSE)</f>
        <v>43129</v>
      </c>
      <c r="I1430" t="str">
        <f>VLOOKUP(A1430, [1]Orders!A:E, 3, FALSE)</f>
        <v>Hemangi</v>
      </c>
      <c r="J1430" t="str">
        <f>VLOOKUP(A1430, [1]Orders!A:E, 4, FALSE)</f>
        <v>Delhi</v>
      </c>
      <c r="K1430" t="str">
        <f>VLOOKUP(A1430, [1]Orders!A:E, 5, FALSE)</f>
        <v>Delhi</v>
      </c>
    </row>
    <row r="1431" spans="1:11" x14ac:dyDescent="0.5">
      <c r="A1431" t="s">
        <v>382</v>
      </c>
      <c r="B1431">
        <v>17</v>
      </c>
      <c r="C1431">
        <v>5</v>
      </c>
      <c r="D1431">
        <v>1</v>
      </c>
      <c r="E1431" t="s">
        <v>23</v>
      </c>
      <c r="F1431" t="s">
        <v>30</v>
      </c>
      <c r="G1431" t="s">
        <v>28</v>
      </c>
      <c r="H1431" s="1">
        <f>VLOOKUP(A1431, [1]Orders!A:B, 2, FALSE)</f>
        <v>43419</v>
      </c>
      <c r="I1431" t="str">
        <f>VLOOKUP(A1431, [1]Orders!A:E, 3, FALSE)</f>
        <v>Aromal</v>
      </c>
      <c r="J1431" t="str">
        <f>VLOOKUP(A1431, [1]Orders!A:E, 4, FALSE)</f>
        <v>Maharashtra</v>
      </c>
      <c r="K1431" t="str">
        <f>VLOOKUP(A1431, [1]Orders!A:E, 5, FALSE)</f>
        <v>Mumbai</v>
      </c>
    </row>
    <row r="1432" spans="1:11" x14ac:dyDescent="0.5">
      <c r="A1432" t="s">
        <v>112</v>
      </c>
      <c r="B1432">
        <v>13</v>
      </c>
      <c r="C1432">
        <v>-13</v>
      </c>
      <c r="D1432">
        <v>2</v>
      </c>
      <c r="E1432" t="s">
        <v>23</v>
      </c>
      <c r="F1432" t="s">
        <v>43</v>
      </c>
      <c r="G1432" t="s">
        <v>10</v>
      </c>
      <c r="H1432" s="1">
        <f>VLOOKUP(A1432, [1]Orders!A:B, 2, FALSE)</f>
        <v>43269</v>
      </c>
      <c r="I1432" t="str">
        <f>VLOOKUP(A1432, [1]Orders!A:E, 3, FALSE)</f>
        <v>Parna</v>
      </c>
      <c r="J1432" t="str">
        <f>VLOOKUP(A1432, [1]Orders!A:E, 4, FALSE)</f>
        <v>Madhya Pradesh</v>
      </c>
      <c r="K1432" t="str">
        <f>VLOOKUP(A1432, [1]Orders!A:E, 5, FALSE)</f>
        <v>Bhopal</v>
      </c>
    </row>
    <row r="1433" spans="1:11" x14ac:dyDescent="0.5">
      <c r="A1433" t="s">
        <v>371</v>
      </c>
      <c r="B1433">
        <v>13</v>
      </c>
      <c r="C1433">
        <v>-9</v>
      </c>
      <c r="D1433">
        <v>2</v>
      </c>
      <c r="E1433" t="s">
        <v>23</v>
      </c>
      <c r="F1433" t="s">
        <v>43</v>
      </c>
      <c r="G1433" t="s">
        <v>10</v>
      </c>
      <c r="H1433" s="1">
        <f>VLOOKUP(A1433, [1]Orders!A:B, 2, FALSE)</f>
        <v>43378</v>
      </c>
      <c r="I1433" t="str">
        <f>VLOOKUP(A1433, [1]Orders!A:E, 3, FALSE)</f>
        <v>Yash</v>
      </c>
      <c r="J1433" t="str">
        <f>VLOOKUP(A1433, [1]Orders!A:E, 4, FALSE)</f>
        <v>Maharashtra</v>
      </c>
      <c r="K1433" t="str">
        <f>VLOOKUP(A1433, [1]Orders!A:E, 5, FALSE)</f>
        <v>Mumbai</v>
      </c>
    </row>
    <row r="1434" spans="1:11" x14ac:dyDescent="0.5">
      <c r="A1434" t="s">
        <v>158</v>
      </c>
      <c r="B1434">
        <v>1263</v>
      </c>
      <c r="C1434">
        <v>-56</v>
      </c>
      <c r="D1434">
        <v>5</v>
      </c>
      <c r="E1434" t="s">
        <v>23</v>
      </c>
      <c r="F1434" t="s">
        <v>24</v>
      </c>
      <c r="G1434" t="s">
        <v>14</v>
      </c>
      <c r="H1434" s="1">
        <f>VLOOKUP(A1434, [1]Orders!A:B, 2, FALSE)</f>
        <v>43252</v>
      </c>
      <c r="I1434" t="str">
        <f>VLOOKUP(A1434, [1]Orders!A:E, 3, FALSE)</f>
        <v>Chandni</v>
      </c>
      <c r="J1434" t="str">
        <f>VLOOKUP(A1434, [1]Orders!A:E, 4, FALSE)</f>
        <v>Rajasthan</v>
      </c>
      <c r="K1434" t="str">
        <f>VLOOKUP(A1434, [1]Orders!A:E, 5, FALSE)</f>
        <v>Jaipur</v>
      </c>
    </row>
    <row r="1435" spans="1:11" x14ac:dyDescent="0.5">
      <c r="A1435" t="s">
        <v>526</v>
      </c>
      <c r="B1435">
        <v>1629</v>
      </c>
      <c r="C1435">
        <v>-153</v>
      </c>
      <c r="D1435">
        <v>3</v>
      </c>
      <c r="E1435" t="s">
        <v>8</v>
      </c>
      <c r="F1435" t="s">
        <v>21</v>
      </c>
      <c r="G1435" t="s">
        <v>10</v>
      </c>
      <c r="H1435" s="1">
        <f>VLOOKUP(A1435, [1]Orders!A:B, 2, FALSE)</f>
        <v>43217</v>
      </c>
      <c r="I1435" t="str">
        <f>VLOOKUP(A1435, [1]Orders!A:E, 3, FALSE)</f>
        <v>Lisha</v>
      </c>
      <c r="J1435" t="str">
        <f>VLOOKUP(A1435, [1]Orders!A:E, 4, FALSE)</f>
        <v>Madhya Pradesh</v>
      </c>
      <c r="K1435" t="str">
        <f>VLOOKUP(A1435, [1]Orders!A:E, 5, FALSE)</f>
        <v>Bhopal</v>
      </c>
    </row>
    <row r="1436" spans="1:11" x14ac:dyDescent="0.5">
      <c r="A1436" t="s">
        <v>104</v>
      </c>
      <c r="B1436">
        <v>17</v>
      </c>
      <c r="C1436">
        <v>7</v>
      </c>
      <c r="D1436">
        <v>3</v>
      </c>
      <c r="E1436" t="s">
        <v>23</v>
      </c>
      <c r="F1436" t="s">
        <v>30</v>
      </c>
      <c r="G1436" t="s">
        <v>28</v>
      </c>
      <c r="H1436" s="1">
        <f>VLOOKUP(A1436, [1]Orders!A:B, 2, FALSE)</f>
        <v>43333</v>
      </c>
      <c r="I1436" t="str">
        <f>VLOOKUP(A1436, [1]Orders!A:E, 3, FALSE)</f>
        <v>Vishakha</v>
      </c>
      <c r="J1436" t="str">
        <f>VLOOKUP(A1436, [1]Orders!A:E, 4, FALSE)</f>
        <v>Madhya Pradesh</v>
      </c>
      <c r="K1436" t="str">
        <f>VLOOKUP(A1436, [1]Orders!A:E, 5, FALSE)</f>
        <v>Indore</v>
      </c>
    </row>
    <row r="1437" spans="1:11" x14ac:dyDescent="0.5">
      <c r="A1437" t="s">
        <v>60</v>
      </c>
      <c r="B1437">
        <v>17</v>
      </c>
      <c r="C1437">
        <v>2</v>
      </c>
      <c r="D1437">
        <v>2</v>
      </c>
      <c r="E1437" t="s">
        <v>23</v>
      </c>
      <c r="F1437" t="s">
        <v>43</v>
      </c>
      <c r="G1437" t="s">
        <v>28</v>
      </c>
      <c r="H1437" s="1">
        <f>VLOOKUP(A1437, [1]Orders!A:B, 2, FALSE)</f>
        <v>43139</v>
      </c>
      <c r="I1437" t="str">
        <f>VLOOKUP(A1437, [1]Orders!A:E, 3, FALSE)</f>
        <v>Hitesh</v>
      </c>
      <c r="J1437" t="str">
        <f>VLOOKUP(A1437, [1]Orders!A:E, 4, FALSE)</f>
        <v>Madhya Pradesh</v>
      </c>
      <c r="K1437" t="str">
        <f>VLOOKUP(A1437, [1]Orders!A:E, 5, FALSE)</f>
        <v>Bhopal</v>
      </c>
    </row>
    <row r="1438" spans="1:11" x14ac:dyDescent="0.5">
      <c r="A1438" t="s">
        <v>11</v>
      </c>
      <c r="B1438">
        <v>1250</v>
      </c>
      <c r="C1438">
        <v>-12</v>
      </c>
      <c r="D1438">
        <v>2</v>
      </c>
      <c r="E1438" t="s">
        <v>8</v>
      </c>
      <c r="F1438" t="s">
        <v>18</v>
      </c>
      <c r="G1438" t="s">
        <v>14</v>
      </c>
      <c r="H1438" s="1">
        <f>VLOOKUP(A1438, [1]Orders!A:B, 2, FALSE)</f>
        <v>43169</v>
      </c>
      <c r="I1438" t="str">
        <f>VLOOKUP(A1438, [1]Orders!A:E, 3, FALSE)</f>
        <v>Harivansh</v>
      </c>
      <c r="J1438" t="str">
        <f>VLOOKUP(A1438, [1]Orders!A:E, 4, FALSE)</f>
        <v>Uttar Pradesh</v>
      </c>
      <c r="K1438" t="str">
        <f>VLOOKUP(A1438, [1]Orders!A:E, 5, FALSE)</f>
        <v>Mathura</v>
      </c>
    </row>
    <row r="1439" spans="1:11" x14ac:dyDescent="0.5">
      <c r="A1439" t="s">
        <v>39</v>
      </c>
      <c r="B1439">
        <v>17</v>
      </c>
      <c r="C1439">
        <v>-11</v>
      </c>
      <c r="D1439">
        <v>3</v>
      </c>
      <c r="E1439" t="s">
        <v>23</v>
      </c>
      <c r="F1439" t="s">
        <v>43</v>
      </c>
      <c r="G1439" t="s">
        <v>28</v>
      </c>
      <c r="H1439" s="1">
        <f>VLOOKUP(A1439, [1]Orders!A:B, 2, FALSE)</f>
        <v>43362</v>
      </c>
      <c r="I1439" t="str">
        <f>VLOOKUP(A1439, [1]Orders!A:E, 3, FALSE)</f>
        <v>Madan Mohan</v>
      </c>
      <c r="J1439" t="str">
        <f>VLOOKUP(A1439, [1]Orders!A:E, 4, FALSE)</f>
        <v>Uttar Pradesh</v>
      </c>
      <c r="K1439" t="str">
        <f>VLOOKUP(A1439, [1]Orders!A:E, 5, FALSE)</f>
        <v>Mathura</v>
      </c>
    </row>
    <row r="1440" spans="1:11" x14ac:dyDescent="0.5">
      <c r="A1440" t="s">
        <v>385</v>
      </c>
      <c r="B1440">
        <v>977</v>
      </c>
      <c r="C1440">
        <v>-244</v>
      </c>
      <c r="D1440">
        <v>7</v>
      </c>
      <c r="E1440" t="s">
        <v>8</v>
      </c>
      <c r="F1440" t="s">
        <v>21</v>
      </c>
      <c r="G1440" t="s">
        <v>10</v>
      </c>
      <c r="H1440" s="1">
        <f>VLOOKUP(A1440, [1]Orders!A:B, 2, FALSE)</f>
        <v>43457</v>
      </c>
      <c r="I1440" t="str">
        <f>VLOOKUP(A1440, [1]Orders!A:E, 3, FALSE)</f>
        <v>Neha</v>
      </c>
      <c r="J1440" t="str">
        <f>VLOOKUP(A1440, [1]Orders!A:E, 4, FALSE)</f>
        <v>Rajasthan</v>
      </c>
      <c r="K1440" t="str">
        <f>VLOOKUP(A1440, [1]Orders!A:E, 5, FALSE)</f>
        <v>Udaipur</v>
      </c>
    </row>
    <row r="1441" spans="1:11" x14ac:dyDescent="0.5">
      <c r="A1441" t="s">
        <v>527</v>
      </c>
      <c r="B1441">
        <v>1246</v>
      </c>
      <c r="C1441">
        <v>62</v>
      </c>
      <c r="D1441">
        <v>3</v>
      </c>
      <c r="E1441" t="s">
        <v>12</v>
      </c>
      <c r="F1441" t="s">
        <v>16</v>
      </c>
      <c r="G1441" t="s">
        <v>14</v>
      </c>
      <c r="H1441" s="1">
        <f>VLOOKUP(A1441, [1]Orders!A:B, 2, FALSE)</f>
        <v>43438</v>
      </c>
      <c r="I1441" t="str">
        <f>VLOOKUP(A1441, [1]Orders!A:E, 3, FALSE)</f>
        <v>Monu</v>
      </c>
      <c r="J1441" t="str">
        <f>VLOOKUP(A1441, [1]Orders!A:E, 4, FALSE)</f>
        <v>Punjab</v>
      </c>
      <c r="K1441" t="str">
        <f>VLOOKUP(A1441, [1]Orders!A:E, 5, FALSE)</f>
        <v>Amritsar</v>
      </c>
    </row>
    <row r="1442" spans="1:11" x14ac:dyDescent="0.5">
      <c r="A1442" t="s">
        <v>300</v>
      </c>
      <c r="B1442">
        <v>12</v>
      </c>
      <c r="C1442">
        <v>1</v>
      </c>
      <c r="D1442">
        <v>2</v>
      </c>
      <c r="E1442" t="s">
        <v>23</v>
      </c>
      <c r="F1442" t="s">
        <v>30</v>
      </c>
      <c r="G1442" t="s">
        <v>10</v>
      </c>
      <c r="H1442" s="1">
        <f>VLOOKUP(A1442, [1]Orders!A:B, 2, FALSE)</f>
        <v>43127</v>
      </c>
      <c r="I1442" t="str">
        <f>VLOOKUP(A1442, [1]Orders!A:E, 3, FALSE)</f>
        <v>Shivangi</v>
      </c>
      <c r="J1442" t="str">
        <f>VLOOKUP(A1442, [1]Orders!A:E, 4, FALSE)</f>
        <v>Madhya Pradesh</v>
      </c>
      <c r="K1442" t="str">
        <f>VLOOKUP(A1442, [1]Orders!A:E, 5, FALSE)</f>
        <v>Indore</v>
      </c>
    </row>
    <row r="1443" spans="1:11" x14ac:dyDescent="0.5">
      <c r="A1443" t="s">
        <v>119</v>
      </c>
      <c r="B1443">
        <v>11</v>
      </c>
      <c r="C1443">
        <v>-4</v>
      </c>
      <c r="D1443">
        <v>2</v>
      </c>
      <c r="E1443" t="s">
        <v>23</v>
      </c>
      <c r="F1443" t="s">
        <v>43</v>
      </c>
      <c r="G1443" t="s">
        <v>10</v>
      </c>
      <c r="H1443" s="1">
        <f>VLOOKUP(A1443, [1]Orders!A:B, 2, FALSE)</f>
        <v>43227</v>
      </c>
      <c r="I1443" t="str">
        <f>VLOOKUP(A1443, [1]Orders!A:E, 3, FALSE)</f>
        <v>Anurag</v>
      </c>
      <c r="J1443" t="str">
        <f>VLOOKUP(A1443, [1]Orders!A:E, 4, FALSE)</f>
        <v>Madhya Pradesh</v>
      </c>
      <c r="K1443" t="str">
        <f>VLOOKUP(A1443, [1]Orders!A:E, 5, FALSE)</f>
        <v>Indore</v>
      </c>
    </row>
    <row r="1444" spans="1:11" x14ac:dyDescent="0.5">
      <c r="A1444" t="s">
        <v>117</v>
      </c>
      <c r="B1444">
        <v>1327</v>
      </c>
      <c r="C1444">
        <v>318</v>
      </c>
      <c r="D1444">
        <v>8</v>
      </c>
      <c r="E1444" t="s">
        <v>12</v>
      </c>
      <c r="F1444" t="s">
        <v>13</v>
      </c>
      <c r="G1444" t="s">
        <v>14</v>
      </c>
      <c r="H1444" s="1">
        <f>VLOOKUP(A1444, [1]Orders!A:B, 2, FALSE)</f>
        <v>43228</v>
      </c>
      <c r="I1444" t="str">
        <f>VLOOKUP(A1444, [1]Orders!A:E, 3, FALSE)</f>
        <v>Farah</v>
      </c>
      <c r="J1444" t="str">
        <f>VLOOKUP(A1444, [1]Orders!A:E, 4, FALSE)</f>
        <v>Nagaland</v>
      </c>
      <c r="K1444" t="str">
        <f>VLOOKUP(A1444, [1]Orders!A:E, 5, FALSE)</f>
        <v>Kohima</v>
      </c>
    </row>
    <row r="1445" spans="1:11" x14ac:dyDescent="0.5">
      <c r="A1445" t="s">
        <v>171</v>
      </c>
      <c r="B1445">
        <v>1319</v>
      </c>
      <c r="C1445">
        <v>567</v>
      </c>
      <c r="D1445">
        <v>5</v>
      </c>
      <c r="E1445" t="s">
        <v>8</v>
      </c>
      <c r="F1445" t="s">
        <v>18</v>
      </c>
      <c r="G1445" t="s">
        <v>10</v>
      </c>
      <c r="H1445" s="1">
        <f>VLOOKUP(A1445, [1]Orders!A:B, 2, FALSE)</f>
        <v>43412</v>
      </c>
      <c r="I1445" t="str">
        <f>VLOOKUP(A1445, [1]Orders!A:E, 3, FALSE)</f>
        <v>Abhijeet</v>
      </c>
      <c r="J1445" t="str">
        <f>VLOOKUP(A1445, [1]Orders!A:E, 4, FALSE)</f>
        <v>Madhya Pradesh</v>
      </c>
      <c r="K1445" t="str">
        <f>VLOOKUP(A1445, [1]Orders!A:E, 5, FALSE)</f>
        <v>Bhopal</v>
      </c>
    </row>
    <row r="1446" spans="1:11" x14ac:dyDescent="0.5">
      <c r="A1446" t="s">
        <v>307</v>
      </c>
      <c r="B1446">
        <v>1402</v>
      </c>
      <c r="C1446">
        <v>109</v>
      </c>
      <c r="D1446">
        <v>11</v>
      </c>
      <c r="E1446" t="s">
        <v>23</v>
      </c>
      <c r="F1446" t="s">
        <v>26</v>
      </c>
      <c r="G1446" t="s">
        <v>14</v>
      </c>
      <c r="H1446" s="1">
        <f>VLOOKUP(A1446, [1]Orders!A:B, 2, FALSE)</f>
        <v>43367</v>
      </c>
      <c r="I1446" t="str">
        <f>VLOOKUP(A1446, [1]Orders!A:E, 3, FALSE)</f>
        <v>Siddharth</v>
      </c>
      <c r="J1446" t="str">
        <f>VLOOKUP(A1446, [1]Orders!A:E, 4, FALSE)</f>
        <v>Madhya Pradesh</v>
      </c>
      <c r="K1446" t="str">
        <f>VLOOKUP(A1446, [1]Orders!A:E, 5, FALSE)</f>
        <v>Indore</v>
      </c>
    </row>
    <row r="1447" spans="1:11" x14ac:dyDescent="0.5">
      <c r="A1447" t="s">
        <v>253</v>
      </c>
      <c r="B1447">
        <v>1514</v>
      </c>
      <c r="C1447">
        <v>742</v>
      </c>
      <c r="D1447">
        <v>4</v>
      </c>
      <c r="E1447" t="s">
        <v>8</v>
      </c>
      <c r="F1447" t="s">
        <v>18</v>
      </c>
      <c r="G1447" t="s">
        <v>14</v>
      </c>
      <c r="H1447" s="1">
        <f>VLOOKUP(A1447, [1]Orders!A:B, 2, FALSE)</f>
        <v>43180</v>
      </c>
      <c r="I1447" t="str">
        <f>VLOOKUP(A1447, [1]Orders!A:E, 3, FALSE)</f>
        <v>Pournamasi</v>
      </c>
      <c r="J1447" t="str">
        <f>VLOOKUP(A1447, [1]Orders!A:E, 4, FALSE)</f>
        <v>Madhya Pradesh</v>
      </c>
      <c r="K1447" t="str">
        <f>VLOOKUP(A1447, [1]Orders!A:E, 5, FALSE)</f>
        <v>Indore</v>
      </c>
    </row>
    <row r="1448" spans="1:11" x14ac:dyDescent="0.5">
      <c r="A1448" t="s">
        <v>22</v>
      </c>
      <c r="B1448">
        <v>1351</v>
      </c>
      <c r="C1448">
        <v>111</v>
      </c>
      <c r="D1448">
        <v>6</v>
      </c>
      <c r="E1448" t="s">
        <v>8</v>
      </c>
      <c r="F1448" t="s">
        <v>9</v>
      </c>
      <c r="G1448" t="s">
        <v>10</v>
      </c>
      <c r="H1448" s="1">
        <f>VLOOKUP(A1448, [1]Orders!A:B, 2, FALSE)</f>
        <v>43429</v>
      </c>
      <c r="I1448" t="str">
        <f>VLOOKUP(A1448, [1]Orders!A:E, 3, FALSE)</f>
        <v>Lalita</v>
      </c>
      <c r="J1448" t="str">
        <f>VLOOKUP(A1448, [1]Orders!A:E, 4, FALSE)</f>
        <v>Uttar Pradesh</v>
      </c>
      <c r="K1448" t="str">
        <f>VLOOKUP(A1448, [1]Orders!A:E, 5, FALSE)</f>
        <v>Mathura</v>
      </c>
    </row>
    <row r="1449" spans="1:11" x14ac:dyDescent="0.5">
      <c r="A1449" t="s">
        <v>149</v>
      </c>
      <c r="B1449">
        <v>1355</v>
      </c>
      <c r="C1449">
        <v>-60</v>
      </c>
      <c r="D1449">
        <v>5</v>
      </c>
      <c r="E1449" t="s">
        <v>23</v>
      </c>
      <c r="F1449" t="s">
        <v>24</v>
      </c>
      <c r="G1449" t="s">
        <v>10</v>
      </c>
      <c r="H1449" s="1">
        <f>VLOOKUP(A1449, [1]Orders!A:B, 2, FALSE)</f>
        <v>43193</v>
      </c>
      <c r="I1449" t="str">
        <f>VLOOKUP(A1449, [1]Orders!A:E, 3, FALSE)</f>
        <v>Jahan</v>
      </c>
      <c r="J1449" t="str">
        <f>VLOOKUP(A1449, [1]Orders!A:E, 4, FALSE)</f>
        <v>Madhya Pradesh</v>
      </c>
      <c r="K1449" t="str">
        <f>VLOOKUP(A1449, [1]Orders!A:E, 5, FALSE)</f>
        <v>Bhopal</v>
      </c>
    </row>
    <row r="1450" spans="1:11" x14ac:dyDescent="0.5">
      <c r="A1450" t="s">
        <v>31</v>
      </c>
      <c r="B1450">
        <v>10</v>
      </c>
      <c r="C1450">
        <v>2</v>
      </c>
      <c r="D1450">
        <v>2</v>
      </c>
      <c r="E1450" t="s">
        <v>23</v>
      </c>
      <c r="F1450" t="s">
        <v>30</v>
      </c>
      <c r="G1450" t="s">
        <v>10</v>
      </c>
      <c r="H1450" s="1">
        <f>VLOOKUP(A1450, [1]Orders!A:B, 2, FALSE)</f>
        <v>43410</v>
      </c>
      <c r="I1450" t="str">
        <f>VLOOKUP(A1450, [1]Orders!A:E, 3, FALSE)</f>
        <v>Kushal</v>
      </c>
      <c r="J1450" t="str">
        <f>VLOOKUP(A1450, [1]Orders!A:E, 4, FALSE)</f>
        <v>Nagaland</v>
      </c>
      <c r="K1450" t="str">
        <f>VLOOKUP(A1450, [1]Orders!A:E, 5, FALSE)</f>
        <v>Kohima</v>
      </c>
    </row>
    <row r="1451" spans="1:11" x14ac:dyDescent="0.5">
      <c r="A1451" t="s">
        <v>59</v>
      </c>
      <c r="B1451">
        <v>10</v>
      </c>
      <c r="C1451">
        <v>-2</v>
      </c>
      <c r="D1451">
        <v>2</v>
      </c>
      <c r="E1451" t="s">
        <v>23</v>
      </c>
      <c r="F1451" t="s">
        <v>63</v>
      </c>
      <c r="G1451" t="s">
        <v>10</v>
      </c>
      <c r="H1451" s="1">
        <f>VLOOKUP(A1451, [1]Orders!A:B, 2, FALSE)</f>
        <v>43431</v>
      </c>
      <c r="I1451" t="str">
        <f>VLOOKUP(A1451, [1]Orders!A:E, 3, FALSE)</f>
        <v>Saptadeep</v>
      </c>
      <c r="J1451" t="str">
        <f>VLOOKUP(A1451, [1]Orders!A:E, 4, FALSE)</f>
        <v>Gujarat</v>
      </c>
      <c r="K1451" t="str">
        <f>VLOOKUP(A1451, [1]Orders!A:E, 5, FALSE)</f>
        <v>Surat</v>
      </c>
    </row>
    <row r="1452" spans="1:11" x14ac:dyDescent="0.5">
      <c r="A1452" t="s">
        <v>528</v>
      </c>
      <c r="B1452">
        <v>1582</v>
      </c>
      <c r="C1452">
        <v>-443</v>
      </c>
      <c r="D1452">
        <v>6</v>
      </c>
      <c r="E1452" t="s">
        <v>23</v>
      </c>
      <c r="F1452" t="s">
        <v>24</v>
      </c>
      <c r="G1452" t="s">
        <v>14</v>
      </c>
      <c r="H1452" s="1">
        <f>VLOOKUP(A1452, [1]Orders!A:B, 2, FALSE)</f>
        <v>43344</v>
      </c>
      <c r="I1452" t="str">
        <f>VLOOKUP(A1452, [1]Orders!A:E, 3, FALSE)</f>
        <v>Shreyoshe</v>
      </c>
      <c r="J1452" t="str">
        <f>VLOOKUP(A1452, [1]Orders!A:E, 4, FALSE)</f>
        <v>Karnataka</v>
      </c>
      <c r="K1452" t="str">
        <f>VLOOKUP(A1452, [1]Orders!A:E, 5, FALSE)</f>
        <v>Bangalore</v>
      </c>
    </row>
    <row r="1453" spans="1:11" x14ac:dyDescent="0.5">
      <c r="A1453" t="s">
        <v>132</v>
      </c>
      <c r="B1453">
        <v>1218</v>
      </c>
      <c r="C1453">
        <v>352</v>
      </c>
      <c r="D1453">
        <v>9</v>
      </c>
      <c r="E1453" t="s">
        <v>12</v>
      </c>
      <c r="F1453" t="s">
        <v>16</v>
      </c>
      <c r="G1453" t="s">
        <v>14</v>
      </c>
      <c r="H1453" s="1">
        <f>VLOOKUP(A1453, [1]Orders!A:B, 2, FALSE)</f>
        <v>43114</v>
      </c>
      <c r="I1453" t="str">
        <f>VLOOKUP(A1453, [1]Orders!A:E, 3, FALSE)</f>
        <v>Krutika</v>
      </c>
      <c r="J1453" t="str">
        <f>VLOOKUP(A1453, [1]Orders!A:E, 4, FALSE)</f>
        <v>Andhra Pradesh</v>
      </c>
      <c r="K1453" t="str">
        <f>VLOOKUP(A1453, [1]Orders!A:E, 5, FALSE)</f>
        <v>Hyderabad</v>
      </c>
    </row>
    <row r="1454" spans="1:11" x14ac:dyDescent="0.5">
      <c r="A1454" t="s">
        <v>67</v>
      </c>
      <c r="B1454">
        <v>321</v>
      </c>
      <c r="C1454">
        <v>315</v>
      </c>
      <c r="D1454">
        <v>5</v>
      </c>
      <c r="E1454" t="s">
        <v>23</v>
      </c>
      <c r="F1454" t="s">
        <v>26</v>
      </c>
      <c r="G1454" t="s">
        <v>28</v>
      </c>
      <c r="H1454" s="1">
        <f>VLOOKUP(A1454, [1]Orders!A:B, 2, FALSE)</f>
        <v>43331</v>
      </c>
      <c r="I1454" t="str">
        <f>VLOOKUP(A1454, [1]Orders!A:E, 3, FALSE)</f>
        <v>Shourya</v>
      </c>
      <c r="J1454" t="str">
        <f>VLOOKUP(A1454, [1]Orders!A:E, 4, FALSE)</f>
        <v xml:space="preserve">Kerala </v>
      </c>
      <c r="K1454" t="str">
        <f>VLOOKUP(A1454, [1]Orders!A:E, 5, FALSE)</f>
        <v>Thiruvananthapuram</v>
      </c>
    </row>
    <row r="1455" spans="1:11" x14ac:dyDescent="0.5">
      <c r="A1455" t="s">
        <v>207</v>
      </c>
      <c r="B1455">
        <v>736</v>
      </c>
      <c r="C1455">
        <v>346</v>
      </c>
      <c r="D1455">
        <v>5</v>
      </c>
      <c r="E1455" t="s">
        <v>8</v>
      </c>
      <c r="F1455" t="s">
        <v>18</v>
      </c>
      <c r="G1455" t="s">
        <v>10</v>
      </c>
      <c r="H1455" s="1">
        <f>VLOOKUP(A1455, [1]Orders!A:B, 2, FALSE)</f>
        <v>43169</v>
      </c>
      <c r="I1455" t="str">
        <f>VLOOKUP(A1455, [1]Orders!A:E, 3, FALSE)</f>
        <v>Sharda</v>
      </c>
      <c r="J1455" t="str">
        <f>VLOOKUP(A1455, [1]Orders!A:E, 4, FALSE)</f>
        <v xml:space="preserve">Kerala </v>
      </c>
      <c r="K1455" t="str">
        <f>VLOOKUP(A1455, [1]Orders!A:E, 5, FALSE)</f>
        <v>Thiruvananthapuram</v>
      </c>
    </row>
    <row r="1456" spans="1:11" x14ac:dyDescent="0.5">
      <c r="A1456" t="s">
        <v>11</v>
      </c>
      <c r="B1456">
        <v>1218</v>
      </c>
      <c r="C1456">
        <v>-420</v>
      </c>
      <c r="D1456">
        <v>8</v>
      </c>
      <c r="E1456" t="s">
        <v>12</v>
      </c>
      <c r="F1456" t="s">
        <v>16</v>
      </c>
      <c r="G1456" t="s">
        <v>10</v>
      </c>
      <c r="H1456" s="1">
        <f>VLOOKUP(A1456, [1]Orders!A:B, 2, FALSE)</f>
        <v>43169</v>
      </c>
      <c r="I1456" t="str">
        <f>VLOOKUP(A1456, [1]Orders!A:E, 3, FALSE)</f>
        <v>Harivansh</v>
      </c>
      <c r="J1456" t="str">
        <f>VLOOKUP(A1456, [1]Orders!A:E, 4, FALSE)</f>
        <v>Uttar Pradesh</v>
      </c>
      <c r="K1456" t="str">
        <f>VLOOKUP(A1456, [1]Orders!A:E, 5, FALSE)</f>
        <v>Mathura</v>
      </c>
    </row>
    <row r="1457" spans="1:11" x14ac:dyDescent="0.5">
      <c r="A1457" t="s">
        <v>171</v>
      </c>
      <c r="B1457">
        <v>1027</v>
      </c>
      <c r="C1457">
        <v>441</v>
      </c>
      <c r="D1457">
        <v>8</v>
      </c>
      <c r="E1457" t="s">
        <v>23</v>
      </c>
      <c r="F1457" t="s">
        <v>26</v>
      </c>
      <c r="G1457" t="s">
        <v>10</v>
      </c>
      <c r="H1457" s="1">
        <f>VLOOKUP(A1457, [1]Orders!A:B, 2, FALSE)</f>
        <v>43412</v>
      </c>
      <c r="I1457" t="str">
        <f>VLOOKUP(A1457, [1]Orders!A:E, 3, FALSE)</f>
        <v>Abhijeet</v>
      </c>
      <c r="J1457" t="str">
        <f>VLOOKUP(A1457, [1]Orders!A:E, 4, FALSE)</f>
        <v>Madhya Pradesh</v>
      </c>
      <c r="K1457" t="str">
        <f>VLOOKUP(A1457, [1]Orders!A:E, 5, FALSE)</f>
        <v>Bhopal</v>
      </c>
    </row>
    <row r="1458" spans="1:11" x14ac:dyDescent="0.5">
      <c r="A1458" t="s">
        <v>255</v>
      </c>
      <c r="B1458">
        <v>10</v>
      </c>
      <c r="C1458">
        <v>5</v>
      </c>
      <c r="D1458">
        <v>1</v>
      </c>
      <c r="E1458" t="s">
        <v>23</v>
      </c>
      <c r="F1458" t="s">
        <v>57</v>
      </c>
      <c r="G1458" t="s">
        <v>10</v>
      </c>
      <c r="H1458" s="1">
        <f>VLOOKUP(A1458, [1]Orders!A:B, 2, FALSE)</f>
        <v>43132</v>
      </c>
      <c r="I1458" t="str">
        <f>VLOOKUP(A1458, [1]Orders!A:E, 3, FALSE)</f>
        <v>Anjali</v>
      </c>
      <c r="J1458" t="str">
        <f>VLOOKUP(A1458, [1]Orders!A:E, 4, FALSE)</f>
        <v>Delhi</v>
      </c>
      <c r="K1458" t="str">
        <f>VLOOKUP(A1458, [1]Orders!A:E, 5, FALSE)</f>
        <v>Delhi</v>
      </c>
    </row>
    <row r="1459" spans="1:11" x14ac:dyDescent="0.5">
      <c r="A1459" t="s">
        <v>458</v>
      </c>
      <c r="B1459">
        <v>2366</v>
      </c>
      <c r="C1459">
        <v>552</v>
      </c>
      <c r="D1459">
        <v>5</v>
      </c>
      <c r="E1459" t="s">
        <v>23</v>
      </c>
      <c r="F1459" t="s">
        <v>24</v>
      </c>
      <c r="G1459" t="s">
        <v>28</v>
      </c>
      <c r="H1459" s="1">
        <f>VLOOKUP(A1459, [1]Orders!A:B, 2, FALSE)</f>
        <v>43189</v>
      </c>
      <c r="I1459" t="str">
        <f>VLOOKUP(A1459, [1]Orders!A:E, 3, FALSE)</f>
        <v>Bhishm</v>
      </c>
      <c r="J1459" t="str">
        <f>VLOOKUP(A1459, [1]Orders!A:E, 4, FALSE)</f>
        <v>Maharashtra</v>
      </c>
      <c r="K1459" t="str">
        <f>VLOOKUP(A1459, [1]Orders!A:E, 5, FALSE)</f>
        <v>Mumbai</v>
      </c>
    </row>
    <row r="1460" spans="1:11" x14ac:dyDescent="0.5">
      <c r="A1460" t="s">
        <v>308</v>
      </c>
      <c r="B1460">
        <v>9</v>
      </c>
      <c r="C1460">
        <v>-6</v>
      </c>
      <c r="D1460">
        <v>2</v>
      </c>
      <c r="E1460" t="s">
        <v>23</v>
      </c>
      <c r="F1460" t="s">
        <v>30</v>
      </c>
      <c r="G1460" t="s">
        <v>10</v>
      </c>
      <c r="H1460" s="1">
        <f>VLOOKUP(A1460, [1]Orders!A:B, 2, FALSE)</f>
        <v>43228</v>
      </c>
      <c r="I1460" t="str">
        <f>VLOOKUP(A1460, [1]Orders!A:E, 3, FALSE)</f>
        <v>Tushina</v>
      </c>
      <c r="J1460" t="str">
        <f>VLOOKUP(A1460, [1]Orders!A:E, 4, FALSE)</f>
        <v>Goa</v>
      </c>
      <c r="K1460" t="str">
        <f>VLOOKUP(A1460, [1]Orders!A:E, 5, FALSE)</f>
        <v>Goa</v>
      </c>
    </row>
    <row r="1461" spans="1:11" x14ac:dyDescent="0.5">
      <c r="A1461" t="s">
        <v>66</v>
      </c>
      <c r="B1461">
        <v>16</v>
      </c>
      <c r="C1461">
        <v>-12</v>
      </c>
      <c r="D1461">
        <v>2</v>
      </c>
      <c r="E1461" t="s">
        <v>23</v>
      </c>
      <c r="F1461" t="s">
        <v>57</v>
      </c>
      <c r="G1461" t="s">
        <v>28</v>
      </c>
      <c r="H1461" s="1">
        <f>VLOOKUP(A1461, [1]Orders!A:B, 2, FALSE)</f>
        <v>43299</v>
      </c>
      <c r="I1461" t="str">
        <f>VLOOKUP(A1461, [1]Orders!A:E, 3, FALSE)</f>
        <v>Wale</v>
      </c>
      <c r="J1461" t="str">
        <f>VLOOKUP(A1461, [1]Orders!A:E, 4, FALSE)</f>
        <v>Maharashtra</v>
      </c>
      <c r="K1461" t="str">
        <f>VLOOKUP(A1461, [1]Orders!A:E, 5, FALSE)</f>
        <v>Mumbai</v>
      </c>
    </row>
    <row r="1462" spans="1:11" x14ac:dyDescent="0.5">
      <c r="A1462" t="s">
        <v>458</v>
      </c>
      <c r="B1462">
        <v>9</v>
      </c>
      <c r="C1462">
        <v>3</v>
      </c>
      <c r="D1462">
        <v>1</v>
      </c>
      <c r="E1462" t="s">
        <v>23</v>
      </c>
      <c r="F1462" t="s">
        <v>43</v>
      </c>
      <c r="G1462" t="s">
        <v>10</v>
      </c>
      <c r="H1462" s="1">
        <f>VLOOKUP(A1462, [1]Orders!A:B, 2, FALSE)</f>
        <v>43189</v>
      </c>
      <c r="I1462" t="str">
        <f>VLOOKUP(A1462, [1]Orders!A:E, 3, FALSE)</f>
        <v>Bhishm</v>
      </c>
      <c r="J1462" t="str">
        <f>VLOOKUP(A1462, [1]Orders!A:E, 4, FALSE)</f>
        <v>Maharashtra</v>
      </c>
      <c r="K1462" t="str">
        <f>VLOOKUP(A1462, [1]Orders!A:E, 5, FALSE)</f>
        <v>Mumbai</v>
      </c>
    </row>
    <row r="1463" spans="1:11" x14ac:dyDescent="0.5">
      <c r="A1463" t="s">
        <v>529</v>
      </c>
      <c r="B1463">
        <v>1560</v>
      </c>
      <c r="C1463">
        <v>421</v>
      </c>
      <c r="D1463">
        <v>3</v>
      </c>
      <c r="E1463" t="s">
        <v>23</v>
      </c>
      <c r="F1463" t="s">
        <v>24</v>
      </c>
      <c r="G1463" t="s">
        <v>10</v>
      </c>
      <c r="H1463" s="1">
        <f>VLOOKUP(A1463, [1]Orders!A:B, 2, FALSE)</f>
        <v>43214</v>
      </c>
      <c r="I1463" t="str">
        <f>VLOOKUP(A1463, [1]Orders!A:E, 3, FALSE)</f>
        <v>Hemant</v>
      </c>
      <c r="J1463" t="str">
        <f>VLOOKUP(A1463, [1]Orders!A:E, 4, FALSE)</f>
        <v xml:space="preserve">Kerala </v>
      </c>
      <c r="K1463" t="str">
        <f>VLOOKUP(A1463, [1]Orders!A:E, 5, FALSE)</f>
        <v>Thiruvananthapuram</v>
      </c>
    </row>
    <row r="1464" spans="1:11" x14ac:dyDescent="0.5">
      <c r="A1464" t="s">
        <v>196</v>
      </c>
      <c r="B1464">
        <v>1137</v>
      </c>
      <c r="C1464">
        <v>568</v>
      </c>
      <c r="D1464">
        <v>2</v>
      </c>
      <c r="E1464" t="s">
        <v>23</v>
      </c>
      <c r="F1464" t="s">
        <v>24</v>
      </c>
      <c r="G1464" t="s">
        <v>14</v>
      </c>
      <c r="H1464" s="1">
        <f>VLOOKUP(A1464, [1]Orders!A:B, 2, FALSE)</f>
        <v>43428</v>
      </c>
      <c r="I1464" t="str">
        <f>VLOOKUP(A1464, [1]Orders!A:E, 3, FALSE)</f>
        <v>Dashyam</v>
      </c>
      <c r="J1464" t="str">
        <f>VLOOKUP(A1464, [1]Orders!A:E, 4, FALSE)</f>
        <v>Gujarat</v>
      </c>
      <c r="K1464" t="str">
        <f>VLOOKUP(A1464, [1]Orders!A:E, 5, FALSE)</f>
        <v>Surat</v>
      </c>
    </row>
    <row r="1465" spans="1:11" x14ac:dyDescent="0.5">
      <c r="A1465" t="s">
        <v>284</v>
      </c>
      <c r="B1465">
        <v>9</v>
      </c>
      <c r="C1465">
        <v>-9</v>
      </c>
      <c r="D1465">
        <v>2</v>
      </c>
      <c r="E1465" t="s">
        <v>23</v>
      </c>
      <c r="F1465" t="s">
        <v>32</v>
      </c>
      <c r="G1465" t="s">
        <v>10</v>
      </c>
      <c r="H1465" s="1">
        <f>VLOOKUP(A1465, [1]Orders!A:B, 2, FALSE)</f>
        <v>43343</v>
      </c>
      <c r="I1465" t="str">
        <f>VLOOKUP(A1465, [1]Orders!A:E, 3, FALSE)</f>
        <v>Ashmeet</v>
      </c>
      <c r="J1465" t="str">
        <f>VLOOKUP(A1465, [1]Orders!A:E, 4, FALSE)</f>
        <v>West Bengal</v>
      </c>
      <c r="K1465" t="str">
        <f>VLOOKUP(A1465, [1]Orders!A:E, 5, FALSE)</f>
        <v>Kolkata</v>
      </c>
    </row>
    <row r="1466" spans="1:11" x14ac:dyDescent="0.5">
      <c r="A1466" t="s">
        <v>42</v>
      </c>
      <c r="B1466">
        <v>15</v>
      </c>
      <c r="C1466">
        <v>-7</v>
      </c>
      <c r="D1466">
        <v>1</v>
      </c>
      <c r="E1466" t="s">
        <v>23</v>
      </c>
      <c r="F1466" t="s">
        <v>30</v>
      </c>
      <c r="G1466" t="s">
        <v>28</v>
      </c>
      <c r="H1466" s="1">
        <f>VLOOKUP(A1466, [1]Orders!A:B, 2, FALSE)</f>
        <v>43311</v>
      </c>
      <c r="I1466" t="str">
        <f>VLOOKUP(A1466, [1]Orders!A:E, 3, FALSE)</f>
        <v>Arindam</v>
      </c>
      <c r="J1466" t="str">
        <f>VLOOKUP(A1466, [1]Orders!A:E, 4, FALSE)</f>
        <v>Uttar Pradesh</v>
      </c>
      <c r="K1466" t="str">
        <f>VLOOKUP(A1466, [1]Orders!A:E, 5, FALSE)</f>
        <v>Lucknow</v>
      </c>
    </row>
    <row r="1467" spans="1:11" x14ac:dyDescent="0.5">
      <c r="A1467" t="s">
        <v>61</v>
      </c>
      <c r="B1467">
        <v>14</v>
      </c>
      <c r="C1467">
        <v>5</v>
      </c>
      <c r="D1467">
        <v>1</v>
      </c>
      <c r="E1467" t="s">
        <v>23</v>
      </c>
      <c r="F1467" t="s">
        <v>30</v>
      </c>
      <c r="G1467" t="s">
        <v>28</v>
      </c>
      <c r="H1467" s="1">
        <f>VLOOKUP(A1467, [1]Orders!A:B, 2, FALSE)</f>
        <v>43187</v>
      </c>
      <c r="I1467" t="str">
        <f>VLOOKUP(A1467, [1]Orders!A:E, 3, FALSE)</f>
        <v>Vini</v>
      </c>
      <c r="J1467" t="str">
        <f>VLOOKUP(A1467, [1]Orders!A:E, 4, FALSE)</f>
        <v>Karnataka</v>
      </c>
      <c r="K1467" t="str">
        <f>VLOOKUP(A1467, [1]Orders!A:E, 5, FALSE)</f>
        <v>Bangalore</v>
      </c>
    </row>
    <row r="1468" spans="1:11" x14ac:dyDescent="0.5">
      <c r="A1468" t="s">
        <v>169</v>
      </c>
      <c r="B1468">
        <v>14</v>
      </c>
      <c r="C1468">
        <v>7</v>
      </c>
      <c r="D1468">
        <v>2</v>
      </c>
      <c r="E1468" t="s">
        <v>23</v>
      </c>
      <c r="F1468" t="s">
        <v>30</v>
      </c>
      <c r="G1468" t="s">
        <v>28</v>
      </c>
      <c r="H1468" s="1">
        <f>VLOOKUP(A1468, [1]Orders!A:B, 2, FALSE)</f>
        <v>43177</v>
      </c>
      <c r="I1468" t="str">
        <f>VLOOKUP(A1468, [1]Orders!A:E, 3, FALSE)</f>
        <v>Shruti</v>
      </c>
      <c r="J1468" t="str">
        <f>VLOOKUP(A1468, [1]Orders!A:E, 4, FALSE)</f>
        <v>Karnataka</v>
      </c>
      <c r="K1468" t="str">
        <f>VLOOKUP(A1468, [1]Orders!A:E, 5, FALSE)</f>
        <v>Bangalore</v>
      </c>
    </row>
    <row r="1469" spans="1:11" x14ac:dyDescent="0.5">
      <c r="A1469" t="s">
        <v>127</v>
      </c>
      <c r="B1469">
        <v>8</v>
      </c>
      <c r="C1469">
        <v>-2</v>
      </c>
      <c r="D1469">
        <v>2</v>
      </c>
      <c r="E1469" t="s">
        <v>23</v>
      </c>
      <c r="F1469" t="s">
        <v>30</v>
      </c>
      <c r="G1469" t="s">
        <v>10</v>
      </c>
      <c r="H1469" s="1">
        <f>VLOOKUP(A1469, [1]Orders!A:B, 2, FALSE)</f>
        <v>43326</v>
      </c>
      <c r="I1469" t="str">
        <f>VLOOKUP(A1469, [1]Orders!A:E, 3, FALSE)</f>
        <v>Vaibhav</v>
      </c>
      <c r="J1469" t="str">
        <f>VLOOKUP(A1469, [1]Orders!A:E, 4, FALSE)</f>
        <v>Madhya Pradesh</v>
      </c>
      <c r="K1469" t="str">
        <f>VLOOKUP(A1469, [1]Orders!A:E, 5, FALSE)</f>
        <v>Indore</v>
      </c>
    </row>
    <row r="1470" spans="1:11" x14ac:dyDescent="0.5">
      <c r="A1470" t="s">
        <v>123</v>
      </c>
      <c r="B1470">
        <v>1389</v>
      </c>
      <c r="C1470">
        <v>680</v>
      </c>
      <c r="D1470">
        <v>7</v>
      </c>
      <c r="E1470" t="s">
        <v>23</v>
      </c>
      <c r="F1470" t="s">
        <v>26</v>
      </c>
      <c r="G1470" t="s">
        <v>10</v>
      </c>
      <c r="H1470" s="1">
        <f>VLOOKUP(A1470, [1]Orders!A:B, 2, FALSE)</f>
        <v>43231</v>
      </c>
      <c r="I1470" t="str">
        <f>VLOOKUP(A1470, [1]Orders!A:E, 3, FALSE)</f>
        <v>Priyanka</v>
      </c>
      <c r="J1470" t="str">
        <f>VLOOKUP(A1470, [1]Orders!A:E, 4, FALSE)</f>
        <v>Maharashtra</v>
      </c>
      <c r="K1470" t="str">
        <f>VLOOKUP(A1470, [1]Orders!A:E, 5, FALSE)</f>
        <v>Pune</v>
      </c>
    </row>
    <row r="1471" spans="1:11" x14ac:dyDescent="0.5">
      <c r="A1471" t="s">
        <v>326</v>
      </c>
      <c r="B1471">
        <v>8</v>
      </c>
      <c r="C1471">
        <v>-1</v>
      </c>
      <c r="D1471">
        <v>2</v>
      </c>
      <c r="E1471" t="s">
        <v>23</v>
      </c>
      <c r="F1471" t="s">
        <v>63</v>
      </c>
      <c r="G1471" t="s">
        <v>10</v>
      </c>
      <c r="H1471" s="1">
        <f>VLOOKUP(A1471, [1]Orders!A:B, 2, FALSE)</f>
        <v>43324</v>
      </c>
      <c r="I1471" t="str">
        <f>VLOOKUP(A1471, [1]Orders!A:E, 3, FALSE)</f>
        <v>Nitant</v>
      </c>
      <c r="J1471" t="str">
        <f>VLOOKUP(A1471, [1]Orders!A:E, 4, FALSE)</f>
        <v>Rajasthan</v>
      </c>
      <c r="K1471" t="str">
        <f>VLOOKUP(A1471, [1]Orders!A:E, 5, FALSE)</f>
        <v>Jaipur</v>
      </c>
    </row>
    <row r="1472" spans="1:11" x14ac:dyDescent="0.5">
      <c r="A1472" t="s">
        <v>530</v>
      </c>
      <c r="B1472">
        <v>8</v>
      </c>
      <c r="C1472">
        <v>-2</v>
      </c>
      <c r="D1472">
        <v>1</v>
      </c>
      <c r="E1472" t="s">
        <v>23</v>
      </c>
      <c r="F1472" t="s">
        <v>57</v>
      </c>
      <c r="G1472" t="s">
        <v>10</v>
      </c>
      <c r="H1472" s="1">
        <f>VLOOKUP(A1472, [1]Orders!A:B, 2, FALSE)</f>
        <v>43334</v>
      </c>
      <c r="I1472" t="str">
        <f>VLOOKUP(A1472, [1]Orders!A:E, 3, FALSE)</f>
        <v>Shubham</v>
      </c>
      <c r="J1472" t="str">
        <f>VLOOKUP(A1472, [1]Orders!A:E, 4, FALSE)</f>
        <v>Himachal Pradesh</v>
      </c>
      <c r="K1472" t="str">
        <f>VLOOKUP(A1472, [1]Orders!A:E, 5, FALSE)</f>
        <v>Simla</v>
      </c>
    </row>
    <row r="1473" spans="1:11" x14ac:dyDescent="0.5">
      <c r="A1473" t="s">
        <v>46</v>
      </c>
      <c r="B1473">
        <v>13</v>
      </c>
      <c r="C1473">
        <v>4</v>
      </c>
      <c r="D1473">
        <v>1</v>
      </c>
      <c r="E1473" t="s">
        <v>23</v>
      </c>
      <c r="F1473" t="s">
        <v>63</v>
      </c>
      <c r="G1473" t="s">
        <v>28</v>
      </c>
      <c r="H1473" s="1">
        <f>VLOOKUP(A1473, [1]Orders!A:B, 2, FALSE)</f>
        <v>43113</v>
      </c>
      <c r="I1473" t="str">
        <f>VLOOKUP(A1473, [1]Orders!A:E, 3, FALSE)</f>
        <v>Shruti</v>
      </c>
      <c r="J1473" t="str">
        <f>VLOOKUP(A1473, [1]Orders!A:E, 4, FALSE)</f>
        <v>Madhya Pradesh</v>
      </c>
      <c r="K1473" t="str">
        <f>VLOOKUP(A1473, [1]Orders!A:E, 5, FALSE)</f>
        <v>Indore</v>
      </c>
    </row>
    <row r="1474" spans="1:11" x14ac:dyDescent="0.5">
      <c r="A1474" t="s">
        <v>531</v>
      </c>
      <c r="B1474">
        <v>8</v>
      </c>
      <c r="C1474">
        <v>-6</v>
      </c>
      <c r="D1474">
        <v>1</v>
      </c>
      <c r="E1474" t="s">
        <v>23</v>
      </c>
      <c r="F1474" t="s">
        <v>57</v>
      </c>
      <c r="G1474" t="s">
        <v>10</v>
      </c>
      <c r="H1474" s="1">
        <f>VLOOKUP(A1474, [1]Orders!A:B, 2, FALSE)</f>
        <v>43282</v>
      </c>
      <c r="I1474" t="str">
        <f>VLOOKUP(A1474, [1]Orders!A:E, 3, FALSE)</f>
        <v>Shivani</v>
      </c>
      <c r="J1474" t="str">
        <f>VLOOKUP(A1474, [1]Orders!A:E, 4, FALSE)</f>
        <v>Maharashtra</v>
      </c>
      <c r="K1474" t="str">
        <f>VLOOKUP(A1474, [1]Orders!A:E, 5, FALSE)</f>
        <v>Mumbai</v>
      </c>
    </row>
    <row r="1475" spans="1:11" x14ac:dyDescent="0.5">
      <c r="A1475" t="s">
        <v>71</v>
      </c>
      <c r="B1475">
        <v>12</v>
      </c>
      <c r="C1475">
        <v>2</v>
      </c>
      <c r="D1475">
        <v>2</v>
      </c>
      <c r="E1475" t="s">
        <v>23</v>
      </c>
      <c r="F1475" t="s">
        <v>43</v>
      </c>
      <c r="G1475" t="s">
        <v>19</v>
      </c>
      <c r="H1475" s="1">
        <f>VLOOKUP(A1475, [1]Orders!A:B, 2, FALSE)</f>
        <v>43447</v>
      </c>
      <c r="I1475" t="str">
        <f>VLOOKUP(A1475, [1]Orders!A:E, 3, FALSE)</f>
        <v>Sujay</v>
      </c>
      <c r="J1475" t="str">
        <f>VLOOKUP(A1475, [1]Orders!A:E, 4, FALSE)</f>
        <v>Maharashtra</v>
      </c>
      <c r="K1475" t="str">
        <f>VLOOKUP(A1475, [1]Orders!A:E, 5, FALSE)</f>
        <v>Pune</v>
      </c>
    </row>
    <row r="1476" spans="1:11" x14ac:dyDescent="0.5">
      <c r="A1476" t="s">
        <v>15</v>
      </c>
      <c r="B1476">
        <v>1716</v>
      </c>
      <c r="C1476">
        <v>309</v>
      </c>
      <c r="D1476">
        <v>7</v>
      </c>
      <c r="E1476" t="s">
        <v>8</v>
      </c>
      <c r="F1476" t="s">
        <v>73</v>
      </c>
      <c r="G1476" t="s">
        <v>10</v>
      </c>
      <c r="H1476" s="1">
        <f>VLOOKUP(A1476, [1]Orders!A:B, 2, FALSE)</f>
        <v>43116</v>
      </c>
      <c r="I1476" t="str">
        <f>VLOOKUP(A1476, [1]Orders!A:E, 3, FALSE)</f>
        <v>Shiva</v>
      </c>
      <c r="J1476" t="str">
        <f>VLOOKUP(A1476, [1]Orders!A:E, 4, FALSE)</f>
        <v>Maharashtra</v>
      </c>
      <c r="K1476" t="str">
        <f>VLOOKUP(A1476, [1]Orders!A:E, 5, FALSE)</f>
        <v>Pune</v>
      </c>
    </row>
    <row r="1477" spans="1:11" x14ac:dyDescent="0.5">
      <c r="A1477" t="s">
        <v>285</v>
      </c>
      <c r="B1477">
        <v>1117</v>
      </c>
      <c r="C1477">
        <v>447</v>
      </c>
      <c r="D1477">
        <v>10</v>
      </c>
      <c r="E1477" t="s">
        <v>12</v>
      </c>
      <c r="F1477" t="s">
        <v>16</v>
      </c>
      <c r="G1477" t="s">
        <v>14</v>
      </c>
      <c r="H1477" s="1">
        <f>VLOOKUP(A1477, [1]Orders!A:B, 2, FALSE)</f>
        <v>43150</v>
      </c>
      <c r="I1477" t="str">
        <f>VLOOKUP(A1477, [1]Orders!A:E, 3, FALSE)</f>
        <v>Mukesh</v>
      </c>
      <c r="J1477" t="str">
        <f>VLOOKUP(A1477, [1]Orders!A:E, 4, FALSE)</f>
        <v>Haryana</v>
      </c>
      <c r="K1477" t="str">
        <f>VLOOKUP(A1477, [1]Orders!A:E, 5, FALSE)</f>
        <v>Chandigarh</v>
      </c>
    </row>
    <row r="1478" spans="1:11" x14ac:dyDescent="0.5">
      <c r="A1478" t="s">
        <v>38</v>
      </c>
      <c r="B1478">
        <v>9</v>
      </c>
      <c r="C1478">
        <v>-6</v>
      </c>
      <c r="D1478">
        <v>2</v>
      </c>
      <c r="E1478" t="s">
        <v>23</v>
      </c>
      <c r="F1478" t="s">
        <v>43</v>
      </c>
      <c r="G1478" t="s">
        <v>19</v>
      </c>
      <c r="H1478" s="1">
        <f>VLOOKUP(A1478, [1]Orders!A:B, 2, FALSE)</f>
        <v>43231</v>
      </c>
      <c r="I1478" t="str">
        <f>VLOOKUP(A1478, [1]Orders!A:E, 3, FALSE)</f>
        <v>Nida</v>
      </c>
      <c r="J1478" t="str">
        <f>VLOOKUP(A1478, [1]Orders!A:E, 4, FALSE)</f>
        <v>Madhya Pradesh</v>
      </c>
      <c r="K1478" t="str">
        <f>VLOOKUP(A1478, [1]Orders!A:E, 5, FALSE)</f>
        <v>Indore</v>
      </c>
    </row>
    <row r="1479" spans="1:11" x14ac:dyDescent="0.5">
      <c r="A1479" t="s">
        <v>53</v>
      </c>
      <c r="B1479">
        <v>332</v>
      </c>
      <c r="C1479">
        <v>503</v>
      </c>
      <c r="D1479">
        <v>3</v>
      </c>
      <c r="E1479" t="s">
        <v>8</v>
      </c>
      <c r="F1479" t="s">
        <v>18</v>
      </c>
      <c r="G1479" t="s">
        <v>10</v>
      </c>
      <c r="H1479" s="1">
        <f>VLOOKUP(A1479, [1]Orders!A:B, 2, FALSE)</f>
        <v>43262</v>
      </c>
      <c r="I1479" t="str">
        <f>VLOOKUP(A1479, [1]Orders!A:E, 3, FALSE)</f>
        <v>Pooja</v>
      </c>
      <c r="J1479" t="str">
        <f>VLOOKUP(A1479, [1]Orders!A:E, 4, FALSE)</f>
        <v>Himachal Pradesh</v>
      </c>
      <c r="K1479" t="str">
        <f>VLOOKUP(A1479, [1]Orders!A:E, 5, FALSE)</f>
        <v>Simla</v>
      </c>
    </row>
    <row r="1480" spans="1:11" x14ac:dyDescent="0.5">
      <c r="A1480" t="s">
        <v>38</v>
      </c>
      <c r="B1480">
        <v>7</v>
      </c>
      <c r="C1480">
        <v>-4</v>
      </c>
      <c r="D1480">
        <v>3</v>
      </c>
      <c r="E1480" t="s">
        <v>23</v>
      </c>
      <c r="F1480" t="s">
        <v>30</v>
      </c>
      <c r="G1480" t="s">
        <v>10</v>
      </c>
      <c r="H1480" s="1">
        <f>VLOOKUP(A1480, [1]Orders!A:B, 2, FALSE)</f>
        <v>43231</v>
      </c>
      <c r="I1480" t="str">
        <f>VLOOKUP(A1480, [1]Orders!A:E, 3, FALSE)</f>
        <v>Nida</v>
      </c>
      <c r="J1480" t="str">
        <f>VLOOKUP(A1480, [1]Orders!A:E, 4, FALSE)</f>
        <v>Madhya Pradesh</v>
      </c>
      <c r="K1480" t="str">
        <f>VLOOKUP(A1480, [1]Orders!A:E, 5, FALSE)</f>
        <v>Indore</v>
      </c>
    </row>
    <row r="1481" spans="1:11" x14ac:dyDescent="0.5">
      <c r="A1481" t="s">
        <v>346</v>
      </c>
      <c r="B1481">
        <v>8</v>
      </c>
      <c r="C1481">
        <v>-2</v>
      </c>
      <c r="D1481">
        <v>3</v>
      </c>
      <c r="E1481" t="s">
        <v>23</v>
      </c>
      <c r="F1481" t="s">
        <v>30</v>
      </c>
      <c r="G1481" t="s">
        <v>19</v>
      </c>
      <c r="H1481" s="1">
        <f>VLOOKUP(A1481, [1]Orders!A:B, 2, FALSE)</f>
        <v>43191</v>
      </c>
      <c r="I1481" t="str">
        <f>VLOOKUP(A1481, [1]Orders!A:E, 3, FALSE)</f>
        <v>Bharat</v>
      </c>
      <c r="J1481" t="str">
        <f>VLOOKUP(A1481, [1]Orders!A:E, 4, FALSE)</f>
        <v>Gujarat</v>
      </c>
      <c r="K1481" t="str">
        <f>VLOOKUP(A1481, [1]Orders!A:E, 5, FALSE)</f>
        <v>Ahmedabad</v>
      </c>
    </row>
    <row r="1482" spans="1:11" x14ac:dyDescent="0.5">
      <c r="A1482" t="s">
        <v>395</v>
      </c>
      <c r="B1482">
        <v>2061</v>
      </c>
      <c r="C1482">
        <v>701</v>
      </c>
      <c r="D1482">
        <v>5</v>
      </c>
      <c r="E1482" t="s">
        <v>12</v>
      </c>
      <c r="F1482" t="s">
        <v>16</v>
      </c>
      <c r="G1482" t="s">
        <v>28</v>
      </c>
      <c r="H1482" s="1">
        <f>VLOOKUP(A1482, [1]Orders!A:B, 2, FALSE)</f>
        <v>43419</v>
      </c>
      <c r="I1482" t="str">
        <f>VLOOKUP(A1482, [1]Orders!A:E, 3, FALSE)</f>
        <v>Amol</v>
      </c>
      <c r="J1482" t="str">
        <f>VLOOKUP(A1482, [1]Orders!A:E, 4, FALSE)</f>
        <v>Bihar</v>
      </c>
      <c r="K1482" t="str">
        <f>VLOOKUP(A1482, [1]Orders!A:E, 5, FALSE)</f>
        <v>Patna</v>
      </c>
    </row>
    <row r="1483" spans="1:11" x14ac:dyDescent="0.5">
      <c r="A1483" t="s">
        <v>470</v>
      </c>
      <c r="B1483">
        <v>1103</v>
      </c>
      <c r="C1483">
        <v>276</v>
      </c>
      <c r="D1483">
        <v>3</v>
      </c>
      <c r="E1483" t="s">
        <v>12</v>
      </c>
      <c r="F1483" t="s">
        <v>13</v>
      </c>
      <c r="G1483" t="s">
        <v>14</v>
      </c>
      <c r="H1483" s="1">
        <f>VLOOKUP(A1483, [1]Orders!A:B, 2, FALSE)</f>
        <v>43213</v>
      </c>
      <c r="I1483" t="str">
        <f>VLOOKUP(A1483, [1]Orders!A:E, 3, FALSE)</f>
        <v>Bhishm</v>
      </c>
      <c r="J1483" t="str">
        <f>VLOOKUP(A1483, [1]Orders!A:E, 4, FALSE)</f>
        <v>Maharashtra</v>
      </c>
      <c r="K1483" t="str">
        <f>VLOOKUP(A1483, [1]Orders!A:E, 5, FALSE)</f>
        <v>Mumbai</v>
      </c>
    </row>
    <row r="1484" spans="1:11" x14ac:dyDescent="0.5">
      <c r="A1484" t="s">
        <v>310</v>
      </c>
      <c r="B1484">
        <v>2103</v>
      </c>
      <c r="C1484">
        <v>322</v>
      </c>
      <c r="D1484">
        <v>8</v>
      </c>
      <c r="E1484" t="s">
        <v>8</v>
      </c>
      <c r="F1484" t="s">
        <v>9</v>
      </c>
      <c r="G1484" t="s">
        <v>28</v>
      </c>
      <c r="H1484" s="1">
        <f>VLOOKUP(A1484, [1]Orders!A:B, 2, FALSE)</f>
        <v>43391</v>
      </c>
      <c r="I1484" t="str">
        <f>VLOOKUP(A1484, [1]Orders!A:E, 3, FALSE)</f>
        <v>Rohan</v>
      </c>
      <c r="J1484" t="str">
        <f>VLOOKUP(A1484, [1]Orders!A:E, 4, FALSE)</f>
        <v>Maharashtra</v>
      </c>
      <c r="K1484" t="str">
        <f>VLOOKUP(A1484, [1]Orders!A:E, 5, FALSE)</f>
        <v>Mumbai</v>
      </c>
    </row>
    <row r="1485" spans="1:11" x14ac:dyDescent="0.5">
      <c r="A1485" t="s">
        <v>22</v>
      </c>
      <c r="B1485">
        <v>2115</v>
      </c>
      <c r="C1485">
        <v>23</v>
      </c>
      <c r="D1485">
        <v>5</v>
      </c>
      <c r="E1485" t="s">
        <v>12</v>
      </c>
      <c r="F1485" t="s">
        <v>13</v>
      </c>
      <c r="G1485" t="s">
        <v>10</v>
      </c>
      <c r="H1485" s="1">
        <f>VLOOKUP(A1485, [1]Orders!A:B, 2, FALSE)</f>
        <v>43429</v>
      </c>
      <c r="I1485" t="str">
        <f>VLOOKUP(A1485, [1]Orders!A:E, 3, FALSE)</f>
        <v>Lalita</v>
      </c>
      <c r="J1485" t="str">
        <f>VLOOKUP(A1485, [1]Orders!A:E, 4, FALSE)</f>
        <v>Uttar Pradesh</v>
      </c>
      <c r="K1485" t="str">
        <f>VLOOKUP(A1485, [1]Orders!A:E, 5, FALSE)</f>
        <v>Mathura</v>
      </c>
    </row>
    <row r="1486" spans="1:11" x14ac:dyDescent="0.5">
      <c r="A1486" t="s">
        <v>44</v>
      </c>
      <c r="B1486">
        <v>850</v>
      </c>
      <c r="C1486">
        <v>-289</v>
      </c>
      <c r="D1486">
        <v>5</v>
      </c>
      <c r="E1486" t="s">
        <v>8</v>
      </c>
      <c r="F1486" t="s">
        <v>9</v>
      </c>
      <c r="G1486" t="s">
        <v>10</v>
      </c>
      <c r="H1486" s="1">
        <f>VLOOKUP(A1486, [1]Orders!A:B, 2, FALSE)</f>
        <v>43448</v>
      </c>
      <c r="I1486" t="str">
        <f>VLOOKUP(A1486, [1]Orders!A:E, 3, FALSE)</f>
        <v>Jay</v>
      </c>
      <c r="J1486" t="str">
        <f>VLOOKUP(A1486, [1]Orders!A:E, 4, FALSE)</f>
        <v>Delhi</v>
      </c>
      <c r="K1486" t="str">
        <f>VLOOKUP(A1486, [1]Orders!A:E, 5, FALSE)</f>
        <v>Delhi</v>
      </c>
    </row>
    <row r="1487" spans="1:11" x14ac:dyDescent="0.5">
      <c r="A1487" t="s">
        <v>50</v>
      </c>
      <c r="B1487">
        <v>1063</v>
      </c>
      <c r="C1487">
        <v>64</v>
      </c>
      <c r="D1487">
        <v>7</v>
      </c>
      <c r="E1487" t="s">
        <v>8</v>
      </c>
      <c r="F1487" t="s">
        <v>21</v>
      </c>
      <c r="G1487" t="s">
        <v>14</v>
      </c>
      <c r="H1487" s="1">
        <f>VLOOKUP(A1487, [1]Orders!A:B, 2, FALSE)</f>
        <v>43399</v>
      </c>
      <c r="I1487" t="str">
        <f>VLOOKUP(A1487, [1]Orders!A:E, 3, FALSE)</f>
        <v>Aastha</v>
      </c>
      <c r="J1487" t="str">
        <f>VLOOKUP(A1487, [1]Orders!A:E, 4, FALSE)</f>
        <v>Himachal Pradesh</v>
      </c>
      <c r="K1487" t="str">
        <f>VLOOKUP(A1487, [1]Orders!A:E, 5, FALSE)</f>
        <v>Simla</v>
      </c>
    </row>
    <row r="1488" spans="1:11" x14ac:dyDescent="0.5">
      <c r="A1488" t="s">
        <v>478</v>
      </c>
      <c r="B1488">
        <v>1063</v>
      </c>
      <c r="C1488">
        <v>-175</v>
      </c>
      <c r="D1488">
        <v>4</v>
      </c>
      <c r="E1488" t="s">
        <v>8</v>
      </c>
      <c r="F1488" t="s">
        <v>9</v>
      </c>
      <c r="G1488" t="s">
        <v>14</v>
      </c>
      <c r="H1488" s="1">
        <f>VLOOKUP(A1488, [1]Orders!A:B, 2, FALSE)</f>
        <v>43127</v>
      </c>
      <c r="I1488" t="str">
        <f>VLOOKUP(A1488, [1]Orders!A:E, 3, FALSE)</f>
        <v>Parin</v>
      </c>
      <c r="J1488" t="str">
        <f>VLOOKUP(A1488, [1]Orders!A:E, 4, FALSE)</f>
        <v>Maharashtra</v>
      </c>
      <c r="K1488" t="str">
        <f>VLOOKUP(A1488, [1]Orders!A:E, 5, FALSE)</f>
        <v>Mumbai</v>
      </c>
    </row>
    <row r="1489" spans="1:11" x14ac:dyDescent="0.5">
      <c r="A1489" t="s">
        <v>321</v>
      </c>
      <c r="B1489">
        <v>2292</v>
      </c>
      <c r="C1489">
        <v>127</v>
      </c>
      <c r="D1489">
        <v>7</v>
      </c>
      <c r="E1489" t="s">
        <v>12</v>
      </c>
      <c r="F1489" t="s">
        <v>16</v>
      </c>
      <c r="G1489" t="s">
        <v>10</v>
      </c>
      <c r="H1489" s="1">
        <f>VLOOKUP(A1489, [1]Orders!A:B, 2, FALSE)</f>
        <v>43135</v>
      </c>
      <c r="I1489" t="str">
        <f>VLOOKUP(A1489, [1]Orders!A:E, 3, FALSE)</f>
        <v>Yogesh</v>
      </c>
      <c r="J1489" t="str">
        <f>VLOOKUP(A1489, [1]Orders!A:E, 4, FALSE)</f>
        <v>Maharashtra</v>
      </c>
      <c r="K1489" t="str">
        <f>VLOOKUP(A1489, [1]Orders!A:E, 5, FALSE)</f>
        <v>Pune</v>
      </c>
    </row>
    <row r="1490" spans="1:11" x14ac:dyDescent="0.5">
      <c r="A1490" t="s">
        <v>290</v>
      </c>
      <c r="B1490">
        <v>7</v>
      </c>
      <c r="C1490">
        <v>-1</v>
      </c>
      <c r="D1490">
        <v>2</v>
      </c>
      <c r="E1490" t="s">
        <v>23</v>
      </c>
      <c r="F1490" t="s">
        <v>30</v>
      </c>
      <c r="G1490" t="s">
        <v>19</v>
      </c>
      <c r="H1490" s="1">
        <f>VLOOKUP(A1490, [1]Orders!A:B, 2, FALSE)</f>
        <v>43237</v>
      </c>
      <c r="I1490" t="str">
        <f>VLOOKUP(A1490, [1]Orders!A:E, 3, FALSE)</f>
        <v>Subhashree</v>
      </c>
      <c r="J1490" t="str">
        <f>VLOOKUP(A1490, [1]Orders!A:E, 4, FALSE)</f>
        <v>Jammu and Kashmir</v>
      </c>
      <c r="K1490" t="str">
        <f>VLOOKUP(A1490, [1]Orders!A:E, 5, FALSE)</f>
        <v>Kashmir</v>
      </c>
    </row>
    <row r="1491" spans="1:11" x14ac:dyDescent="0.5">
      <c r="A1491" t="s">
        <v>436</v>
      </c>
      <c r="B1491">
        <v>2452</v>
      </c>
      <c r="C1491">
        <v>191</v>
      </c>
      <c r="D1491">
        <v>7</v>
      </c>
      <c r="E1491" t="s">
        <v>12</v>
      </c>
      <c r="F1491" t="s">
        <v>16</v>
      </c>
      <c r="G1491" t="s">
        <v>28</v>
      </c>
      <c r="H1491" s="1">
        <f>VLOOKUP(A1491, [1]Orders!A:B, 2, FALSE)</f>
        <v>43121</v>
      </c>
      <c r="I1491" t="str">
        <f>VLOOKUP(A1491, [1]Orders!A:E, 3, FALSE)</f>
        <v>Shreyshi</v>
      </c>
      <c r="J1491" t="str">
        <f>VLOOKUP(A1491, [1]Orders!A:E, 4, FALSE)</f>
        <v>Gujarat</v>
      </c>
      <c r="K1491" t="str">
        <f>VLOOKUP(A1491, [1]Orders!A:E, 5, FALSE)</f>
        <v>Surat</v>
      </c>
    </row>
    <row r="1492" spans="1:11" x14ac:dyDescent="0.5">
      <c r="A1492" t="s">
        <v>187</v>
      </c>
      <c r="B1492">
        <v>2457</v>
      </c>
      <c r="C1492">
        <v>665</v>
      </c>
      <c r="D1492">
        <v>11</v>
      </c>
      <c r="E1492" t="s">
        <v>8</v>
      </c>
      <c r="F1492" t="s">
        <v>9</v>
      </c>
      <c r="G1492" t="s">
        <v>14</v>
      </c>
      <c r="H1492" s="1">
        <f>VLOOKUP(A1492, [1]Orders!A:B, 2, FALSE)</f>
        <v>43417</v>
      </c>
      <c r="I1492" t="str">
        <f>VLOOKUP(A1492, [1]Orders!A:E, 3, FALSE)</f>
        <v>Uudhav</v>
      </c>
      <c r="J1492" t="str">
        <f>VLOOKUP(A1492, [1]Orders!A:E, 4, FALSE)</f>
        <v>Maharashtra</v>
      </c>
      <c r="K1492" t="str">
        <f>VLOOKUP(A1492, [1]Orders!A:E, 5, FALSE)</f>
        <v>Mumbai</v>
      </c>
    </row>
    <row r="1493" spans="1:11" x14ac:dyDescent="0.5">
      <c r="A1493" t="s">
        <v>99</v>
      </c>
      <c r="B1493">
        <v>4</v>
      </c>
      <c r="C1493">
        <v>-3</v>
      </c>
      <c r="D1493">
        <v>1</v>
      </c>
      <c r="E1493" t="s">
        <v>23</v>
      </c>
      <c r="F1493" t="s">
        <v>43</v>
      </c>
      <c r="G1493" t="s">
        <v>19</v>
      </c>
      <c r="H1493" s="1">
        <f>VLOOKUP(A1493, [1]Orders!A:B, 2, FALSE)</f>
        <v>43273</v>
      </c>
      <c r="I1493" t="str">
        <f>VLOOKUP(A1493, [1]Orders!A:E, 3, FALSE)</f>
        <v>Vijay</v>
      </c>
      <c r="J1493" t="str">
        <f>VLOOKUP(A1493, [1]Orders!A:E, 4, FALSE)</f>
        <v>Jammu and Kashmir</v>
      </c>
      <c r="K1493" t="str">
        <f>VLOOKUP(A1493, [1]Orders!A:E, 5, FALSE)</f>
        <v>Kashmir</v>
      </c>
    </row>
    <row r="1494" spans="1:11" x14ac:dyDescent="0.5">
      <c r="A1494" t="s">
        <v>208</v>
      </c>
      <c r="B1494">
        <v>2830</v>
      </c>
      <c r="C1494">
        <v>-1981</v>
      </c>
      <c r="D1494">
        <v>13</v>
      </c>
      <c r="E1494" t="s">
        <v>12</v>
      </c>
      <c r="F1494" t="s">
        <v>16</v>
      </c>
      <c r="G1494" t="s">
        <v>14</v>
      </c>
      <c r="H1494" s="1">
        <f>VLOOKUP(A1494, [1]Orders!A:B, 2, FALSE)</f>
        <v>43374</v>
      </c>
      <c r="I1494" t="str">
        <f>VLOOKUP(A1494, [1]Orders!A:E, 3, FALSE)</f>
        <v>Shishu</v>
      </c>
      <c r="J1494" t="str">
        <f>VLOOKUP(A1494, [1]Orders!A:E, 4, FALSE)</f>
        <v>Andhra Pradesh</v>
      </c>
      <c r="K1494" t="str">
        <f>VLOOKUP(A1494, [1]Orders!A:E, 5, FALSE)</f>
        <v>Hyderabad</v>
      </c>
    </row>
    <row r="1495" spans="1:11" x14ac:dyDescent="0.5">
      <c r="A1495" t="s">
        <v>186</v>
      </c>
      <c r="B1495">
        <v>7</v>
      </c>
      <c r="C1495">
        <v>1</v>
      </c>
      <c r="D1495">
        <v>1</v>
      </c>
      <c r="E1495" t="s">
        <v>23</v>
      </c>
      <c r="F1495" t="s">
        <v>30</v>
      </c>
      <c r="G1495" t="s">
        <v>10</v>
      </c>
      <c r="H1495" s="1">
        <f>VLOOKUP(A1495, [1]Orders!A:B, 2, FALSE)</f>
        <v>43427</v>
      </c>
      <c r="I1495" t="str">
        <f>VLOOKUP(A1495, [1]Orders!A:E, 3, FALSE)</f>
        <v>Divyeta</v>
      </c>
      <c r="J1495" t="str">
        <f>VLOOKUP(A1495, [1]Orders!A:E, 4, FALSE)</f>
        <v>Madhya Pradesh</v>
      </c>
      <c r="K1495" t="str">
        <f>VLOOKUP(A1495, [1]Orders!A:E, 5, FALSE)</f>
        <v>Indore</v>
      </c>
    </row>
    <row r="1496" spans="1:11" x14ac:dyDescent="0.5">
      <c r="A1496" t="s">
        <v>438</v>
      </c>
      <c r="B1496">
        <v>7</v>
      </c>
      <c r="C1496">
        <v>0</v>
      </c>
      <c r="D1496">
        <v>2</v>
      </c>
      <c r="E1496" t="s">
        <v>23</v>
      </c>
      <c r="F1496" t="s">
        <v>43</v>
      </c>
      <c r="G1496" t="s">
        <v>10</v>
      </c>
      <c r="H1496" s="1">
        <f>VLOOKUP(A1496, [1]Orders!A:B, 2, FALSE)</f>
        <v>43315</v>
      </c>
      <c r="I1496" t="str">
        <f>VLOOKUP(A1496, [1]Orders!A:E, 3, FALSE)</f>
        <v>Rane</v>
      </c>
      <c r="J1496" t="str">
        <f>VLOOKUP(A1496, [1]Orders!A:E, 4, FALSE)</f>
        <v>Maharashtra</v>
      </c>
      <c r="K1496" t="str">
        <f>VLOOKUP(A1496, [1]Orders!A:E, 5, FALSE)</f>
        <v>Mumbai</v>
      </c>
    </row>
    <row r="1497" spans="1:11" x14ac:dyDescent="0.5">
      <c r="A1497" t="s">
        <v>268</v>
      </c>
      <c r="B1497">
        <v>7</v>
      </c>
      <c r="C1497">
        <v>-3</v>
      </c>
      <c r="D1497">
        <v>2</v>
      </c>
      <c r="E1497" t="s">
        <v>23</v>
      </c>
      <c r="F1497" t="s">
        <v>30</v>
      </c>
      <c r="G1497" t="s">
        <v>10</v>
      </c>
      <c r="H1497" s="1">
        <f>VLOOKUP(A1497, [1]Orders!A:B, 2, FALSE)</f>
        <v>43276</v>
      </c>
      <c r="I1497" t="str">
        <f>VLOOKUP(A1497, [1]Orders!A:E, 3, FALSE)</f>
        <v>Shubhi</v>
      </c>
      <c r="J1497" t="str">
        <f>VLOOKUP(A1497, [1]Orders!A:E, 4, FALSE)</f>
        <v>Maharashtra</v>
      </c>
      <c r="K1497" t="str">
        <f>VLOOKUP(A1497, [1]Orders!A:E, 5, FALSE)</f>
        <v>Mumbai</v>
      </c>
    </row>
    <row r="1498" spans="1:11" x14ac:dyDescent="0.5">
      <c r="A1498" t="s">
        <v>104</v>
      </c>
      <c r="B1498">
        <v>3151</v>
      </c>
      <c r="C1498">
        <v>-35</v>
      </c>
      <c r="D1498">
        <v>7</v>
      </c>
      <c r="E1498" t="s">
        <v>23</v>
      </c>
      <c r="F1498" t="s">
        <v>24</v>
      </c>
      <c r="G1498" t="s">
        <v>14</v>
      </c>
      <c r="H1498" s="1">
        <f>VLOOKUP(A1498, [1]Orders!A:B, 2, FALSE)</f>
        <v>43333</v>
      </c>
      <c r="I1498" t="str">
        <f>VLOOKUP(A1498, [1]Orders!A:E, 3, FALSE)</f>
        <v>Vishakha</v>
      </c>
      <c r="J1498" t="str">
        <f>VLOOKUP(A1498, [1]Orders!A:E, 4, FALSE)</f>
        <v>Madhya Pradesh</v>
      </c>
      <c r="K1498" t="str">
        <f>VLOOKUP(A1498, [1]Orders!A:E, 5, FALSE)</f>
        <v>Indore</v>
      </c>
    </row>
    <row r="1499" spans="1:11" x14ac:dyDescent="0.5">
      <c r="A1499" t="s">
        <v>225</v>
      </c>
      <c r="B1499">
        <v>4141</v>
      </c>
      <c r="C1499">
        <v>1698</v>
      </c>
      <c r="D1499">
        <v>13</v>
      </c>
      <c r="E1499" t="s">
        <v>8</v>
      </c>
      <c r="F1499" t="s">
        <v>18</v>
      </c>
      <c r="G1499" t="s">
        <v>10</v>
      </c>
      <c r="H1499" s="1">
        <f>VLOOKUP(A1499, [1]Orders!A:B, 2, FALSE)</f>
        <v>43124</v>
      </c>
      <c r="I1499" t="str">
        <f>VLOOKUP(A1499, [1]Orders!A:E, 3, FALSE)</f>
        <v>Madan Mohan</v>
      </c>
      <c r="J1499" t="str">
        <f>VLOOKUP(A1499, [1]Orders!A:E, 4, FALSE)</f>
        <v>Uttar Pradesh</v>
      </c>
      <c r="K1499" t="str">
        <f>VLOOKUP(A1499, [1]Orders!A:E, 5, FALSE)</f>
        <v>Mathura</v>
      </c>
    </row>
    <row r="1500" spans="1:11" x14ac:dyDescent="0.5">
      <c r="A1500" t="s">
        <v>182</v>
      </c>
      <c r="B1500">
        <v>7</v>
      </c>
      <c r="C1500">
        <v>-2</v>
      </c>
      <c r="D1500">
        <v>1</v>
      </c>
      <c r="E1500" t="s">
        <v>23</v>
      </c>
      <c r="F1500" t="s">
        <v>30</v>
      </c>
      <c r="G1500" t="s">
        <v>10</v>
      </c>
      <c r="H1500" s="1">
        <f>VLOOKUP(A1500, [1]Orders!A:B, 2, FALSE)</f>
        <v>43274</v>
      </c>
      <c r="I1500" t="str">
        <f>VLOOKUP(A1500, [1]Orders!A:E, 3, FALSE)</f>
        <v>Amisha</v>
      </c>
      <c r="J1500" t="str">
        <f>VLOOKUP(A1500, [1]Orders!A:E, 4, FALSE)</f>
        <v>Tamil Nadu</v>
      </c>
      <c r="K1500" t="str">
        <f>VLOOKUP(A1500, [1]Orders!A:E, 5, FALSE)</f>
        <v>Chennai</v>
      </c>
    </row>
    <row r="1501" spans="1:11" x14ac:dyDescent="0.5">
      <c r="A1501" t="s">
        <v>164</v>
      </c>
      <c r="B1501">
        <v>4363</v>
      </c>
      <c r="C1501">
        <v>305</v>
      </c>
      <c r="D1501">
        <v>5</v>
      </c>
      <c r="E1501" t="s">
        <v>12</v>
      </c>
      <c r="F1501" t="s">
        <v>45</v>
      </c>
      <c r="G1501" t="s">
        <v>14</v>
      </c>
      <c r="H1501" s="1">
        <f>VLOOKUP(A1501, [1]Orders!A:B, 2, FALSE)</f>
        <v>43134</v>
      </c>
      <c r="I1501" t="str">
        <f>VLOOKUP(A1501, [1]Orders!A:E, 3, FALSE)</f>
        <v>Madhav</v>
      </c>
      <c r="J1501" t="str">
        <f>VLOOKUP(A1501, [1]Orders!A:E, 4, FALSE)</f>
        <v>Delhi</v>
      </c>
      <c r="K1501" t="str">
        <f>VLOOKUP(A1501, [1]Orders!A:E, 5, FALSE)</f>
        <v>Delhi</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6E9E-2851-4AAA-910D-C0B1BCA7ED2A}">
  <dimension ref="A1:N339"/>
  <sheetViews>
    <sheetView topLeftCell="A8" zoomScale="80" workbookViewId="0">
      <selection activeCell="K10" sqref="K10"/>
    </sheetView>
  </sheetViews>
  <sheetFormatPr defaultRowHeight="18" x14ac:dyDescent="0.5"/>
  <cols>
    <col min="1" max="1" width="17.77734375" bestFit="1" customWidth="1"/>
    <col min="2" max="2" width="16.77734375" bestFit="1" customWidth="1"/>
    <col min="4" max="4" width="14.6640625" bestFit="1" customWidth="1"/>
    <col min="5" max="5" width="14.109375" bestFit="1" customWidth="1"/>
    <col min="7" max="7" width="14.6640625" bestFit="1" customWidth="1"/>
    <col min="8" max="8" width="16.77734375" bestFit="1" customWidth="1"/>
    <col min="10" max="10" width="18.77734375" bestFit="1" customWidth="1"/>
    <col min="11" max="11" width="19.44140625" bestFit="1" customWidth="1"/>
    <col min="13" max="13" width="16" bestFit="1" customWidth="1"/>
    <col min="14" max="14" width="14.109375" bestFit="1" customWidth="1"/>
  </cols>
  <sheetData>
    <row r="1" spans="1:14" x14ac:dyDescent="0.5">
      <c r="A1" t="s">
        <v>536</v>
      </c>
      <c r="D1" t="s">
        <v>559</v>
      </c>
      <c r="G1" t="s">
        <v>573</v>
      </c>
      <c r="J1" t="s">
        <v>910</v>
      </c>
      <c r="M1" t="s">
        <v>937</v>
      </c>
    </row>
    <row r="2" spans="1:14" x14ac:dyDescent="0.5">
      <c r="A2" s="2" t="s">
        <v>538</v>
      </c>
      <c r="B2" t="s">
        <v>537</v>
      </c>
      <c r="D2" s="2" t="s">
        <v>538</v>
      </c>
      <c r="E2" t="s">
        <v>560</v>
      </c>
      <c r="G2" s="2" t="s">
        <v>538</v>
      </c>
      <c r="H2" t="s">
        <v>537</v>
      </c>
      <c r="J2" s="2" t="s">
        <v>538</v>
      </c>
      <c r="K2" t="s">
        <v>911</v>
      </c>
      <c r="M2" s="2" t="s">
        <v>538</v>
      </c>
      <c r="N2" t="s">
        <v>911</v>
      </c>
    </row>
    <row r="3" spans="1:14" x14ac:dyDescent="0.5">
      <c r="A3" s="3" t="s">
        <v>539</v>
      </c>
      <c r="B3" s="4">
        <v>13256</v>
      </c>
      <c r="D3" s="3" t="s">
        <v>561</v>
      </c>
      <c r="E3" s="4">
        <v>9684</v>
      </c>
      <c r="G3" s="3" t="s">
        <v>574</v>
      </c>
      <c r="H3" s="4">
        <v>74</v>
      </c>
      <c r="J3" s="3" t="s">
        <v>10</v>
      </c>
      <c r="K3" s="4">
        <v>2456</v>
      </c>
      <c r="M3" s="3" t="s">
        <v>23</v>
      </c>
      <c r="N3" s="4">
        <v>3516</v>
      </c>
    </row>
    <row r="4" spans="1:14" x14ac:dyDescent="0.5">
      <c r="A4" s="3" t="s">
        <v>540</v>
      </c>
      <c r="B4" s="4">
        <v>13417</v>
      </c>
      <c r="D4" s="3" t="s">
        <v>562</v>
      </c>
      <c r="E4" s="4">
        <v>8465</v>
      </c>
      <c r="G4" s="3" t="s">
        <v>575</v>
      </c>
      <c r="H4" s="4">
        <v>4701</v>
      </c>
      <c r="J4" s="3" t="s">
        <v>19</v>
      </c>
      <c r="K4" s="4">
        <v>672</v>
      </c>
      <c r="M4" s="3" t="s">
        <v>8</v>
      </c>
      <c r="N4" s="4">
        <v>1154</v>
      </c>
    </row>
    <row r="5" spans="1:14" x14ac:dyDescent="0.5">
      <c r="A5" s="3" t="s">
        <v>541</v>
      </c>
      <c r="B5" s="4">
        <v>22957</v>
      </c>
      <c r="D5" s="3" t="s">
        <v>563</v>
      </c>
      <c r="E5" s="4">
        <v>7793</v>
      </c>
      <c r="G5" s="3" t="s">
        <v>576</v>
      </c>
      <c r="H5" s="4">
        <v>3276</v>
      </c>
      <c r="J5" s="3" t="s">
        <v>82</v>
      </c>
      <c r="K5" s="4">
        <v>741</v>
      </c>
      <c r="M5" s="3" t="s">
        <v>12</v>
      </c>
      <c r="N5" s="4">
        <v>945</v>
      </c>
    </row>
    <row r="6" spans="1:14" x14ac:dyDescent="0.5">
      <c r="A6" s="3" t="s">
        <v>542</v>
      </c>
      <c r="B6" s="4">
        <v>6705</v>
      </c>
      <c r="D6" s="3" t="s">
        <v>564</v>
      </c>
      <c r="E6" s="4">
        <v>4192</v>
      </c>
      <c r="G6" s="3" t="s">
        <v>577</v>
      </c>
      <c r="H6" s="4">
        <v>556</v>
      </c>
      <c r="J6" s="3" t="s">
        <v>14</v>
      </c>
      <c r="K6" s="4">
        <v>589</v>
      </c>
      <c r="M6" s="3" t="s">
        <v>558</v>
      </c>
      <c r="N6" s="4">
        <v>5615</v>
      </c>
    </row>
    <row r="7" spans="1:14" x14ac:dyDescent="0.5">
      <c r="A7" s="3" t="s">
        <v>543</v>
      </c>
      <c r="B7" s="4">
        <v>21371</v>
      </c>
      <c r="D7" s="3" t="s">
        <v>565</v>
      </c>
      <c r="E7" s="4">
        <v>-3730</v>
      </c>
      <c r="G7" s="3" t="s">
        <v>578</v>
      </c>
      <c r="H7" s="4">
        <v>689</v>
      </c>
      <c r="J7" s="3" t="s">
        <v>28</v>
      </c>
      <c r="K7" s="4">
        <v>1157</v>
      </c>
    </row>
    <row r="8" spans="1:14" x14ac:dyDescent="0.5">
      <c r="A8" s="3" t="s">
        <v>544</v>
      </c>
      <c r="B8" s="4">
        <v>8863</v>
      </c>
      <c r="D8" s="3" t="s">
        <v>566</v>
      </c>
      <c r="E8" s="4">
        <v>420</v>
      </c>
      <c r="G8" s="3" t="s">
        <v>579</v>
      </c>
      <c r="H8" s="4">
        <v>5691</v>
      </c>
      <c r="J8" s="3" t="s">
        <v>558</v>
      </c>
      <c r="K8" s="4">
        <v>5615</v>
      </c>
    </row>
    <row r="9" spans="1:14" x14ac:dyDescent="0.5">
      <c r="A9" s="3" t="s">
        <v>545</v>
      </c>
      <c r="B9" s="4">
        <v>8666</v>
      </c>
      <c r="D9" s="3" t="s">
        <v>567</v>
      </c>
      <c r="E9" s="4">
        <v>-2138</v>
      </c>
      <c r="G9" s="3" t="s">
        <v>580</v>
      </c>
      <c r="H9" s="4">
        <v>78</v>
      </c>
      <c r="K9">
        <f>GETPIVOTDATA("Quantity",$J$2)</f>
        <v>5615</v>
      </c>
    </row>
    <row r="10" spans="1:14" x14ac:dyDescent="0.5">
      <c r="A10" s="3" t="s">
        <v>546</v>
      </c>
      <c r="B10" s="4">
        <v>10829</v>
      </c>
      <c r="D10" s="3" t="s">
        <v>568</v>
      </c>
      <c r="E10" s="4">
        <v>2068</v>
      </c>
      <c r="G10" s="3" t="s">
        <v>581</v>
      </c>
      <c r="H10" s="4">
        <v>5597</v>
      </c>
      <c r="J10" t="s">
        <v>912</v>
      </c>
    </row>
    <row r="11" spans="1:14" x14ac:dyDescent="0.5">
      <c r="A11" s="3" t="s">
        <v>547</v>
      </c>
      <c r="B11" s="4">
        <v>12520</v>
      </c>
      <c r="D11" s="3" t="s">
        <v>569</v>
      </c>
      <c r="E11" s="4">
        <v>-1399</v>
      </c>
      <c r="G11" s="3" t="s">
        <v>582</v>
      </c>
      <c r="H11" s="4">
        <v>193</v>
      </c>
      <c r="J11" s="2" t="s">
        <v>538</v>
      </c>
      <c r="K11" t="s">
        <v>936</v>
      </c>
    </row>
    <row r="12" spans="1:14" x14ac:dyDescent="0.5">
      <c r="A12" s="3" t="s">
        <v>548</v>
      </c>
      <c r="B12" s="4">
        <v>13871</v>
      </c>
      <c r="D12" s="3" t="s">
        <v>570</v>
      </c>
      <c r="E12" s="4">
        <v>2959</v>
      </c>
      <c r="G12" s="3" t="s">
        <v>583</v>
      </c>
      <c r="H12" s="4">
        <v>1521</v>
      </c>
      <c r="J12" s="3" t="s">
        <v>913</v>
      </c>
      <c r="K12" s="4">
        <v>62</v>
      </c>
    </row>
    <row r="13" spans="1:14" x14ac:dyDescent="0.5">
      <c r="A13" s="3" t="s">
        <v>549</v>
      </c>
      <c r="B13" s="4">
        <v>87463</v>
      </c>
      <c r="D13" s="3" t="s">
        <v>571</v>
      </c>
      <c r="E13" s="4">
        <v>10253</v>
      </c>
      <c r="G13" s="3" t="s">
        <v>584</v>
      </c>
      <c r="H13" s="4">
        <v>703</v>
      </c>
      <c r="J13" s="3" t="s">
        <v>935</v>
      </c>
      <c r="K13" s="4">
        <v>15</v>
      </c>
    </row>
    <row r="14" spans="1:14" x14ac:dyDescent="0.5">
      <c r="A14" s="3" t="s">
        <v>550</v>
      </c>
      <c r="B14" s="4">
        <v>102498</v>
      </c>
      <c r="D14" s="3" t="s">
        <v>572</v>
      </c>
      <c r="E14" s="4">
        <v>-1604</v>
      </c>
      <c r="G14" s="3" t="s">
        <v>585</v>
      </c>
      <c r="H14" s="4">
        <v>939</v>
      </c>
      <c r="J14" s="3" t="s">
        <v>918</v>
      </c>
      <c r="K14" s="4">
        <v>50</v>
      </c>
    </row>
    <row r="15" spans="1:14" x14ac:dyDescent="0.5">
      <c r="A15" s="3" t="s">
        <v>551</v>
      </c>
      <c r="B15" s="4">
        <v>11993</v>
      </c>
      <c r="D15" s="3" t="s">
        <v>558</v>
      </c>
      <c r="E15" s="4">
        <v>36963</v>
      </c>
      <c r="G15" s="3" t="s">
        <v>586</v>
      </c>
      <c r="H15" s="4">
        <v>1922</v>
      </c>
      <c r="J15" s="3" t="s">
        <v>915</v>
      </c>
      <c r="K15" s="4">
        <v>66</v>
      </c>
    </row>
    <row r="16" spans="1:14" x14ac:dyDescent="0.5">
      <c r="A16" s="3" t="s">
        <v>552</v>
      </c>
      <c r="B16" s="4">
        <v>16786</v>
      </c>
      <c r="G16" s="3" t="s">
        <v>587</v>
      </c>
      <c r="H16" s="4">
        <v>806</v>
      </c>
      <c r="J16" s="3" t="s">
        <v>924</v>
      </c>
      <c r="K16" s="4">
        <v>71</v>
      </c>
    </row>
    <row r="17" spans="1:14" x14ac:dyDescent="0.5">
      <c r="A17" s="3" t="s">
        <v>553</v>
      </c>
      <c r="B17" s="4">
        <v>22334</v>
      </c>
      <c r="E17">
        <f>GETPIVOTDATA("Profit",$D$2)</f>
        <v>36963</v>
      </c>
      <c r="G17" s="3" t="s">
        <v>588</v>
      </c>
      <c r="H17" s="4">
        <v>27</v>
      </c>
      <c r="J17" s="3" t="s">
        <v>920</v>
      </c>
      <c r="K17" s="4">
        <v>25</v>
      </c>
    </row>
    <row r="18" spans="1:14" x14ac:dyDescent="0.5">
      <c r="A18" s="3" t="s">
        <v>554</v>
      </c>
      <c r="B18" s="4">
        <v>5276</v>
      </c>
      <c r="G18" s="3" t="s">
        <v>589</v>
      </c>
      <c r="H18" s="4">
        <v>131</v>
      </c>
      <c r="J18" s="3" t="s">
        <v>541</v>
      </c>
      <c r="K18" s="4">
        <v>76</v>
      </c>
    </row>
    <row r="19" spans="1:14" x14ac:dyDescent="0.5">
      <c r="A19" s="3" t="s">
        <v>555</v>
      </c>
      <c r="B19" s="4">
        <v>6276</v>
      </c>
      <c r="G19" s="3" t="s">
        <v>590</v>
      </c>
      <c r="H19" s="4">
        <v>31</v>
      </c>
      <c r="J19" s="3" t="s">
        <v>926</v>
      </c>
      <c r="K19" s="4">
        <v>24</v>
      </c>
    </row>
    <row r="20" spans="1:14" x14ac:dyDescent="0.5">
      <c r="A20" s="3" t="s">
        <v>556</v>
      </c>
      <c r="B20" s="4">
        <v>38362</v>
      </c>
      <c r="G20" s="3" t="s">
        <v>591</v>
      </c>
      <c r="H20" s="4">
        <v>52</v>
      </c>
      <c r="J20" s="3" t="s">
        <v>542</v>
      </c>
      <c r="K20" s="4">
        <v>43</v>
      </c>
    </row>
    <row r="21" spans="1:14" x14ac:dyDescent="0.5">
      <c r="A21" s="3" t="s">
        <v>557</v>
      </c>
      <c r="B21" s="4">
        <v>14328</v>
      </c>
      <c r="G21" s="3" t="s">
        <v>592</v>
      </c>
      <c r="H21" s="4">
        <v>1367</v>
      </c>
      <c r="J21" s="3" t="s">
        <v>928</v>
      </c>
      <c r="K21" s="4">
        <v>42</v>
      </c>
    </row>
    <row r="22" spans="1:14" x14ac:dyDescent="0.5">
      <c r="A22" s="3" t="s">
        <v>558</v>
      </c>
      <c r="B22" s="4">
        <v>437771</v>
      </c>
      <c r="G22" s="3" t="s">
        <v>593</v>
      </c>
      <c r="H22" s="4">
        <v>1630</v>
      </c>
      <c r="J22" s="3" t="s">
        <v>930</v>
      </c>
      <c r="K22" s="4">
        <v>248</v>
      </c>
      <c r="M22" s="3" t="s">
        <v>938</v>
      </c>
    </row>
    <row r="23" spans="1:14" x14ac:dyDescent="0.5">
      <c r="G23" s="3" t="s">
        <v>594</v>
      </c>
      <c r="H23" s="4">
        <v>2148</v>
      </c>
      <c r="J23" s="3" t="s">
        <v>916</v>
      </c>
      <c r="K23" s="4">
        <v>44</v>
      </c>
      <c r="M23" s="2" t="s">
        <v>538</v>
      </c>
      <c r="N23" t="s">
        <v>560</v>
      </c>
    </row>
    <row r="24" spans="1:14" x14ac:dyDescent="0.5">
      <c r="G24" s="3" t="s">
        <v>595</v>
      </c>
      <c r="H24" s="4">
        <v>909</v>
      </c>
      <c r="J24" s="3" t="s">
        <v>919</v>
      </c>
      <c r="K24" s="4">
        <v>49</v>
      </c>
      <c r="M24" s="3" t="s">
        <v>73</v>
      </c>
      <c r="N24" s="4">
        <v>3353</v>
      </c>
    </row>
    <row r="25" spans="1:14" x14ac:dyDescent="0.5">
      <c r="G25" s="3" t="s">
        <v>596</v>
      </c>
      <c r="H25" s="4">
        <v>1934</v>
      </c>
      <c r="J25" s="3" t="s">
        <v>927</v>
      </c>
      <c r="K25" s="4">
        <v>45</v>
      </c>
      <c r="M25" s="3" t="s">
        <v>16</v>
      </c>
      <c r="N25" s="4">
        <v>6516</v>
      </c>
    </row>
    <row r="26" spans="1:14" x14ac:dyDescent="0.5">
      <c r="G26" s="3" t="s">
        <v>597</v>
      </c>
      <c r="H26" s="4">
        <v>1210</v>
      </c>
      <c r="J26" s="3" t="s">
        <v>917</v>
      </c>
      <c r="K26" s="4">
        <v>63</v>
      </c>
      <c r="M26" s="3" t="s">
        <v>13</v>
      </c>
      <c r="N26" s="4">
        <v>1627</v>
      </c>
    </row>
    <row r="27" spans="1:14" x14ac:dyDescent="0.5">
      <c r="B27">
        <f>GETPIVOTDATA("Amount",$A$2)</f>
        <v>437771</v>
      </c>
      <c r="G27" s="3" t="s">
        <v>598</v>
      </c>
      <c r="H27" s="4">
        <v>2262</v>
      </c>
      <c r="J27" s="3" t="s">
        <v>921</v>
      </c>
      <c r="K27" s="4">
        <v>38</v>
      </c>
      <c r="M27" s="3" t="s">
        <v>9</v>
      </c>
      <c r="N27" s="4">
        <v>-644</v>
      </c>
    </row>
    <row r="28" spans="1:14" x14ac:dyDescent="0.5">
      <c r="G28" s="3" t="s">
        <v>599</v>
      </c>
      <c r="H28" s="4">
        <v>1318</v>
      </c>
      <c r="J28" s="3" t="s">
        <v>931</v>
      </c>
      <c r="K28" s="4">
        <v>37</v>
      </c>
      <c r="M28" s="3" t="s">
        <v>131</v>
      </c>
      <c r="N28" s="4">
        <v>-806</v>
      </c>
    </row>
    <row r="29" spans="1:14" x14ac:dyDescent="0.5">
      <c r="G29" s="3" t="s">
        <v>600</v>
      </c>
      <c r="H29" s="4">
        <v>1514</v>
      </c>
      <c r="J29" s="3" t="s">
        <v>929</v>
      </c>
      <c r="K29" s="4">
        <v>201</v>
      </c>
      <c r="M29" s="3" t="s">
        <v>30</v>
      </c>
      <c r="N29" s="4">
        <v>1823</v>
      </c>
    </row>
    <row r="30" spans="1:14" x14ac:dyDescent="0.5">
      <c r="G30" s="3" t="s">
        <v>601</v>
      </c>
      <c r="H30" s="4">
        <v>16</v>
      </c>
      <c r="J30" s="3" t="s">
        <v>922</v>
      </c>
      <c r="K30" s="4">
        <v>62</v>
      </c>
      <c r="M30" s="3" t="s">
        <v>32</v>
      </c>
      <c r="N30" s="4">
        <v>-401</v>
      </c>
    </row>
    <row r="31" spans="1:14" x14ac:dyDescent="0.5">
      <c r="G31" s="3" t="s">
        <v>602</v>
      </c>
      <c r="H31" s="4">
        <v>369</v>
      </c>
      <c r="J31" s="3" t="s">
        <v>934</v>
      </c>
      <c r="K31" s="4">
        <v>12</v>
      </c>
      <c r="M31" s="3" t="s">
        <v>63</v>
      </c>
      <c r="N31" s="4">
        <v>-130</v>
      </c>
    </row>
    <row r="32" spans="1:14" x14ac:dyDescent="0.5">
      <c r="G32" s="3" t="s">
        <v>603</v>
      </c>
      <c r="H32" s="4">
        <v>907</v>
      </c>
      <c r="J32" s="3" t="s">
        <v>914</v>
      </c>
      <c r="K32" s="4">
        <v>98</v>
      </c>
      <c r="M32" s="3" t="s">
        <v>21</v>
      </c>
      <c r="N32" s="4">
        <v>1847</v>
      </c>
    </row>
    <row r="33" spans="7:14" x14ac:dyDescent="0.5">
      <c r="G33" s="3" t="s">
        <v>604</v>
      </c>
      <c r="H33" s="4">
        <v>193</v>
      </c>
      <c r="J33" s="3" t="s">
        <v>925</v>
      </c>
      <c r="K33" s="4">
        <v>29</v>
      </c>
      <c r="M33" s="3" t="s">
        <v>18</v>
      </c>
      <c r="N33" s="4">
        <v>8606</v>
      </c>
    </row>
    <row r="34" spans="7:14" x14ac:dyDescent="0.5">
      <c r="G34" s="3" t="s">
        <v>605</v>
      </c>
      <c r="H34" s="4">
        <v>561</v>
      </c>
      <c r="J34" s="3" t="s">
        <v>932</v>
      </c>
      <c r="K34" s="4">
        <v>25</v>
      </c>
      <c r="M34" s="3" t="s">
        <v>26</v>
      </c>
      <c r="N34" s="4">
        <v>4057</v>
      </c>
    </row>
    <row r="35" spans="7:14" x14ac:dyDescent="0.5">
      <c r="G35" s="3" t="s">
        <v>606</v>
      </c>
      <c r="H35" s="4">
        <v>3537</v>
      </c>
      <c r="J35" s="3" t="s">
        <v>923</v>
      </c>
      <c r="K35" s="4">
        <v>45</v>
      </c>
      <c r="M35" s="3" t="s">
        <v>142</v>
      </c>
      <c r="N35" s="4">
        <v>1513</v>
      </c>
    </row>
    <row r="36" spans="7:14" x14ac:dyDescent="0.5">
      <c r="G36" s="3" t="s">
        <v>607</v>
      </c>
      <c r="H36" s="4">
        <v>1647</v>
      </c>
      <c r="J36" s="3" t="s">
        <v>933</v>
      </c>
      <c r="K36" s="4">
        <v>30</v>
      </c>
      <c r="M36" s="3" t="s">
        <v>43</v>
      </c>
      <c r="N36" s="4">
        <v>-315</v>
      </c>
    </row>
    <row r="37" spans="7:14" x14ac:dyDescent="0.5">
      <c r="G37" s="3" t="s">
        <v>608</v>
      </c>
      <c r="H37" s="4">
        <v>437</v>
      </c>
      <c r="J37" s="3" t="s">
        <v>558</v>
      </c>
      <c r="K37" s="4">
        <v>1500</v>
      </c>
      <c r="M37" s="3" t="s">
        <v>57</v>
      </c>
      <c r="N37" s="4">
        <v>2431</v>
      </c>
    </row>
    <row r="38" spans="7:14" x14ac:dyDescent="0.5">
      <c r="G38" s="3" t="s">
        <v>609</v>
      </c>
      <c r="H38" s="4">
        <v>1063</v>
      </c>
      <c r="M38" s="3" t="s">
        <v>45</v>
      </c>
      <c r="N38" s="4">
        <v>3139</v>
      </c>
    </row>
    <row r="39" spans="7:14" x14ac:dyDescent="0.5">
      <c r="G39" s="3" t="s">
        <v>610</v>
      </c>
      <c r="H39" s="4">
        <v>50</v>
      </c>
      <c r="J39" s="3"/>
      <c r="M39" s="3" t="s">
        <v>24</v>
      </c>
      <c r="N39" s="4">
        <v>2847</v>
      </c>
    </row>
    <row r="40" spans="7:14" x14ac:dyDescent="0.5">
      <c r="G40" s="3" t="s">
        <v>611</v>
      </c>
      <c r="H40" s="4">
        <v>16</v>
      </c>
      <c r="J40" s="3"/>
      <c r="M40" s="3" t="s">
        <v>81</v>
      </c>
      <c r="N40" s="4">
        <v>1500</v>
      </c>
    </row>
    <row r="41" spans="7:14" x14ac:dyDescent="0.5">
      <c r="G41" s="3" t="s">
        <v>612</v>
      </c>
      <c r="H41" s="4">
        <v>1441</v>
      </c>
      <c r="J41" s="3"/>
      <c r="M41" s="3" t="s">
        <v>558</v>
      </c>
      <c r="N41" s="4">
        <v>36963</v>
      </c>
    </row>
    <row r="42" spans="7:14" x14ac:dyDescent="0.5">
      <c r="G42" s="3" t="s">
        <v>613</v>
      </c>
      <c r="H42" s="4">
        <v>4395</v>
      </c>
      <c r="J42" s="3"/>
    </row>
    <row r="43" spans="7:14" x14ac:dyDescent="0.5">
      <c r="G43" s="3" t="s">
        <v>614</v>
      </c>
      <c r="H43" s="4">
        <v>465</v>
      </c>
      <c r="J43" s="3"/>
    </row>
    <row r="44" spans="7:14" x14ac:dyDescent="0.5">
      <c r="G44" s="3" t="s">
        <v>615</v>
      </c>
      <c r="H44" s="4">
        <v>108</v>
      </c>
      <c r="J44" s="3"/>
    </row>
    <row r="45" spans="7:14" x14ac:dyDescent="0.5">
      <c r="G45" s="3" t="s">
        <v>616</v>
      </c>
      <c r="H45" s="4">
        <v>345</v>
      </c>
      <c r="J45" s="3"/>
    </row>
    <row r="46" spans="7:14" x14ac:dyDescent="0.5">
      <c r="G46" s="3" t="s">
        <v>617</v>
      </c>
      <c r="H46" s="4">
        <v>478</v>
      </c>
      <c r="J46" s="3"/>
    </row>
    <row r="47" spans="7:14" x14ac:dyDescent="0.5">
      <c r="G47" s="3" t="s">
        <v>618</v>
      </c>
      <c r="H47" s="4">
        <v>34</v>
      </c>
      <c r="J47" s="3"/>
    </row>
    <row r="48" spans="7:14" x14ac:dyDescent="0.5">
      <c r="G48" s="3" t="s">
        <v>619</v>
      </c>
      <c r="H48" s="4">
        <v>166</v>
      </c>
      <c r="J48" s="3"/>
    </row>
    <row r="49" spans="7:10" x14ac:dyDescent="0.5">
      <c r="G49" s="3" t="s">
        <v>620</v>
      </c>
      <c r="H49" s="4">
        <v>1301</v>
      </c>
      <c r="J49" s="3"/>
    </row>
    <row r="50" spans="7:10" x14ac:dyDescent="0.5">
      <c r="G50" s="3" t="s">
        <v>621</v>
      </c>
      <c r="H50" s="4">
        <v>418</v>
      </c>
      <c r="J50" s="3"/>
    </row>
    <row r="51" spans="7:10" x14ac:dyDescent="0.5">
      <c r="G51" s="3" t="s">
        <v>622</v>
      </c>
      <c r="H51" s="4">
        <v>1298</v>
      </c>
      <c r="J51" s="3"/>
    </row>
    <row r="52" spans="7:10" x14ac:dyDescent="0.5">
      <c r="G52" s="3" t="s">
        <v>623</v>
      </c>
      <c r="H52" s="4">
        <v>85</v>
      </c>
      <c r="J52" s="3"/>
    </row>
    <row r="53" spans="7:10" x14ac:dyDescent="0.5">
      <c r="G53" s="3" t="s">
        <v>624</v>
      </c>
      <c r="H53" s="4">
        <v>149</v>
      </c>
      <c r="J53" s="3"/>
    </row>
    <row r="54" spans="7:10" x14ac:dyDescent="0.5">
      <c r="G54" s="3" t="s">
        <v>625</v>
      </c>
      <c r="H54" s="4">
        <v>459</v>
      </c>
      <c r="J54" s="3"/>
    </row>
    <row r="55" spans="7:10" x14ac:dyDescent="0.5">
      <c r="G55" s="3" t="s">
        <v>626</v>
      </c>
      <c r="H55" s="4">
        <v>172</v>
      </c>
      <c r="J55" s="3"/>
    </row>
    <row r="56" spans="7:10" x14ac:dyDescent="0.5">
      <c r="G56" s="3" t="s">
        <v>627</v>
      </c>
      <c r="H56" s="4">
        <v>22</v>
      </c>
      <c r="J56" s="3"/>
    </row>
    <row r="57" spans="7:10" x14ac:dyDescent="0.5">
      <c r="G57" s="3" t="s">
        <v>628</v>
      </c>
      <c r="H57" s="4">
        <v>11</v>
      </c>
      <c r="J57" s="3"/>
    </row>
    <row r="58" spans="7:10" x14ac:dyDescent="0.5">
      <c r="G58" s="3" t="s">
        <v>629</v>
      </c>
      <c r="H58" s="4">
        <v>965</v>
      </c>
      <c r="J58" s="3"/>
    </row>
    <row r="59" spans="7:10" x14ac:dyDescent="0.5">
      <c r="G59" s="3" t="s">
        <v>630</v>
      </c>
      <c r="H59" s="4">
        <v>2584</v>
      </c>
      <c r="J59" s="3"/>
    </row>
    <row r="60" spans="7:10" x14ac:dyDescent="0.5">
      <c r="G60" s="3" t="s">
        <v>631</v>
      </c>
      <c r="H60" s="4">
        <v>1034</v>
      </c>
      <c r="J60" s="3"/>
    </row>
    <row r="61" spans="7:10" x14ac:dyDescent="0.5">
      <c r="G61" s="3" t="s">
        <v>632</v>
      </c>
      <c r="H61" s="4">
        <v>993</v>
      </c>
      <c r="J61" s="3"/>
    </row>
    <row r="62" spans="7:10" x14ac:dyDescent="0.5">
      <c r="G62" s="3" t="s">
        <v>633</v>
      </c>
      <c r="H62" s="4">
        <v>76</v>
      </c>
      <c r="J62" s="3"/>
    </row>
    <row r="63" spans="7:10" x14ac:dyDescent="0.5">
      <c r="G63" s="3" t="s">
        <v>634</v>
      </c>
      <c r="H63" s="4">
        <v>3511</v>
      </c>
      <c r="J63" s="3"/>
    </row>
    <row r="64" spans="7:10" x14ac:dyDescent="0.5">
      <c r="G64" s="3" t="s">
        <v>635</v>
      </c>
      <c r="H64" s="4">
        <v>425</v>
      </c>
      <c r="J64" s="3"/>
    </row>
    <row r="65" spans="7:10" x14ac:dyDescent="0.5">
      <c r="G65" s="3" t="s">
        <v>636</v>
      </c>
      <c r="H65" s="4">
        <v>715</v>
      </c>
      <c r="J65" s="3"/>
    </row>
    <row r="66" spans="7:10" x14ac:dyDescent="0.5">
      <c r="G66" s="3" t="s">
        <v>637</v>
      </c>
      <c r="H66" s="4">
        <v>1579</v>
      </c>
    </row>
    <row r="67" spans="7:10" x14ac:dyDescent="0.5">
      <c r="G67" s="3" t="s">
        <v>638</v>
      </c>
      <c r="H67" s="4">
        <v>152</v>
      </c>
    </row>
    <row r="68" spans="7:10" x14ac:dyDescent="0.5">
      <c r="G68" s="3" t="s">
        <v>639</v>
      </c>
      <c r="H68" s="4">
        <v>307</v>
      </c>
    </row>
    <row r="69" spans="7:10" x14ac:dyDescent="0.5">
      <c r="G69" s="3" t="s">
        <v>640</v>
      </c>
      <c r="H69" s="4">
        <v>3599</v>
      </c>
    </row>
    <row r="70" spans="7:10" x14ac:dyDescent="0.5">
      <c r="G70" s="3" t="s">
        <v>641</v>
      </c>
      <c r="H70" s="4">
        <v>4907</v>
      </c>
    </row>
    <row r="71" spans="7:10" x14ac:dyDescent="0.5">
      <c r="G71" s="3" t="s">
        <v>642</v>
      </c>
      <c r="H71" s="4">
        <v>282</v>
      </c>
    </row>
    <row r="72" spans="7:10" x14ac:dyDescent="0.5">
      <c r="G72" s="3" t="s">
        <v>643</v>
      </c>
      <c r="H72" s="4">
        <v>71</v>
      </c>
    </row>
    <row r="73" spans="7:10" x14ac:dyDescent="0.5">
      <c r="G73" s="3" t="s">
        <v>644</v>
      </c>
      <c r="H73" s="4">
        <v>761</v>
      </c>
    </row>
    <row r="74" spans="7:10" x14ac:dyDescent="0.5">
      <c r="G74" s="3" t="s">
        <v>645</v>
      </c>
      <c r="H74" s="4">
        <v>2390</v>
      </c>
    </row>
    <row r="75" spans="7:10" x14ac:dyDescent="0.5">
      <c r="G75" s="3" t="s">
        <v>646</v>
      </c>
      <c r="H75" s="4">
        <v>768</v>
      </c>
    </row>
    <row r="76" spans="7:10" x14ac:dyDescent="0.5">
      <c r="G76" s="3" t="s">
        <v>647</v>
      </c>
      <c r="H76" s="4">
        <v>166</v>
      </c>
    </row>
    <row r="77" spans="7:10" x14ac:dyDescent="0.5">
      <c r="G77" s="3" t="s">
        <v>648</v>
      </c>
      <c r="H77" s="4">
        <v>497</v>
      </c>
    </row>
    <row r="78" spans="7:10" x14ac:dyDescent="0.5">
      <c r="G78" s="3" t="s">
        <v>649</v>
      </c>
      <c r="H78" s="4">
        <v>724</v>
      </c>
    </row>
    <row r="79" spans="7:10" x14ac:dyDescent="0.5">
      <c r="G79" s="3" t="s">
        <v>650</v>
      </c>
      <c r="H79" s="4">
        <v>3192</v>
      </c>
    </row>
    <row r="80" spans="7:10" x14ac:dyDescent="0.5">
      <c r="G80" s="3" t="s">
        <v>651</v>
      </c>
      <c r="H80" s="4">
        <v>133</v>
      </c>
    </row>
    <row r="81" spans="7:8" x14ac:dyDescent="0.5">
      <c r="G81" s="3" t="s">
        <v>652</v>
      </c>
      <c r="H81" s="4">
        <v>1430</v>
      </c>
    </row>
    <row r="82" spans="7:8" x14ac:dyDescent="0.5">
      <c r="G82" s="3" t="s">
        <v>653</v>
      </c>
      <c r="H82" s="4">
        <v>1013</v>
      </c>
    </row>
    <row r="83" spans="7:8" x14ac:dyDescent="0.5">
      <c r="G83" s="3" t="s">
        <v>654</v>
      </c>
      <c r="H83" s="4">
        <v>373</v>
      </c>
    </row>
    <row r="84" spans="7:8" x14ac:dyDescent="0.5">
      <c r="G84" s="3" t="s">
        <v>655</v>
      </c>
      <c r="H84" s="4">
        <v>632</v>
      </c>
    </row>
    <row r="85" spans="7:8" x14ac:dyDescent="0.5">
      <c r="G85" s="3" t="s">
        <v>656</v>
      </c>
      <c r="H85" s="4">
        <v>119</v>
      </c>
    </row>
    <row r="86" spans="7:8" x14ac:dyDescent="0.5">
      <c r="G86" s="3" t="s">
        <v>657</v>
      </c>
      <c r="H86" s="4">
        <v>96</v>
      </c>
    </row>
    <row r="87" spans="7:8" x14ac:dyDescent="0.5">
      <c r="G87" s="3" t="s">
        <v>658</v>
      </c>
      <c r="H87" s="4">
        <v>12</v>
      </c>
    </row>
    <row r="88" spans="7:8" x14ac:dyDescent="0.5">
      <c r="G88" s="3" t="s">
        <v>659</v>
      </c>
      <c r="H88" s="4">
        <v>57</v>
      </c>
    </row>
    <row r="89" spans="7:8" x14ac:dyDescent="0.5">
      <c r="G89" s="3" t="s">
        <v>660</v>
      </c>
      <c r="H89" s="4">
        <v>968</v>
      </c>
    </row>
    <row r="90" spans="7:8" x14ac:dyDescent="0.5">
      <c r="G90" s="3" t="s">
        <v>661</v>
      </c>
      <c r="H90" s="4">
        <v>367</v>
      </c>
    </row>
    <row r="91" spans="7:8" x14ac:dyDescent="0.5">
      <c r="G91" s="3" t="s">
        <v>662</v>
      </c>
      <c r="H91" s="4">
        <v>465</v>
      </c>
    </row>
    <row r="92" spans="7:8" x14ac:dyDescent="0.5">
      <c r="G92" s="3" t="s">
        <v>663</v>
      </c>
      <c r="H92" s="4">
        <v>248</v>
      </c>
    </row>
    <row r="93" spans="7:8" x14ac:dyDescent="0.5">
      <c r="G93" s="3" t="s">
        <v>664</v>
      </c>
      <c r="H93" s="4">
        <v>1757</v>
      </c>
    </row>
    <row r="94" spans="7:8" x14ac:dyDescent="0.5">
      <c r="G94" s="3" t="s">
        <v>665</v>
      </c>
      <c r="H94" s="4">
        <v>2342</v>
      </c>
    </row>
    <row r="95" spans="7:8" x14ac:dyDescent="0.5">
      <c r="G95" s="3" t="s">
        <v>666</v>
      </c>
      <c r="H95" s="4">
        <v>50</v>
      </c>
    </row>
    <row r="96" spans="7:8" x14ac:dyDescent="0.5">
      <c r="G96" s="3" t="s">
        <v>667</v>
      </c>
      <c r="H96" s="4">
        <v>694</v>
      </c>
    </row>
    <row r="97" spans="7:8" x14ac:dyDescent="0.5">
      <c r="G97" s="3" t="s">
        <v>668</v>
      </c>
      <c r="H97" s="4">
        <v>4675</v>
      </c>
    </row>
    <row r="98" spans="7:8" x14ac:dyDescent="0.5">
      <c r="G98" s="3" t="s">
        <v>669</v>
      </c>
      <c r="H98" s="4">
        <v>3529</v>
      </c>
    </row>
    <row r="99" spans="7:8" x14ac:dyDescent="0.5">
      <c r="G99" s="3" t="s">
        <v>670</v>
      </c>
      <c r="H99" s="4">
        <v>103</v>
      </c>
    </row>
    <row r="100" spans="7:8" x14ac:dyDescent="0.5">
      <c r="G100" s="3" t="s">
        <v>671</v>
      </c>
      <c r="H100" s="4">
        <v>381</v>
      </c>
    </row>
    <row r="101" spans="7:8" x14ac:dyDescent="0.5">
      <c r="G101" s="3" t="s">
        <v>672</v>
      </c>
      <c r="H101" s="4">
        <v>1678</v>
      </c>
    </row>
    <row r="102" spans="7:8" x14ac:dyDescent="0.5">
      <c r="G102" s="3" t="s">
        <v>673</v>
      </c>
      <c r="H102" s="4">
        <v>4836</v>
      </c>
    </row>
    <row r="103" spans="7:8" x14ac:dyDescent="0.5">
      <c r="G103" s="3" t="s">
        <v>674</v>
      </c>
      <c r="H103" s="4">
        <v>118</v>
      </c>
    </row>
    <row r="104" spans="7:8" x14ac:dyDescent="0.5">
      <c r="G104" s="3" t="s">
        <v>675</v>
      </c>
      <c r="H104" s="4">
        <v>31</v>
      </c>
    </row>
    <row r="105" spans="7:8" x14ac:dyDescent="0.5">
      <c r="G105" s="3" t="s">
        <v>676</v>
      </c>
      <c r="H105" s="4">
        <v>9902</v>
      </c>
    </row>
    <row r="106" spans="7:8" x14ac:dyDescent="0.5">
      <c r="G106" s="3" t="s">
        <v>677</v>
      </c>
      <c r="H106" s="4">
        <v>1593</v>
      </c>
    </row>
    <row r="107" spans="7:8" x14ac:dyDescent="0.5">
      <c r="G107" s="3" t="s">
        <v>678</v>
      </c>
      <c r="H107" s="4">
        <v>504</v>
      </c>
    </row>
    <row r="108" spans="7:8" x14ac:dyDescent="0.5">
      <c r="G108" s="3" t="s">
        <v>679</v>
      </c>
      <c r="H108" s="4">
        <v>944</v>
      </c>
    </row>
    <row r="109" spans="7:8" x14ac:dyDescent="0.5">
      <c r="G109" s="3" t="s">
        <v>680</v>
      </c>
      <c r="H109" s="4">
        <v>13</v>
      </c>
    </row>
    <row r="110" spans="7:8" x14ac:dyDescent="0.5">
      <c r="G110" s="3" t="s">
        <v>681</v>
      </c>
      <c r="H110" s="4">
        <v>1643</v>
      </c>
    </row>
    <row r="111" spans="7:8" x14ac:dyDescent="0.5">
      <c r="G111" s="3" t="s">
        <v>682</v>
      </c>
      <c r="H111" s="4">
        <v>3548</v>
      </c>
    </row>
    <row r="112" spans="7:8" x14ac:dyDescent="0.5">
      <c r="G112" s="3" t="s">
        <v>683</v>
      </c>
      <c r="H112" s="4">
        <v>1160</v>
      </c>
    </row>
    <row r="113" spans="7:8" x14ac:dyDescent="0.5">
      <c r="G113" s="3" t="s">
        <v>684</v>
      </c>
      <c r="H113" s="4">
        <v>911</v>
      </c>
    </row>
    <row r="114" spans="7:8" x14ac:dyDescent="0.5">
      <c r="G114" s="3" t="s">
        <v>685</v>
      </c>
      <c r="H114" s="4">
        <v>48</v>
      </c>
    </row>
    <row r="115" spans="7:8" x14ac:dyDescent="0.5">
      <c r="G115" s="3" t="s">
        <v>686</v>
      </c>
      <c r="H115" s="4">
        <v>188</v>
      </c>
    </row>
    <row r="116" spans="7:8" x14ac:dyDescent="0.5">
      <c r="G116" s="3" t="s">
        <v>687</v>
      </c>
      <c r="H116" s="4">
        <v>3003</v>
      </c>
    </row>
    <row r="117" spans="7:8" x14ac:dyDescent="0.5">
      <c r="G117" s="3" t="s">
        <v>688</v>
      </c>
      <c r="H117" s="4">
        <v>3007</v>
      </c>
    </row>
    <row r="118" spans="7:8" x14ac:dyDescent="0.5">
      <c r="G118" s="3" t="s">
        <v>689</v>
      </c>
      <c r="H118" s="4">
        <v>177</v>
      </c>
    </row>
    <row r="119" spans="7:8" x14ac:dyDescent="0.5">
      <c r="G119" s="3" t="s">
        <v>690</v>
      </c>
      <c r="H119" s="4">
        <v>3574</v>
      </c>
    </row>
    <row r="120" spans="7:8" x14ac:dyDescent="0.5">
      <c r="G120" s="3" t="s">
        <v>691</v>
      </c>
      <c r="H120" s="4">
        <v>100</v>
      </c>
    </row>
    <row r="121" spans="7:8" x14ac:dyDescent="0.5">
      <c r="G121" s="3" t="s">
        <v>692</v>
      </c>
      <c r="H121" s="4">
        <v>30</v>
      </c>
    </row>
    <row r="122" spans="7:8" x14ac:dyDescent="0.5">
      <c r="G122" s="3" t="s">
        <v>693</v>
      </c>
      <c r="H122" s="4">
        <v>1782</v>
      </c>
    </row>
    <row r="123" spans="7:8" x14ac:dyDescent="0.5">
      <c r="G123" s="3" t="s">
        <v>694</v>
      </c>
      <c r="H123" s="4">
        <v>115</v>
      </c>
    </row>
    <row r="124" spans="7:8" x14ac:dyDescent="0.5">
      <c r="G124" s="3" t="s">
        <v>695</v>
      </c>
      <c r="H124" s="4">
        <v>1414</v>
      </c>
    </row>
    <row r="125" spans="7:8" x14ac:dyDescent="0.5">
      <c r="G125" s="3" t="s">
        <v>696</v>
      </c>
      <c r="H125" s="4">
        <v>336</v>
      </c>
    </row>
    <row r="126" spans="7:8" x14ac:dyDescent="0.5">
      <c r="G126" s="3" t="s">
        <v>697</v>
      </c>
      <c r="H126" s="4">
        <v>889</v>
      </c>
    </row>
    <row r="127" spans="7:8" x14ac:dyDescent="0.5">
      <c r="G127" s="3" t="s">
        <v>698</v>
      </c>
      <c r="H127" s="4">
        <v>484</v>
      </c>
    </row>
    <row r="128" spans="7:8" x14ac:dyDescent="0.5">
      <c r="G128" s="3" t="s">
        <v>699</v>
      </c>
      <c r="H128" s="4">
        <v>699</v>
      </c>
    </row>
    <row r="129" spans="7:8" x14ac:dyDescent="0.5">
      <c r="G129" s="3" t="s">
        <v>700</v>
      </c>
      <c r="H129" s="4">
        <v>244</v>
      </c>
    </row>
    <row r="130" spans="7:8" x14ac:dyDescent="0.5">
      <c r="G130" s="3" t="s">
        <v>701</v>
      </c>
      <c r="H130" s="4">
        <v>2308</v>
      </c>
    </row>
    <row r="131" spans="7:8" x14ac:dyDescent="0.5">
      <c r="G131" s="3" t="s">
        <v>702</v>
      </c>
      <c r="H131" s="4">
        <v>890</v>
      </c>
    </row>
    <row r="132" spans="7:8" x14ac:dyDescent="0.5">
      <c r="G132" s="3" t="s">
        <v>703</v>
      </c>
      <c r="H132" s="4">
        <v>958</v>
      </c>
    </row>
    <row r="133" spans="7:8" x14ac:dyDescent="0.5">
      <c r="G133" s="3" t="s">
        <v>704</v>
      </c>
      <c r="H133" s="4">
        <v>490</v>
      </c>
    </row>
    <row r="134" spans="7:8" x14ac:dyDescent="0.5">
      <c r="G134" s="3" t="s">
        <v>705</v>
      </c>
      <c r="H134" s="4">
        <v>3216</v>
      </c>
    </row>
    <row r="135" spans="7:8" x14ac:dyDescent="0.5">
      <c r="G135" s="3" t="s">
        <v>706</v>
      </c>
      <c r="H135" s="4">
        <v>1013</v>
      </c>
    </row>
    <row r="136" spans="7:8" x14ac:dyDescent="0.5">
      <c r="G136" s="3" t="s">
        <v>707</v>
      </c>
      <c r="H136" s="4">
        <v>531</v>
      </c>
    </row>
    <row r="137" spans="7:8" x14ac:dyDescent="0.5">
      <c r="G137" s="3" t="s">
        <v>708</v>
      </c>
      <c r="H137" s="4">
        <v>145</v>
      </c>
    </row>
    <row r="138" spans="7:8" x14ac:dyDescent="0.5">
      <c r="G138" s="3" t="s">
        <v>709</v>
      </c>
      <c r="H138" s="4">
        <v>124</v>
      </c>
    </row>
    <row r="139" spans="7:8" x14ac:dyDescent="0.5">
      <c r="G139" s="3" t="s">
        <v>710</v>
      </c>
      <c r="H139" s="4">
        <v>3112</v>
      </c>
    </row>
    <row r="140" spans="7:8" x14ac:dyDescent="0.5">
      <c r="G140" s="3" t="s">
        <v>711</v>
      </c>
      <c r="H140" s="4">
        <v>259</v>
      </c>
    </row>
    <row r="141" spans="7:8" x14ac:dyDescent="0.5">
      <c r="G141" s="3" t="s">
        <v>712</v>
      </c>
      <c r="H141" s="4">
        <v>1383</v>
      </c>
    </row>
    <row r="142" spans="7:8" x14ac:dyDescent="0.5">
      <c r="G142" s="3" t="s">
        <v>713</v>
      </c>
      <c r="H142" s="4">
        <v>5809</v>
      </c>
    </row>
    <row r="143" spans="7:8" x14ac:dyDescent="0.5">
      <c r="G143" s="3" t="s">
        <v>714</v>
      </c>
      <c r="H143" s="4">
        <v>1729</v>
      </c>
    </row>
    <row r="144" spans="7:8" x14ac:dyDescent="0.5">
      <c r="G144" s="3" t="s">
        <v>715</v>
      </c>
      <c r="H144" s="4">
        <v>7766</v>
      </c>
    </row>
    <row r="145" spans="7:8" x14ac:dyDescent="0.5">
      <c r="G145" s="3" t="s">
        <v>716</v>
      </c>
      <c r="H145" s="4">
        <v>9365</v>
      </c>
    </row>
    <row r="146" spans="7:8" x14ac:dyDescent="0.5">
      <c r="G146" s="3" t="s">
        <v>717</v>
      </c>
      <c r="H146" s="4">
        <v>1549</v>
      </c>
    </row>
    <row r="147" spans="7:8" x14ac:dyDescent="0.5">
      <c r="G147" s="3" t="s">
        <v>718</v>
      </c>
      <c r="H147" s="4">
        <v>2223</v>
      </c>
    </row>
    <row r="148" spans="7:8" x14ac:dyDescent="0.5">
      <c r="G148" s="3" t="s">
        <v>719</v>
      </c>
      <c r="H148" s="4">
        <v>174</v>
      </c>
    </row>
    <row r="149" spans="7:8" x14ac:dyDescent="0.5">
      <c r="G149" s="3" t="s">
        <v>720</v>
      </c>
      <c r="H149" s="4">
        <v>391</v>
      </c>
    </row>
    <row r="150" spans="7:8" x14ac:dyDescent="0.5">
      <c r="G150" s="3" t="s">
        <v>721</v>
      </c>
      <c r="H150" s="4">
        <v>189</v>
      </c>
    </row>
    <row r="151" spans="7:8" x14ac:dyDescent="0.5">
      <c r="G151" s="3" t="s">
        <v>722</v>
      </c>
      <c r="H151" s="4">
        <v>55</v>
      </c>
    </row>
    <row r="152" spans="7:8" x14ac:dyDescent="0.5">
      <c r="G152" s="3" t="s">
        <v>723</v>
      </c>
      <c r="H152" s="4">
        <v>662</v>
      </c>
    </row>
    <row r="153" spans="7:8" x14ac:dyDescent="0.5">
      <c r="G153" s="3" t="s">
        <v>724</v>
      </c>
      <c r="H153" s="4">
        <v>387</v>
      </c>
    </row>
    <row r="154" spans="7:8" x14ac:dyDescent="0.5">
      <c r="G154" s="3" t="s">
        <v>725</v>
      </c>
      <c r="H154" s="4">
        <v>2084</v>
      </c>
    </row>
    <row r="155" spans="7:8" x14ac:dyDescent="0.5">
      <c r="G155" s="3" t="s">
        <v>726</v>
      </c>
      <c r="H155" s="4">
        <v>844</v>
      </c>
    </row>
    <row r="156" spans="7:8" x14ac:dyDescent="0.5">
      <c r="G156" s="3" t="s">
        <v>727</v>
      </c>
      <c r="H156" s="4">
        <v>291</v>
      </c>
    </row>
    <row r="157" spans="7:8" x14ac:dyDescent="0.5">
      <c r="G157" s="3" t="s">
        <v>728</v>
      </c>
      <c r="H157" s="4">
        <v>121</v>
      </c>
    </row>
    <row r="158" spans="7:8" x14ac:dyDescent="0.5">
      <c r="G158" s="3" t="s">
        <v>729</v>
      </c>
      <c r="H158" s="4">
        <v>1629</v>
      </c>
    </row>
    <row r="159" spans="7:8" x14ac:dyDescent="0.5">
      <c r="G159" s="3" t="s">
        <v>730</v>
      </c>
      <c r="H159" s="4">
        <v>1057</v>
      </c>
    </row>
    <row r="160" spans="7:8" x14ac:dyDescent="0.5">
      <c r="G160" s="3" t="s">
        <v>731</v>
      </c>
      <c r="H160" s="4">
        <v>139</v>
      </c>
    </row>
    <row r="161" spans="7:8" x14ac:dyDescent="0.5">
      <c r="G161" s="3" t="s">
        <v>732</v>
      </c>
      <c r="H161" s="4">
        <v>1133</v>
      </c>
    </row>
    <row r="162" spans="7:8" x14ac:dyDescent="0.5">
      <c r="G162" s="3" t="s">
        <v>733</v>
      </c>
      <c r="H162" s="4">
        <v>1076</v>
      </c>
    </row>
    <row r="163" spans="7:8" x14ac:dyDescent="0.5">
      <c r="G163" s="3" t="s">
        <v>734</v>
      </c>
      <c r="H163" s="4">
        <v>3673</v>
      </c>
    </row>
    <row r="164" spans="7:8" x14ac:dyDescent="0.5">
      <c r="G164" s="3" t="s">
        <v>735</v>
      </c>
      <c r="H164" s="4">
        <v>1397</v>
      </c>
    </row>
    <row r="165" spans="7:8" x14ac:dyDescent="0.5">
      <c r="G165" s="3" t="s">
        <v>736</v>
      </c>
      <c r="H165" s="4">
        <v>587</v>
      </c>
    </row>
    <row r="166" spans="7:8" x14ac:dyDescent="0.5">
      <c r="G166" s="3" t="s">
        <v>737</v>
      </c>
      <c r="H166" s="4">
        <v>1246</v>
      </c>
    </row>
    <row r="167" spans="7:8" x14ac:dyDescent="0.5">
      <c r="G167" s="3" t="s">
        <v>738</v>
      </c>
      <c r="H167" s="4">
        <v>234</v>
      </c>
    </row>
    <row r="168" spans="7:8" x14ac:dyDescent="0.5">
      <c r="G168" s="3" t="s">
        <v>739</v>
      </c>
      <c r="H168" s="4">
        <v>47</v>
      </c>
    </row>
    <row r="169" spans="7:8" x14ac:dyDescent="0.5">
      <c r="G169" s="3" t="s">
        <v>740</v>
      </c>
      <c r="H169" s="4">
        <v>1895</v>
      </c>
    </row>
    <row r="170" spans="7:8" x14ac:dyDescent="0.5">
      <c r="G170" s="3" t="s">
        <v>741</v>
      </c>
      <c r="H170" s="4">
        <v>582</v>
      </c>
    </row>
    <row r="171" spans="7:8" x14ac:dyDescent="0.5">
      <c r="G171" s="3" t="s">
        <v>742</v>
      </c>
      <c r="H171" s="4">
        <v>71</v>
      </c>
    </row>
    <row r="172" spans="7:8" x14ac:dyDescent="0.5">
      <c r="G172" s="3" t="s">
        <v>743</v>
      </c>
      <c r="H172" s="4">
        <v>2101</v>
      </c>
    </row>
    <row r="173" spans="7:8" x14ac:dyDescent="0.5">
      <c r="G173" s="3" t="s">
        <v>744</v>
      </c>
      <c r="H173" s="4">
        <v>152</v>
      </c>
    </row>
    <row r="174" spans="7:8" x14ac:dyDescent="0.5">
      <c r="G174" s="3" t="s">
        <v>745</v>
      </c>
      <c r="H174" s="4">
        <v>2268</v>
      </c>
    </row>
    <row r="175" spans="7:8" x14ac:dyDescent="0.5">
      <c r="G175" s="3" t="s">
        <v>746</v>
      </c>
      <c r="H175" s="4">
        <v>30</v>
      </c>
    </row>
    <row r="176" spans="7:8" x14ac:dyDescent="0.5">
      <c r="G176" s="3" t="s">
        <v>747</v>
      </c>
      <c r="H176" s="4">
        <v>309</v>
      </c>
    </row>
    <row r="177" spans="7:8" x14ac:dyDescent="0.5">
      <c r="G177" s="3" t="s">
        <v>748</v>
      </c>
      <c r="H177" s="4">
        <v>482</v>
      </c>
    </row>
    <row r="178" spans="7:8" x14ac:dyDescent="0.5">
      <c r="G178" s="3" t="s">
        <v>749</v>
      </c>
      <c r="H178" s="4">
        <v>3350</v>
      </c>
    </row>
    <row r="179" spans="7:8" x14ac:dyDescent="0.5">
      <c r="G179" s="3" t="s">
        <v>750</v>
      </c>
      <c r="H179" s="4">
        <v>1201</v>
      </c>
    </row>
    <row r="180" spans="7:8" x14ac:dyDescent="0.5">
      <c r="G180" s="3" t="s">
        <v>751</v>
      </c>
      <c r="H180" s="4">
        <v>1329</v>
      </c>
    </row>
    <row r="181" spans="7:8" x14ac:dyDescent="0.5">
      <c r="G181" s="3" t="s">
        <v>752</v>
      </c>
      <c r="H181" s="4">
        <v>61</v>
      </c>
    </row>
    <row r="182" spans="7:8" x14ac:dyDescent="0.5">
      <c r="G182" s="3" t="s">
        <v>753</v>
      </c>
      <c r="H182" s="4">
        <v>902</v>
      </c>
    </row>
    <row r="183" spans="7:8" x14ac:dyDescent="0.5">
      <c r="G183" s="3" t="s">
        <v>754</v>
      </c>
      <c r="H183" s="4">
        <v>79</v>
      </c>
    </row>
    <row r="184" spans="7:8" x14ac:dyDescent="0.5">
      <c r="G184" s="3" t="s">
        <v>755</v>
      </c>
      <c r="H184" s="4">
        <v>1136</v>
      </c>
    </row>
    <row r="185" spans="7:8" x14ac:dyDescent="0.5">
      <c r="G185" s="3" t="s">
        <v>756</v>
      </c>
      <c r="H185" s="4">
        <v>669</v>
      </c>
    </row>
    <row r="186" spans="7:8" x14ac:dyDescent="0.5">
      <c r="G186" s="3" t="s">
        <v>757</v>
      </c>
      <c r="H186" s="4">
        <v>420</v>
      </c>
    </row>
    <row r="187" spans="7:8" x14ac:dyDescent="0.5">
      <c r="G187" s="3" t="s">
        <v>758</v>
      </c>
      <c r="H187" s="4">
        <v>1607</v>
      </c>
    </row>
    <row r="188" spans="7:8" x14ac:dyDescent="0.5">
      <c r="G188" s="3" t="s">
        <v>759</v>
      </c>
      <c r="H188" s="4">
        <v>58</v>
      </c>
    </row>
    <row r="189" spans="7:8" x14ac:dyDescent="0.5">
      <c r="G189" s="3" t="s">
        <v>760</v>
      </c>
      <c r="H189" s="4">
        <v>1619</v>
      </c>
    </row>
    <row r="190" spans="7:8" x14ac:dyDescent="0.5">
      <c r="G190" s="3" t="s">
        <v>761</v>
      </c>
      <c r="H190" s="4">
        <v>196</v>
      </c>
    </row>
    <row r="191" spans="7:8" x14ac:dyDescent="0.5">
      <c r="G191" s="3" t="s">
        <v>762</v>
      </c>
      <c r="H191" s="4">
        <v>1904</v>
      </c>
    </row>
    <row r="192" spans="7:8" x14ac:dyDescent="0.5">
      <c r="G192" s="3" t="s">
        <v>763</v>
      </c>
      <c r="H192" s="4">
        <v>263</v>
      </c>
    </row>
    <row r="193" spans="7:8" x14ac:dyDescent="0.5">
      <c r="G193" s="3" t="s">
        <v>764</v>
      </c>
      <c r="H193" s="4">
        <v>86</v>
      </c>
    </row>
    <row r="194" spans="7:8" x14ac:dyDescent="0.5">
      <c r="G194" s="3" t="s">
        <v>765</v>
      </c>
      <c r="H194" s="4">
        <v>3651</v>
      </c>
    </row>
    <row r="195" spans="7:8" x14ac:dyDescent="0.5">
      <c r="G195" s="3" t="s">
        <v>766</v>
      </c>
      <c r="H195" s="4">
        <v>1404</v>
      </c>
    </row>
    <row r="196" spans="7:8" x14ac:dyDescent="0.5">
      <c r="G196" s="3" t="s">
        <v>767</v>
      </c>
      <c r="H196" s="4">
        <v>4741</v>
      </c>
    </row>
    <row r="197" spans="7:8" x14ac:dyDescent="0.5">
      <c r="G197" s="3" t="s">
        <v>768</v>
      </c>
      <c r="H197" s="4">
        <v>975</v>
      </c>
    </row>
    <row r="198" spans="7:8" x14ac:dyDescent="0.5">
      <c r="G198" s="3" t="s">
        <v>769</v>
      </c>
      <c r="H198" s="4">
        <v>87</v>
      </c>
    </row>
    <row r="199" spans="7:8" x14ac:dyDescent="0.5">
      <c r="G199" s="3" t="s">
        <v>770</v>
      </c>
      <c r="H199" s="4">
        <v>811</v>
      </c>
    </row>
    <row r="200" spans="7:8" x14ac:dyDescent="0.5">
      <c r="G200" s="3" t="s">
        <v>771</v>
      </c>
      <c r="H200" s="4">
        <v>5161</v>
      </c>
    </row>
    <row r="201" spans="7:8" x14ac:dyDescent="0.5">
      <c r="G201" s="3" t="s">
        <v>772</v>
      </c>
      <c r="H201" s="4">
        <v>220</v>
      </c>
    </row>
    <row r="202" spans="7:8" x14ac:dyDescent="0.5">
      <c r="G202" s="3" t="s">
        <v>773</v>
      </c>
      <c r="H202" s="4">
        <v>233</v>
      </c>
    </row>
    <row r="203" spans="7:8" x14ac:dyDescent="0.5">
      <c r="G203" s="3" t="s">
        <v>774</v>
      </c>
      <c r="H203" s="4">
        <v>40</v>
      </c>
    </row>
    <row r="204" spans="7:8" x14ac:dyDescent="0.5">
      <c r="G204" s="3" t="s">
        <v>775</v>
      </c>
      <c r="H204" s="4">
        <v>3160</v>
      </c>
    </row>
    <row r="205" spans="7:8" x14ac:dyDescent="0.5">
      <c r="G205" s="3" t="s">
        <v>776</v>
      </c>
      <c r="H205" s="4">
        <v>610</v>
      </c>
    </row>
    <row r="206" spans="7:8" x14ac:dyDescent="0.5">
      <c r="G206" s="3" t="s">
        <v>777</v>
      </c>
      <c r="H206" s="4">
        <v>193</v>
      </c>
    </row>
    <row r="207" spans="7:8" x14ac:dyDescent="0.5">
      <c r="G207" s="3" t="s">
        <v>778</v>
      </c>
      <c r="H207" s="4">
        <v>3416</v>
      </c>
    </row>
    <row r="208" spans="7:8" x14ac:dyDescent="0.5">
      <c r="G208" s="3" t="s">
        <v>779</v>
      </c>
      <c r="H208" s="4">
        <v>2286</v>
      </c>
    </row>
    <row r="209" spans="7:8" x14ac:dyDescent="0.5">
      <c r="G209" s="3" t="s">
        <v>780</v>
      </c>
      <c r="H209" s="4">
        <v>179</v>
      </c>
    </row>
    <row r="210" spans="7:8" x14ac:dyDescent="0.5">
      <c r="G210" s="3" t="s">
        <v>781</v>
      </c>
      <c r="H210" s="4">
        <v>148</v>
      </c>
    </row>
    <row r="211" spans="7:8" x14ac:dyDescent="0.5">
      <c r="G211" s="3" t="s">
        <v>782</v>
      </c>
      <c r="H211" s="4">
        <v>1493</v>
      </c>
    </row>
    <row r="212" spans="7:8" x14ac:dyDescent="0.5">
      <c r="G212" s="3" t="s">
        <v>783</v>
      </c>
      <c r="H212" s="4">
        <v>743</v>
      </c>
    </row>
    <row r="213" spans="7:8" x14ac:dyDescent="0.5">
      <c r="G213" s="3" t="s">
        <v>784</v>
      </c>
      <c r="H213" s="4">
        <v>1250</v>
      </c>
    </row>
    <row r="214" spans="7:8" x14ac:dyDescent="0.5">
      <c r="G214" s="3" t="s">
        <v>785</v>
      </c>
      <c r="H214" s="4">
        <v>1165</v>
      </c>
    </row>
    <row r="215" spans="7:8" x14ac:dyDescent="0.5">
      <c r="G215" s="3" t="s">
        <v>786</v>
      </c>
      <c r="H215" s="4">
        <v>53</v>
      </c>
    </row>
    <row r="216" spans="7:8" x14ac:dyDescent="0.5">
      <c r="G216" s="3" t="s">
        <v>787</v>
      </c>
      <c r="H216" s="4">
        <v>1570</v>
      </c>
    </row>
    <row r="217" spans="7:8" x14ac:dyDescent="0.5">
      <c r="G217" s="3" t="s">
        <v>788</v>
      </c>
      <c r="H217" s="4">
        <v>102</v>
      </c>
    </row>
    <row r="218" spans="7:8" x14ac:dyDescent="0.5">
      <c r="G218" s="3" t="s">
        <v>789</v>
      </c>
      <c r="H218" s="4">
        <v>5762</v>
      </c>
    </row>
    <row r="219" spans="7:8" x14ac:dyDescent="0.5">
      <c r="G219" s="3" t="s">
        <v>790</v>
      </c>
      <c r="H219" s="4">
        <v>1392</v>
      </c>
    </row>
    <row r="220" spans="7:8" x14ac:dyDescent="0.5">
      <c r="G220" s="3" t="s">
        <v>791</v>
      </c>
      <c r="H220" s="4">
        <v>47</v>
      </c>
    </row>
    <row r="221" spans="7:8" x14ac:dyDescent="0.5">
      <c r="G221" s="3" t="s">
        <v>792</v>
      </c>
      <c r="H221" s="4">
        <v>105</v>
      </c>
    </row>
    <row r="222" spans="7:8" x14ac:dyDescent="0.5">
      <c r="G222" s="3" t="s">
        <v>793</v>
      </c>
      <c r="H222" s="4">
        <v>158</v>
      </c>
    </row>
    <row r="223" spans="7:8" x14ac:dyDescent="0.5">
      <c r="G223" s="3" t="s">
        <v>794</v>
      </c>
      <c r="H223" s="4">
        <v>471</v>
      </c>
    </row>
    <row r="224" spans="7:8" x14ac:dyDescent="0.5">
      <c r="G224" s="3" t="s">
        <v>795</v>
      </c>
      <c r="H224" s="4">
        <v>105</v>
      </c>
    </row>
    <row r="225" spans="7:8" x14ac:dyDescent="0.5">
      <c r="G225" s="3" t="s">
        <v>796</v>
      </c>
      <c r="H225" s="4">
        <v>170</v>
      </c>
    </row>
    <row r="226" spans="7:8" x14ac:dyDescent="0.5">
      <c r="G226" s="3" t="s">
        <v>797</v>
      </c>
      <c r="H226" s="4">
        <v>1544</v>
      </c>
    </row>
    <row r="227" spans="7:8" x14ac:dyDescent="0.5">
      <c r="G227" s="3" t="s">
        <v>798</v>
      </c>
      <c r="H227" s="4">
        <v>2002</v>
      </c>
    </row>
    <row r="228" spans="7:8" x14ac:dyDescent="0.5">
      <c r="G228" s="3" t="s">
        <v>799</v>
      </c>
      <c r="H228" s="4">
        <v>265</v>
      </c>
    </row>
    <row r="229" spans="7:8" x14ac:dyDescent="0.5">
      <c r="G229" s="3" t="s">
        <v>800</v>
      </c>
      <c r="H229" s="4">
        <v>228</v>
      </c>
    </row>
    <row r="230" spans="7:8" x14ac:dyDescent="0.5">
      <c r="G230" s="3" t="s">
        <v>801</v>
      </c>
      <c r="H230" s="4">
        <v>4901</v>
      </c>
    </row>
    <row r="231" spans="7:8" x14ac:dyDescent="0.5">
      <c r="G231" s="3" t="s">
        <v>802</v>
      </c>
      <c r="H231" s="4">
        <v>15</v>
      </c>
    </row>
    <row r="232" spans="7:8" x14ac:dyDescent="0.5">
      <c r="G232" s="3" t="s">
        <v>803</v>
      </c>
      <c r="H232" s="4">
        <v>1511</v>
      </c>
    </row>
    <row r="233" spans="7:8" x14ac:dyDescent="0.5">
      <c r="G233" s="3" t="s">
        <v>804</v>
      </c>
      <c r="H233" s="4">
        <v>1384</v>
      </c>
    </row>
    <row r="234" spans="7:8" x14ac:dyDescent="0.5">
      <c r="G234" s="3" t="s">
        <v>805</v>
      </c>
      <c r="H234" s="4">
        <v>439</v>
      </c>
    </row>
    <row r="235" spans="7:8" x14ac:dyDescent="0.5">
      <c r="G235" s="3" t="s">
        <v>806</v>
      </c>
      <c r="H235" s="4">
        <v>1490</v>
      </c>
    </row>
    <row r="236" spans="7:8" x14ac:dyDescent="0.5">
      <c r="G236" s="3" t="s">
        <v>807</v>
      </c>
      <c r="H236" s="4">
        <v>42</v>
      </c>
    </row>
    <row r="237" spans="7:8" x14ac:dyDescent="0.5">
      <c r="G237" s="3" t="s">
        <v>808</v>
      </c>
      <c r="H237" s="4">
        <v>1171</v>
      </c>
    </row>
    <row r="238" spans="7:8" x14ac:dyDescent="0.5">
      <c r="G238" s="3" t="s">
        <v>809</v>
      </c>
      <c r="H238" s="4">
        <v>17</v>
      </c>
    </row>
    <row r="239" spans="7:8" x14ac:dyDescent="0.5">
      <c r="G239" s="3" t="s">
        <v>810</v>
      </c>
      <c r="H239" s="4">
        <v>134</v>
      </c>
    </row>
    <row r="240" spans="7:8" x14ac:dyDescent="0.5">
      <c r="G240" s="3" t="s">
        <v>811</v>
      </c>
      <c r="H240" s="4">
        <v>265</v>
      </c>
    </row>
    <row r="241" spans="7:8" x14ac:dyDescent="0.5">
      <c r="G241" s="3" t="s">
        <v>812</v>
      </c>
      <c r="H241" s="4">
        <v>325</v>
      </c>
    </row>
    <row r="242" spans="7:8" x14ac:dyDescent="0.5">
      <c r="G242" s="3" t="s">
        <v>813</v>
      </c>
      <c r="H242" s="4">
        <v>2450</v>
      </c>
    </row>
    <row r="243" spans="7:8" x14ac:dyDescent="0.5">
      <c r="G243" s="3" t="s">
        <v>814</v>
      </c>
      <c r="H243" s="4">
        <v>517</v>
      </c>
    </row>
    <row r="244" spans="7:8" x14ac:dyDescent="0.5">
      <c r="G244" s="3" t="s">
        <v>815</v>
      </c>
      <c r="H244" s="4">
        <v>826</v>
      </c>
    </row>
    <row r="245" spans="7:8" x14ac:dyDescent="0.5">
      <c r="G245" s="3" t="s">
        <v>816</v>
      </c>
      <c r="H245" s="4">
        <v>1259</v>
      </c>
    </row>
    <row r="246" spans="7:8" x14ac:dyDescent="0.5">
      <c r="G246" s="3" t="s">
        <v>817</v>
      </c>
      <c r="H246" s="4">
        <v>203</v>
      </c>
    </row>
    <row r="247" spans="7:8" x14ac:dyDescent="0.5">
      <c r="G247" s="3" t="s">
        <v>818</v>
      </c>
      <c r="H247" s="4">
        <v>404</v>
      </c>
    </row>
    <row r="248" spans="7:8" x14ac:dyDescent="0.5">
      <c r="G248" s="3" t="s">
        <v>819</v>
      </c>
      <c r="H248" s="4">
        <v>5449</v>
      </c>
    </row>
    <row r="249" spans="7:8" x14ac:dyDescent="0.5">
      <c r="G249" s="3" t="s">
        <v>820</v>
      </c>
      <c r="H249" s="4">
        <v>388</v>
      </c>
    </row>
    <row r="250" spans="7:8" x14ac:dyDescent="0.5">
      <c r="G250" s="3" t="s">
        <v>821</v>
      </c>
      <c r="H250" s="4">
        <v>3287</v>
      </c>
    </row>
    <row r="251" spans="7:8" x14ac:dyDescent="0.5">
      <c r="G251" s="3" t="s">
        <v>822</v>
      </c>
      <c r="H251" s="4">
        <v>203</v>
      </c>
    </row>
    <row r="252" spans="7:8" x14ac:dyDescent="0.5">
      <c r="G252" s="3" t="s">
        <v>823</v>
      </c>
      <c r="H252" s="4">
        <v>1361</v>
      </c>
    </row>
    <row r="253" spans="7:8" x14ac:dyDescent="0.5">
      <c r="G253" s="3" t="s">
        <v>824</v>
      </c>
      <c r="H253" s="4">
        <v>1777</v>
      </c>
    </row>
    <row r="254" spans="7:8" x14ac:dyDescent="0.5">
      <c r="G254" s="3" t="s">
        <v>825</v>
      </c>
      <c r="H254" s="4">
        <v>315</v>
      </c>
    </row>
    <row r="255" spans="7:8" x14ac:dyDescent="0.5">
      <c r="G255" s="3" t="s">
        <v>826</v>
      </c>
      <c r="H255" s="4">
        <v>1715</v>
      </c>
    </row>
    <row r="256" spans="7:8" x14ac:dyDescent="0.5">
      <c r="G256" s="3" t="s">
        <v>827</v>
      </c>
      <c r="H256" s="4">
        <v>1907</v>
      </c>
    </row>
    <row r="257" spans="7:8" x14ac:dyDescent="0.5">
      <c r="G257" s="3" t="s">
        <v>828</v>
      </c>
      <c r="H257" s="4">
        <v>1571</v>
      </c>
    </row>
    <row r="258" spans="7:8" x14ac:dyDescent="0.5">
      <c r="G258" s="3" t="s">
        <v>829</v>
      </c>
      <c r="H258" s="4">
        <v>2756</v>
      </c>
    </row>
    <row r="259" spans="7:8" x14ac:dyDescent="0.5">
      <c r="G259" s="3" t="s">
        <v>830</v>
      </c>
      <c r="H259" s="4">
        <v>220</v>
      </c>
    </row>
    <row r="260" spans="7:8" x14ac:dyDescent="0.5">
      <c r="G260" s="3" t="s">
        <v>831</v>
      </c>
      <c r="H260" s="4">
        <v>820</v>
      </c>
    </row>
    <row r="261" spans="7:8" x14ac:dyDescent="0.5">
      <c r="G261" s="3" t="s">
        <v>832</v>
      </c>
      <c r="H261" s="4">
        <v>3803</v>
      </c>
    </row>
    <row r="262" spans="7:8" x14ac:dyDescent="0.5">
      <c r="G262" s="3" t="s">
        <v>833</v>
      </c>
      <c r="H262" s="4">
        <v>6339</v>
      </c>
    </row>
    <row r="263" spans="7:8" x14ac:dyDescent="0.5">
      <c r="G263" s="3" t="s">
        <v>834</v>
      </c>
      <c r="H263" s="4">
        <v>1587</v>
      </c>
    </row>
    <row r="264" spans="7:8" x14ac:dyDescent="0.5">
      <c r="G264" s="3" t="s">
        <v>835</v>
      </c>
      <c r="H264" s="4">
        <v>1130</v>
      </c>
    </row>
    <row r="265" spans="7:8" x14ac:dyDescent="0.5">
      <c r="G265" s="3" t="s">
        <v>836</v>
      </c>
      <c r="H265" s="4">
        <v>251</v>
      </c>
    </row>
    <row r="266" spans="7:8" x14ac:dyDescent="0.5">
      <c r="G266" s="3" t="s">
        <v>837</v>
      </c>
      <c r="H266" s="4">
        <v>3266</v>
      </c>
    </row>
    <row r="267" spans="7:8" x14ac:dyDescent="0.5">
      <c r="G267" s="3" t="s">
        <v>838</v>
      </c>
      <c r="H267" s="4">
        <v>3204</v>
      </c>
    </row>
    <row r="268" spans="7:8" x14ac:dyDescent="0.5">
      <c r="G268" s="3" t="s">
        <v>839</v>
      </c>
      <c r="H268" s="4">
        <v>4365</v>
      </c>
    </row>
    <row r="269" spans="7:8" x14ac:dyDescent="0.5">
      <c r="G269" s="3" t="s">
        <v>840</v>
      </c>
      <c r="H269" s="4">
        <v>1582</v>
      </c>
    </row>
    <row r="270" spans="7:8" x14ac:dyDescent="0.5">
      <c r="G270" s="3" t="s">
        <v>841</v>
      </c>
      <c r="H270" s="4">
        <v>3343</v>
      </c>
    </row>
    <row r="271" spans="7:8" x14ac:dyDescent="0.5">
      <c r="G271" s="3" t="s">
        <v>842</v>
      </c>
      <c r="H271" s="4">
        <v>3828</v>
      </c>
    </row>
    <row r="272" spans="7:8" x14ac:dyDescent="0.5">
      <c r="G272" s="3" t="s">
        <v>843</v>
      </c>
      <c r="H272" s="4">
        <v>5750</v>
      </c>
    </row>
    <row r="273" spans="7:8" x14ac:dyDescent="0.5">
      <c r="G273" s="3" t="s">
        <v>844</v>
      </c>
      <c r="H273" s="4">
        <v>3387</v>
      </c>
    </row>
    <row r="274" spans="7:8" x14ac:dyDescent="0.5">
      <c r="G274" s="3" t="s">
        <v>845</v>
      </c>
      <c r="H274" s="4">
        <v>180</v>
      </c>
    </row>
    <row r="275" spans="7:8" x14ac:dyDescent="0.5">
      <c r="G275" s="3" t="s">
        <v>846</v>
      </c>
      <c r="H275" s="4">
        <v>2293</v>
      </c>
    </row>
    <row r="276" spans="7:8" x14ac:dyDescent="0.5">
      <c r="G276" s="3" t="s">
        <v>847</v>
      </c>
      <c r="H276" s="4">
        <v>101</v>
      </c>
    </row>
    <row r="277" spans="7:8" x14ac:dyDescent="0.5">
      <c r="G277" s="3" t="s">
        <v>848</v>
      </c>
      <c r="H277" s="4">
        <v>1921</v>
      </c>
    </row>
    <row r="278" spans="7:8" x14ac:dyDescent="0.5">
      <c r="G278" s="3" t="s">
        <v>849</v>
      </c>
      <c r="H278" s="4">
        <v>73</v>
      </c>
    </row>
    <row r="279" spans="7:8" x14ac:dyDescent="0.5">
      <c r="G279" s="3" t="s">
        <v>850</v>
      </c>
      <c r="H279" s="4">
        <v>147</v>
      </c>
    </row>
    <row r="280" spans="7:8" x14ac:dyDescent="0.5">
      <c r="G280" s="3" t="s">
        <v>851</v>
      </c>
      <c r="H280" s="4">
        <v>806</v>
      </c>
    </row>
    <row r="281" spans="7:8" x14ac:dyDescent="0.5">
      <c r="G281" s="3" t="s">
        <v>852</v>
      </c>
      <c r="H281" s="4">
        <v>38</v>
      </c>
    </row>
    <row r="282" spans="7:8" x14ac:dyDescent="0.5">
      <c r="G282" s="3" t="s">
        <v>853</v>
      </c>
      <c r="H282" s="4">
        <v>1245</v>
      </c>
    </row>
    <row r="283" spans="7:8" x14ac:dyDescent="0.5">
      <c r="G283" s="3" t="s">
        <v>854</v>
      </c>
      <c r="H283" s="4">
        <v>237</v>
      </c>
    </row>
    <row r="284" spans="7:8" x14ac:dyDescent="0.5">
      <c r="G284" s="3" t="s">
        <v>855</v>
      </c>
      <c r="H284" s="4">
        <v>2069</v>
      </c>
    </row>
    <row r="285" spans="7:8" x14ac:dyDescent="0.5">
      <c r="G285" s="3" t="s">
        <v>856</v>
      </c>
      <c r="H285" s="4">
        <v>94</v>
      </c>
    </row>
    <row r="286" spans="7:8" x14ac:dyDescent="0.5">
      <c r="G286" s="3" t="s">
        <v>857</v>
      </c>
      <c r="H286" s="4">
        <v>530</v>
      </c>
    </row>
    <row r="287" spans="7:8" x14ac:dyDescent="0.5">
      <c r="G287" s="3" t="s">
        <v>858</v>
      </c>
      <c r="H287" s="4">
        <v>1510</v>
      </c>
    </row>
    <row r="288" spans="7:8" x14ac:dyDescent="0.5">
      <c r="G288" s="3" t="s">
        <v>859</v>
      </c>
      <c r="H288" s="4">
        <v>416</v>
      </c>
    </row>
    <row r="289" spans="7:8" x14ac:dyDescent="0.5">
      <c r="G289" s="3" t="s">
        <v>860</v>
      </c>
      <c r="H289" s="4">
        <v>351</v>
      </c>
    </row>
    <row r="290" spans="7:8" x14ac:dyDescent="0.5">
      <c r="G290" s="3" t="s">
        <v>861</v>
      </c>
      <c r="H290" s="4">
        <v>529</v>
      </c>
    </row>
    <row r="291" spans="7:8" x14ac:dyDescent="0.5">
      <c r="G291" s="3" t="s">
        <v>862</v>
      </c>
      <c r="H291" s="4">
        <v>167</v>
      </c>
    </row>
    <row r="292" spans="7:8" x14ac:dyDescent="0.5">
      <c r="G292" s="3" t="s">
        <v>863</v>
      </c>
      <c r="H292" s="4">
        <v>365</v>
      </c>
    </row>
    <row r="293" spans="7:8" x14ac:dyDescent="0.5">
      <c r="G293" s="3" t="s">
        <v>864</v>
      </c>
      <c r="H293" s="4">
        <v>477</v>
      </c>
    </row>
    <row r="294" spans="7:8" x14ac:dyDescent="0.5">
      <c r="G294" s="3" t="s">
        <v>865</v>
      </c>
      <c r="H294" s="4">
        <v>1969</v>
      </c>
    </row>
    <row r="295" spans="7:8" x14ac:dyDescent="0.5">
      <c r="G295" s="3" t="s">
        <v>866</v>
      </c>
      <c r="H295" s="4">
        <v>171</v>
      </c>
    </row>
    <row r="296" spans="7:8" x14ac:dyDescent="0.5">
      <c r="G296" s="3" t="s">
        <v>867</v>
      </c>
      <c r="H296" s="4">
        <v>2233</v>
      </c>
    </row>
    <row r="297" spans="7:8" x14ac:dyDescent="0.5">
      <c r="G297" s="3" t="s">
        <v>868</v>
      </c>
      <c r="H297" s="4">
        <v>276</v>
      </c>
    </row>
    <row r="298" spans="7:8" x14ac:dyDescent="0.5">
      <c r="G298" s="3" t="s">
        <v>869</v>
      </c>
      <c r="H298" s="4">
        <v>1721</v>
      </c>
    </row>
    <row r="299" spans="7:8" x14ac:dyDescent="0.5">
      <c r="G299" s="3" t="s">
        <v>870</v>
      </c>
      <c r="H299" s="4">
        <v>277</v>
      </c>
    </row>
    <row r="300" spans="7:8" x14ac:dyDescent="0.5">
      <c r="G300" s="3" t="s">
        <v>871</v>
      </c>
      <c r="H300" s="4">
        <v>207</v>
      </c>
    </row>
    <row r="301" spans="7:8" x14ac:dyDescent="0.5">
      <c r="G301" s="3" t="s">
        <v>872</v>
      </c>
      <c r="H301" s="4">
        <v>24</v>
      </c>
    </row>
    <row r="302" spans="7:8" x14ac:dyDescent="0.5">
      <c r="G302" s="3" t="s">
        <v>873</v>
      </c>
      <c r="H302" s="4">
        <v>3550</v>
      </c>
    </row>
    <row r="303" spans="7:8" x14ac:dyDescent="0.5">
      <c r="G303" s="3" t="s">
        <v>874</v>
      </c>
      <c r="H303" s="4">
        <v>468</v>
      </c>
    </row>
    <row r="304" spans="7:8" x14ac:dyDescent="0.5">
      <c r="G304" s="3" t="s">
        <v>875</v>
      </c>
      <c r="H304" s="4">
        <v>1309</v>
      </c>
    </row>
    <row r="305" spans="7:8" x14ac:dyDescent="0.5">
      <c r="G305" s="3" t="s">
        <v>876</v>
      </c>
      <c r="H305" s="4">
        <v>1534</v>
      </c>
    </row>
    <row r="306" spans="7:8" x14ac:dyDescent="0.5">
      <c r="G306" s="3" t="s">
        <v>877</v>
      </c>
      <c r="H306" s="4">
        <v>86</v>
      </c>
    </row>
    <row r="307" spans="7:8" x14ac:dyDescent="0.5">
      <c r="G307" s="3" t="s">
        <v>878</v>
      </c>
      <c r="H307" s="4">
        <v>808</v>
      </c>
    </row>
    <row r="308" spans="7:8" x14ac:dyDescent="0.5">
      <c r="G308" s="3" t="s">
        <v>879</v>
      </c>
      <c r="H308" s="4">
        <v>352</v>
      </c>
    </row>
    <row r="309" spans="7:8" x14ac:dyDescent="0.5">
      <c r="G309" s="3" t="s">
        <v>880</v>
      </c>
      <c r="H309" s="4">
        <v>31</v>
      </c>
    </row>
    <row r="310" spans="7:8" x14ac:dyDescent="0.5">
      <c r="G310" s="3" t="s">
        <v>881</v>
      </c>
      <c r="H310" s="4">
        <v>169</v>
      </c>
    </row>
    <row r="311" spans="7:8" x14ac:dyDescent="0.5">
      <c r="G311" s="3" t="s">
        <v>882</v>
      </c>
      <c r="H311" s="4">
        <v>637</v>
      </c>
    </row>
    <row r="312" spans="7:8" x14ac:dyDescent="0.5">
      <c r="G312" s="3" t="s">
        <v>883</v>
      </c>
      <c r="H312" s="4">
        <v>934</v>
      </c>
    </row>
    <row r="313" spans="7:8" x14ac:dyDescent="0.5">
      <c r="G313" s="3" t="s">
        <v>884</v>
      </c>
      <c r="H313" s="4">
        <v>137</v>
      </c>
    </row>
    <row r="314" spans="7:8" x14ac:dyDescent="0.5">
      <c r="G314" s="3" t="s">
        <v>885</v>
      </c>
      <c r="H314" s="4">
        <v>34</v>
      </c>
    </row>
    <row r="315" spans="7:8" x14ac:dyDescent="0.5">
      <c r="G315" s="3" t="s">
        <v>886</v>
      </c>
      <c r="H315" s="4">
        <v>1116</v>
      </c>
    </row>
    <row r="316" spans="7:8" x14ac:dyDescent="0.5">
      <c r="G316" s="3" t="s">
        <v>887</v>
      </c>
      <c r="H316" s="4">
        <v>2017</v>
      </c>
    </row>
    <row r="317" spans="7:8" x14ac:dyDescent="0.5">
      <c r="G317" s="3" t="s">
        <v>888</v>
      </c>
      <c r="H317" s="4">
        <v>4668</v>
      </c>
    </row>
    <row r="318" spans="7:8" x14ac:dyDescent="0.5">
      <c r="G318" s="3" t="s">
        <v>889</v>
      </c>
      <c r="H318" s="4">
        <v>384</v>
      </c>
    </row>
    <row r="319" spans="7:8" x14ac:dyDescent="0.5">
      <c r="G319" s="3" t="s">
        <v>890</v>
      </c>
      <c r="H319" s="4">
        <v>600</v>
      </c>
    </row>
    <row r="320" spans="7:8" x14ac:dyDescent="0.5">
      <c r="G320" s="3" t="s">
        <v>891</v>
      </c>
      <c r="H320" s="4">
        <v>80</v>
      </c>
    </row>
    <row r="321" spans="7:8" x14ac:dyDescent="0.5">
      <c r="G321" s="3" t="s">
        <v>892</v>
      </c>
      <c r="H321" s="4">
        <v>126</v>
      </c>
    </row>
    <row r="322" spans="7:8" x14ac:dyDescent="0.5">
      <c r="G322" s="3" t="s">
        <v>893</v>
      </c>
      <c r="H322" s="4">
        <v>3598</v>
      </c>
    </row>
    <row r="323" spans="7:8" x14ac:dyDescent="0.5">
      <c r="G323" s="3" t="s">
        <v>894</v>
      </c>
      <c r="H323" s="4">
        <v>3065</v>
      </c>
    </row>
    <row r="324" spans="7:8" x14ac:dyDescent="0.5">
      <c r="G324" s="3" t="s">
        <v>895</v>
      </c>
      <c r="H324" s="4">
        <v>148</v>
      </c>
    </row>
    <row r="325" spans="7:8" x14ac:dyDescent="0.5">
      <c r="G325" s="3" t="s">
        <v>896</v>
      </c>
      <c r="H325" s="4">
        <v>1456</v>
      </c>
    </row>
    <row r="326" spans="7:8" x14ac:dyDescent="0.5">
      <c r="G326" s="3" t="s">
        <v>897</v>
      </c>
      <c r="H326" s="4">
        <v>1995</v>
      </c>
    </row>
    <row r="327" spans="7:8" x14ac:dyDescent="0.5">
      <c r="G327" s="3" t="s">
        <v>898</v>
      </c>
      <c r="H327" s="4">
        <v>1350</v>
      </c>
    </row>
    <row r="328" spans="7:8" x14ac:dyDescent="0.5">
      <c r="G328" s="3" t="s">
        <v>899</v>
      </c>
      <c r="H328" s="4">
        <v>666</v>
      </c>
    </row>
    <row r="329" spans="7:8" x14ac:dyDescent="0.5">
      <c r="G329" s="3" t="s">
        <v>900</v>
      </c>
      <c r="H329" s="4">
        <v>2139</v>
      </c>
    </row>
    <row r="330" spans="7:8" x14ac:dyDescent="0.5">
      <c r="G330" s="3" t="s">
        <v>901</v>
      </c>
      <c r="H330" s="4">
        <v>16</v>
      </c>
    </row>
    <row r="331" spans="7:8" x14ac:dyDescent="0.5">
      <c r="G331" s="3" t="s">
        <v>902</v>
      </c>
      <c r="H331" s="4">
        <v>6120</v>
      </c>
    </row>
    <row r="332" spans="7:8" x14ac:dyDescent="0.5">
      <c r="G332" s="3" t="s">
        <v>903</v>
      </c>
      <c r="H332" s="4">
        <v>114</v>
      </c>
    </row>
    <row r="333" spans="7:8" x14ac:dyDescent="0.5">
      <c r="G333" s="3" t="s">
        <v>904</v>
      </c>
      <c r="H333" s="4">
        <v>5820</v>
      </c>
    </row>
    <row r="334" spans="7:8" x14ac:dyDescent="0.5">
      <c r="G334" s="3" t="s">
        <v>905</v>
      </c>
      <c r="H334" s="4">
        <v>130</v>
      </c>
    </row>
    <row r="335" spans="7:8" x14ac:dyDescent="0.5">
      <c r="G335" s="3" t="s">
        <v>906</v>
      </c>
      <c r="H335" s="4">
        <v>675</v>
      </c>
    </row>
    <row r="336" spans="7:8" x14ac:dyDescent="0.5">
      <c r="G336" s="3" t="s">
        <v>907</v>
      </c>
      <c r="H336" s="4">
        <v>789</v>
      </c>
    </row>
    <row r="337" spans="7:8" x14ac:dyDescent="0.5">
      <c r="G337" s="3" t="s">
        <v>908</v>
      </c>
      <c r="H337" s="4">
        <v>5421</v>
      </c>
    </row>
    <row r="338" spans="7:8" x14ac:dyDescent="0.5">
      <c r="G338" s="3" t="s">
        <v>909</v>
      </c>
      <c r="H338" s="4">
        <v>1314</v>
      </c>
    </row>
    <row r="339" spans="7:8" x14ac:dyDescent="0.5">
      <c r="G339" s="3" t="s">
        <v>558</v>
      </c>
      <c r="H339" s="4">
        <v>437771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77A08-2A15-46AB-8B38-ECFCA071063F}">
  <dimension ref="A1"/>
  <sheetViews>
    <sheetView showGridLines="0" tabSelected="1" topLeftCell="D3" zoomScale="47" workbookViewId="0">
      <selection activeCell="AG26" sqref="AG26"/>
    </sheetView>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Details</vt:lpstr>
      <vt:lpstr>summarization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loq</dc:creator>
  <cp:lastModifiedBy>manar alaa</cp:lastModifiedBy>
  <dcterms:created xsi:type="dcterms:W3CDTF">2026-04-07T00:42:28Z</dcterms:created>
  <dcterms:modified xsi:type="dcterms:W3CDTF">2026-04-08T00:06:04Z</dcterms:modified>
</cp:coreProperties>
</file>